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44" firstSheet="0" activeTab="0" autoFilterDateGrouping="1"/>
  </bookViews>
  <sheets>
    <sheet name="Matlab_Data" sheetId="1" state="visible" r:id="rId1"/>
    <sheet name="Estado da arte" sheetId="2" state="visible" r:id="rId2"/>
    <sheet name="Factories_WIP" sheetId="3" state="visible" r:id="rId3"/>
    <sheet name="Supp_Fourth_central_moment_5var" sheetId="4" state="visible" r:id="rId4"/>
    <sheet name="Fac_Fourth_central_moment_5var" sheetId="5" state="visible" r:id="rId5"/>
    <sheet name="Results" sheetId="6" state="visible" r:id="rId6"/>
    <sheet name="Demand" sheetId="7" state="visible" r:id="rId7"/>
    <sheet name="Beginning_stock" sheetId="8" state="visible" r:id="rId8"/>
    <sheet name="Suppliers_stock_balance" sheetId="9" state="visible" r:id="rId9"/>
    <sheet name="Factories_stock_balance" sheetId="10" state="visible" r:id="rId10"/>
    <sheet name="Distributors_stock_balance" sheetId="11" state="visible" r:id="rId11"/>
    <sheet name="Retailers_stock_balance" sheetId="12" state="visible" r:id="rId12"/>
    <sheet name="Suppliers" sheetId="13" state="visible" r:id="rId13"/>
    <sheet name="Factories" sheetId="14" state="visible" r:id="rId14"/>
    <sheet name="Distributors" sheetId="15" state="visible" r:id="rId15"/>
    <sheet name="Retailers" sheetId="16" state="visible" r:id="rId16"/>
    <sheet name="Suppliers_Cap" sheetId="17" state="visible" r:id="rId17"/>
    <sheet name="Factories_Cap" sheetId="18" state="visible" r:id="rId18"/>
    <sheet name="Distributors_Cap" sheetId="19" state="visible" r:id="rId19"/>
    <sheet name="Retailers_Cap" sheetId="20" state="visible" r:id="rId20"/>
    <sheet name="Data" sheetId="21" state="visible" r:id="rId21"/>
  </sheets>
  <definedNames>
    <definedName name="Distributors_Stock_Begining">Distributors_stock_balance!$D$10:$F$11</definedName>
    <definedName name="Distributors_Stock_Demand">Distributors_stock_balance!$D$16:$F$17</definedName>
    <definedName name="Distributors_Stock_Replenishment">Distributors_stock_balance!$D$5:$F$6</definedName>
    <definedName name="DistributorsBegStock">Beginning_stock!$AT$25:$AV$26</definedName>
    <definedName name="DistributorsCap">Distributors_Cap!$D$13:$F$14</definedName>
    <definedName name="DistributorsCost">Distributors!$P$6:$R$7</definedName>
    <definedName name="DistributorsDem">Demand!$AU$19:$AW$20</definedName>
    <definedName name="DistributorsLeadTime">Distributors!$P$16:$R$17</definedName>
    <definedName name="DistributorsNumberBinaryVarY">Distributors_Cap!$D$29:$F$30</definedName>
    <definedName name="DistributorsSafetyFactor">Distributors!$P$21:$R$22</definedName>
    <definedName name="DistributorsStdDev">Distributors!$P$11:$R$12</definedName>
    <definedName name="DistributorsUpperBound">Distributors_Cap!$D$22:$F$23</definedName>
    <definedName name="Fac_Qtd_LB">Matlab_Data!$D$98:$F$100</definedName>
    <definedName name="Factories_Coverage_Time">Factories_stock_balance!$D$28:$F$30</definedName>
    <definedName name="Factories_Delta">Factories_stock_balance!$D$34:$F$36</definedName>
    <definedName name="Factories_Gamma">Factories_stock_balance!$D$45:$F$47</definedName>
    <definedName name="Factories_Gross_Base_Stock">Factories_stock_balance!$D$212:$F$214</definedName>
    <definedName name="Factories_Net_Demand">Factories_stock_balance!$D$200:$F$202</definedName>
    <definedName name="Factories_Omega">Factories_stock_balance!$D$57:$F$59</definedName>
    <definedName name="Factories_Omega1">Factories_stock_balance!$D$110:$F$112</definedName>
    <definedName name="Factories_Omega2">Factories_stock_balance!$D$116:$F$118</definedName>
    <definedName name="Factories_Omega3">Factories_stock_balance!$D$122:$F$124</definedName>
    <definedName name="Factories_Omega4">Factories_stock_balance!$D$140:$F$142</definedName>
    <definedName name="Factories_Omega5">Factories_stock_balance!$D$146:$F$148</definedName>
    <definedName name="Factories_Omega6">Factories_stock_balance!$D$152:$F$154</definedName>
    <definedName name="Factories_Replenishment_Time">Factories_stock_balance!$D$22:$F$24</definedName>
    <definedName name="Factories_Rho">Factories_stock_balance!$D$51:$F$53</definedName>
    <definedName name="Factories_Runout_Time">Factories_stock_balance!$D$63:$F$65</definedName>
    <definedName name="Factories_Safety_Stock">Factories_stock_balance!$D$230:$F$232</definedName>
    <definedName name="Factories_Squared_root">Factories_stock_balance!$D$182:$F$184</definedName>
    <definedName name="Factories_Variance_NetDemand_Rate">Factories_stock_balance!$D$218:$F$220</definedName>
    <definedName name="Factories_Work_in_process">Factories_WIP!$D$8:$F$10</definedName>
    <definedName name="Factories_Zeta">Factories_stock_balance!$D$39:$F$41</definedName>
    <definedName name="FactoriesBegStock">Beginning_stock!$AT$15:$AV$17</definedName>
    <definedName name="FactoriesCap">Factories_Cap!$D$8:$F$10</definedName>
    <definedName name="FactoriesCost">Factories!$I$6:$K$8</definedName>
    <definedName name="FactoriesDem">Demand!$AU$11:$AW$13</definedName>
    <definedName name="FactoriesLeadTime">Factories!$I$22:$K$24</definedName>
    <definedName name="FactoriesLeadTimeStdDev">Factories!$I$27:$K$29</definedName>
    <definedName name="FactoriesNumberBinaryVarY">Factories_Cap!$D$55:$F$57</definedName>
    <definedName name="FactoriesStdDev">Factories!$I$17:$K$19</definedName>
    <definedName name="FactoriesStdDevVarVar">Fac_Fourth_central_moment_5var!$D$41:$F$43</definedName>
    <definedName name="FactoriesUpperBound">Factories_Cap!#REF!</definedName>
    <definedName name="InboundServiceTimef">Factories_Cap!$D$33:$F$35</definedName>
    <definedName name="InboundServiceTimew">Suppliers_Cap!$D$33:$R$35</definedName>
    <definedName name="Maxd">Distributors_Cap!$D$35</definedName>
    <definedName name="Maxf">Factories_Cap!#REF!</definedName>
    <definedName name="Maxr">Retailers_Cap!$AN$9</definedName>
    <definedName name="MaxStkOutd">Distributors_Cap!$R$47</definedName>
    <definedName name="MaxStkOutf">Factories_Cap!#REF!</definedName>
    <definedName name="MaxStkOutr">Retailers_Cap!$CQ$7</definedName>
    <definedName name="MaxStkOutw">Suppliers_Cap!$V$25</definedName>
    <definedName name="MaxStkOutw1">Suppliers_Cap!$V$19</definedName>
    <definedName name="MaxStkOutw2">Suppliers_Cap!$V$20</definedName>
    <definedName name="MaxStkOutw3">Suppliers_Cap!$V$21</definedName>
    <definedName name="Maxw">Suppliers_Cap!$D$61</definedName>
    <definedName name="Mind">Distributors_Cap!$D$36</definedName>
    <definedName name="Minf">Factories_Cap!#REF!</definedName>
    <definedName name="Minr">Retailers_Cap!$AN$10</definedName>
    <definedName name="Minw">Suppliers_Cap!$D$62</definedName>
    <definedName name="NDRLTStdDevf">Matlab_Data!$D$103:$F$105</definedName>
    <definedName name="NDRLTStdDevw">Matlab_Data!$D$50:$R$52</definedName>
    <definedName name="Optimal_solutionf">Results!$H$10</definedName>
    <definedName name="Optimal_solutionw">Results!$T$5</definedName>
    <definedName name="Probability_1">Matlab_Data!$D$42:$D$42</definedName>
    <definedName name="Radicandf">Factories_stock_balance!$D$176:$F$178</definedName>
    <definedName name="Radicandw">Suppliers_stock_balance!$D$176:$R$178</definedName>
    <definedName name="Retailers_Stock_Begining">Retailers_stock_balance!$J$5:$L$194</definedName>
    <definedName name="Retailers_Stock_Demand">Retailers_stock_balance!$P$5:$R$194</definedName>
    <definedName name="Retailers_Stock_Replenishment">Retailers_stock_balance!$D$5:$F$194</definedName>
    <definedName name="RetailersBegStock">Beginning_stock!$AT$35:$AV$224</definedName>
    <definedName name="RetailersCap">Retailers_Cap!$N$7:$P$196</definedName>
    <definedName name="RetailersCost">Retailers!$P$6:$R$195</definedName>
    <definedName name="RetailersDem">Demand!$AU$24:$AW$213</definedName>
    <definedName name="RetailersLeadTime">Retailers!$AJ$6:$AL$195</definedName>
    <definedName name="RetailersNumberBinaryVarY">Retailers_Cap!$AH$7:$AJ$196</definedName>
    <definedName name="RetailersSafetyFactor">Retailers!$AS$6:$AU$195</definedName>
    <definedName name="RetailersStdDev">Retailers!$Z$6:$AB$195</definedName>
    <definedName name="RetailersUpperBound">Retailers_Cap!$X$7:$Z$196</definedName>
    <definedName name="RLTfFactor">Factories_stock_balance!$D$92:$F$94</definedName>
    <definedName name="RLTwFactor">Suppliers_stock_balance!$D$92:$R$94</definedName>
    <definedName name="ServiceTimef">Results!$D$10:$F$12</definedName>
    <definedName name="ServiceTimew">Results!$D$5:$R$7</definedName>
    <definedName name="Supp_Qtd_LB">Matlab_Data!$D$45:$R$47</definedName>
    <definedName name="Suppliers_Coverage_Time">Suppliers_stock_balance!$D$28:$R$30</definedName>
    <definedName name="Suppliers_Delta">Suppliers_stock_balance!$D$34:$R$36</definedName>
    <definedName name="Suppliers_Gamma">Suppliers_stock_balance!$D$45:$R$47</definedName>
    <definedName name="Suppliers_Gross_Base_Stock">Suppliers_stock_balance!$D$212:$R$214</definedName>
    <definedName name="Suppliers_Net_Demand">Suppliers_stock_balance!$D$200:$R$202</definedName>
    <definedName name="Suppliers_Omega">Suppliers_stock_balance!$D$57:$R$59</definedName>
    <definedName name="Suppliers_Omega1">Suppliers_stock_balance!$D$110:$R$112</definedName>
    <definedName name="Suppliers_Omega2">Suppliers_stock_balance!$D$116:$R$118</definedName>
    <definedName name="Suppliers_Omega3">Suppliers_stock_balance!$D$122:$R$124</definedName>
    <definedName name="Suppliers_Omega4">Suppliers_stock_balance!$D$140:$R$142</definedName>
    <definedName name="Suppliers_Omega5">Suppliers_stock_balance!$D$146:$R$148</definedName>
    <definedName name="Suppliers_Omega6">Suppliers_stock_balance!$D$152:$R$154</definedName>
    <definedName name="Suppliers_Replenishment_Time">Suppliers_stock_balance!$D$22:$R$24</definedName>
    <definedName name="Suppliers_Rho">Suppliers_stock_balance!$D$51:$R$53</definedName>
    <definedName name="Suppliers_Runout_Time">Suppliers_stock_balance!$D$63:$R$65</definedName>
    <definedName name="Suppliers_Safety_Stock">Suppliers_stock_balance!$D$230:$R$232</definedName>
    <definedName name="Suppliers_Squared_root">Suppliers_stock_balance!$D$182:$R$184</definedName>
    <definedName name="Suppliers_Variance_NetDemand_Rate">Suppliers_stock_balance!$D$218:$R$220</definedName>
    <definedName name="Suppliers_Zeta">Suppliers_stock_balance!$D$39:$R$41</definedName>
    <definedName name="SuppliersBegStock">Beginning_stock!$AT$5:$BH$7</definedName>
    <definedName name="SuppliersCap">Suppliers_Cap!$D$8:$R$10</definedName>
    <definedName name="SuppliersCost">Suppliers!$I$6:$W$8</definedName>
    <definedName name="SuppliersDem">Demand!$AU$5:$BI$7</definedName>
    <definedName name="SuppliersLeadTime">Suppliers!$I$22:$W$24</definedName>
    <definedName name="SuppliersLeadTimeStdDev">Suppliers!$I$27:$W$29</definedName>
    <definedName name="SuppliersNumberBinaryVarY">Suppliers_Cap!$D$55:$R$57</definedName>
    <definedName name="SuppliersSafetyFactor">Suppliers!#REF!</definedName>
    <definedName name="SuppliersStdDev">Suppliers!$I$17:$W$19</definedName>
    <definedName name="SuppliersStdDevVarVar">Supp_Fourth_central_moment_5var!$D$41:$R$43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000"/>
    <numFmt numFmtId="165" formatCode="0.000"/>
    <numFmt numFmtId="166" formatCode="0.0000"/>
    <numFmt numFmtId="167" formatCode="#,##0.000"/>
    <numFmt numFmtId="168" formatCode="&quot;R$&quot;\ #,##0.00"/>
    <numFmt numFmtId="169" formatCode="#,##0.0000"/>
    <numFmt numFmtId="170" formatCode="#,##0.00000"/>
    <numFmt numFmtId="171" formatCode="#,##0.0000000"/>
    <numFmt numFmtId="172" formatCode="#,##0.0"/>
  </numFmts>
  <fonts count="6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2" fontId="1" fillId="3" borderId="0" applyAlignment="1" pivotButton="0" quotePrefix="0" xfId="0">
      <alignment horizontal="center"/>
    </xf>
    <xf numFmtId="4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2" fontId="0" fillId="0" borderId="0" pivotButton="0" quotePrefix="0" xfId="0"/>
    <xf numFmtId="3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left"/>
    </xf>
    <xf numFmtId="2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67" fontId="4" fillId="3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" fontId="0" fillId="2" borderId="0" applyAlignment="1" pivotButton="0" quotePrefix="0" xfId="0">
      <alignment horizontal="center" vertical="center"/>
    </xf>
    <xf numFmtId="172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2" fontId="4" fillId="3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  <xf numFmtId="2" fontId="1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166" fontId="0" fillId="2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167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 vertical="center"/>
    </xf>
    <xf numFmtId="166" fontId="0" fillId="2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72" fontId="4" fillId="3" borderId="0" applyAlignment="1" pivotButton="0" quotePrefix="0" xfId="0">
      <alignment horizontal="center" vertical="center"/>
    </xf>
  </cellXfs>
  <cellStyles count="1">
    <cellStyle name="Normal" xfId="0" builtinId="0"/>
  </cellStyles>
  <dxfs count="77"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05"/>
  <sheetViews>
    <sheetView tabSelected="1" zoomScale="90" zoomScaleNormal="90" workbookViewId="0">
      <selection activeCell="C1" sqref="C1"/>
    </sheetView>
  </sheetViews>
  <sheetFormatPr baseColWidth="8" defaultRowHeight="14.4"/>
  <cols>
    <col width="3.21875" customWidth="1" style="15" min="1" max="1"/>
    <col width="22.6640625" bestFit="1" customWidth="1" style="15" min="2" max="2"/>
    <col width="25.77734375" bestFit="1" customWidth="1" style="15" min="3" max="3"/>
    <col width="12.77734375" customWidth="1" style="15" min="4" max="4"/>
    <col width="12.6640625" customWidth="1" style="15" min="5" max="18"/>
    <col width="8.88671875" customWidth="1" style="15" min="19" max="16384"/>
  </cols>
  <sheetData>
    <row r="1" ht="23.4" customHeight="1">
      <c r="C1" s="60" t="inlineStr">
        <is>
          <t>SUPPLIERS</t>
        </is>
      </c>
    </row>
    <row r="2">
      <c r="C2" s="15" t="inlineStr">
        <is>
          <t>demand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</row>
    <row r="3">
      <c r="C3" s="15" t="n">
        <v>1</v>
      </c>
      <c r="D3" s="39">
        <f>Demand!AU5</f>
        <v/>
      </c>
      <c r="E3" s="39">
        <f>Demand!AV5</f>
        <v/>
      </c>
      <c r="F3" s="39">
        <f>Demand!AW5</f>
        <v/>
      </c>
      <c r="G3" s="39">
        <f>Demand!AX5</f>
        <v/>
      </c>
      <c r="H3" s="55">
        <f>Demand!AY5</f>
        <v/>
      </c>
      <c r="I3" s="55">
        <f>Demand!AZ5</f>
        <v/>
      </c>
      <c r="J3" s="39">
        <f>Demand!BA5</f>
        <v/>
      </c>
      <c r="K3" s="55">
        <f>Demand!BB5</f>
        <v/>
      </c>
      <c r="L3" s="55">
        <f>Demand!BC5</f>
        <v/>
      </c>
      <c r="M3" s="39">
        <f>Demand!BD5</f>
        <v/>
      </c>
      <c r="N3" s="55">
        <f>Demand!BE5</f>
        <v/>
      </c>
      <c r="O3" s="39">
        <f>Demand!BF5</f>
        <v/>
      </c>
      <c r="P3" s="55">
        <f>Demand!BG5</f>
        <v/>
      </c>
      <c r="Q3" s="55">
        <f>Demand!BH5</f>
        <v/>
      </c>
      <c r="R3" s="55">
        <f>Demand!BI5</f>
        <v/>
      </c>
    </row>
    <row r="4">
      <c r="B4" s="39" t="n"/>
      <c r="C4" s="15" t="n">
        <v>2</v>
      </c>
      <c r="D4" s="55">
        <f>Demand!AU6</f>
        <v/>
      </c>
      <c r="E4" s="55">
        <f>Demand!AV6</f>
        <v/>
      </c>
      <c r="F4" s="39">
        <f>Demand!AW6</f>
        <v/>
      </c>
      <c r="G4" s="39">
        <f>Demand!AX6</f>
        <v/>
      </c>
      <c r="H4" s="55">
        <f>Demand!AY6</f>
        <v/>
      </c>
      <c r="I4" s="55">
        <f>Demand!AZ6</f>
        <v/>
      </c>
      <c r="J4" s="55">
        <f>Demand!BA6</f>
        <v/>
      </c>
      <c r="K4" s="39">
        <f>Demand!BB6</f>
        <v/>
      </c>
      <c r="L4" s="39">
        <f>Demand!BC6</f>
        <v/>
      </c>
      <c r="M4" s="55">
        <f>Demand!BD6</f>
        <v/>
      </c>
      <c r="N4" s="39">
        <f>Demand!BE6</f>
        <v/>
      </c>
      <c r="O4" s="55">
        <f>Demand!BF6</f>
        <v/>
      </c>
      <c r="P4" s="55">
        <f>Demand!BG6</f>
        <v/>
      </c>
      <c r="Q4" s="55">
        <f>Demand!BH6</f>
        <v/>
      </c>
      <c r="R4" s="55">
        <f>Demand!BI6</f>
        <v/>
      </c>
    </row>
    <row r="5">
      <c r="C5" s="15" t="n">
        <v>3</v>
      </c>
      <c r="D5" s="55">
        <f>Demand!AU7</f>
        <v/>
      </c>
      <c r="E5" s="39">
        <f>Demand!AV7</f>
        <v/>
      </c>
      <c r="F5" s="39">
        <f>Demand!AW7</f>
        <v/>
      </c>
      <c r="G5" s="55">
        <f>Demand!AX7</f>
        <v/>
      </c>
      <c r="H5" s="39">
        <f>Demand!AY7</f>
        <v/>
      </c>
      <c r="I5" s="55">
        <f>Demand!AZ7</f>
        <v/>
      </c>
      <c r="J5" s="55">
        <f>Demand!BA7</f>
        <v/>
      </c>
      <c r="K5" s="39">
        <f>Demand!BB7</f>
        <v/>
      </c>
      <c r="L5" s="39">
        <f>Demand!BC7</f>
        <v/>
      </c>
      <c r="M5" s="39">
        <f>Demand!BD7</f>
        <v/>
      </c>
      <c r="N5" s="55">
        <f>Demand!BE7</f>
        <v/>
      </c>
      <c r="O5" s="55">
        <f>Demand!BF7</f>
        <v/>
      </c>
      <c r="P5" s="39">
        <f>Demand!BG7</f>
        <v/>
      </c>
      <c r="Q5" s="39">
        <f>Demand!BH7</f>
        <v/>
      </c>
      <c r="R5" s="55">
        <f>Demand!BI7</f>
        <v/>
      </c>
    </row>
    <row r="7">
      <c r="B7" s="15" t="inlineStr">
        <is>
          <t>Parâmetro p/</t>
        </is>
      </c>
      <c r="C7" s="15" t="inlineStr">
        <is>
          <t>Média(E(RLT))</t>
        </is>
      </c>
      <c r="D7" s="15" t="n">
        <v>1</v>
      </c>
      <c r="E7" s="15" t="n">
        <v>2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  <c r="N7" s="15" t="n">
        <v>11</v>
      </c>
      <c r="O7" s="15" t="n">
        <v>12</v>
      </c>
      <c r="P7" s="15" t="n">
        <v>13</v>
      </c>
      <c r="Q7" s="15" t="n">
        <v>14</v>
      </c>
      <c r="R7" s="15" t="n">
        <v>15</v>
      </c>
    </row>
    <row r="8">
      <c r="B8" s="15" t="inlineStr">
        <is>
          <t>LBw e DesvPad(ND*RLT)w</t>
        </is>
      </c>
      <c r="C8" s="15" t="n">
        <v>1</v>
      </c>
      <c r="D8" s="39">
        <f>Suppliers!I22</f>
        <v/>
      </c>
      <c r="E8" s="39">
        <f>Suppliers!J22</f>
        <v/>
      </c>
      <c r="F8" s="39">
        <f>Suppliers!K22</f>
        <v/>
      </c>
      <c r="G8" s="39">
        <f>Suppliers!L22</f>
        <v/>
      </c>
      <c r="H8" s="55">
        <f>Suppliers!M22</f>
        <v/>
      </c>
      <c r="I8" s="55">
        <f>Suppliers!N22</f>
        <v/>
      </c>
      <c r="J8" s="39">
        <f>Suppliers!O22</f>
        <v/>
      </c>
      <c r="K8" s="55">
        <f>Suppliers!P22</f>
        <v/>
      </c>
      <c r="L8" s="55">
        <f>Suppliers!Q22</f>
        <v/>
      </c>
      <c r="M8" s="39">
        <f>Suppliers!R22</f>
        <v/>
      </c>
      <c r="N8" s="55">
        <f>Suppliers!S22</f>
        <v/>
      </c>
      <c r="O8" s="39">
        <f>Suppliers!T22</f>
        <v/>
      </c>
      <c r="P8" s="55">
        <f>Suppliers!U22</f>
        <v/>
      </c>
      <c r="Q8" s="55">
        <f>Suppliers!V22</f>
        <v/>
      </c>
      <c r="R8" s="55">
        <f>Suppliers!W22</f>
        <v/>
      </c>
    </row>
    <row r="9">
      <c r="B9" s="15" t="inlineStr">
        <is>
          <t>LBw e DesvPad(ND*RLT)w</t>
        </is>
      </c>
      <c r="C9" s="15" t="n">
        <v>2</v>
      </c>
      <c r="D9" s="55">
        <f>Suppliers!I23</f>
        <v/>
      </c>
      <c r="E9" s="55">
        <f>Suppliers!J23</f>
        <v/>
      </c>
      <c r="F9" s="39">
        <f>Suppliers!K23</f>
        <v/>
      </c>
      <c r="G9" s="39">
        <f>Suppliers!L23</f>
        <v/>
      </c>
      <c r="H9" s="55">
        <f>Suppliers!M23</f>
        <v/>
      </c>
      <c r="I9" s="55">
        <f>Suppliers!N23</f>
        <v/>
      </c>
      <c r="J9" s="55">
        <f>Suppliers!O23</f>
        <v/>
      </c>
      <c r="K9" s="39">
        <f>Suppliers!P23</f>
        <v/>
      </c>
      <c r="L9" s="39">
        <f>Suppliers!Q23</f>
        <v/>
      </c>
      <c r="M9" s="55">
        <f>Suppliers!R23</f>
        <v/>
      </c>
      <c r="N9" s="39">
        <f>Suppliers!S23</f>
        <v/>
      </c>
      <c r="O9" s="55">
        <f>Suppliers!T23</f>
        <v/>
      </c>
      <c r="P9" s="55">
        <f>Suppliers!U23</f>
        <v/>
      </c>
      <c r="Q9" s="55">
        <f>Suppliers!V23</f>
        <v/>
      </c>
      <c r="R9" s="55">
        <f>Suppliers!W23</f>
        <v/>
      </c>
    </row>
    <row r="10">
      <c r="B10" s="15" t="inlineStr">
        <is>
          <t>LBw e DesvPad(ND*RLT)w</t>
        </is>
      </c>
      <c r="C10" s="15" t="n">
        <v>3</v>
      </c>
      <c r="D10" s="55">
        <f>Suppliers!I24</f>
        <v/>
      </c>
      <c r="E10" s="39">
        <f>Suppliers!J24</f>
        <v/>
      </c>
      <c r="F10" s="39">
        <f>Suppliers!K24</f>
        <v/>
      </c>
      <c r="G10" s="55">
        <f>Suppliers!L24</f>
        <v/>
      </c>
      <c r="H10" s="39">
        <f>Suppliers!M24</f>
        <v/>
      </c>
      <c r="I10" s="55">
        <f>Suppliers!N24</f>
        <v/>
      </c>
      <c r="J10" s="55">
        <f>Suppliers!O24</f>
        <v/>
      </c>
      <c r="K10" s="39">
        <f>Suppliers!P24</f>
        <v/>
      </c>
      <c r="L10" s="39">
        <f>Suppliers!Q24</f>
        <v/>
      </c>
      <c r="M10" s="39">
        <f>Suppliers!R24</f>
        <v/>
      </c>
      <c r="N10" s="55">
        <f>Suppliers!S24</f>
        <v/>
      </c>
      <c r="O10" s="55">
        <f>Suppliers!T24</f>
        <v/>
      </c>
      <c r="P10" s="39">
        <f>Suppliers!U24</f>
        <v/>
      </c>
      <c r="Q10" s="39">
        <f>Suppliers!V24</f>
        <v/>
      </c>
      <c r="R10" s="55">
        <f>Suppliers!W24</f>
        <v/>
      </c>
    </row>
    <row r="12">
      <c r="C12" s="15" t="inlineStr">
        <is>
          <t>Cap</t>
        </is>
      </c>
      <c r="D12" s="15" t="n">
        <v>1</v>
      </c>
      <c r="E12" s="15" t="n">
        <v>2</v>
      </c>
      <c r="F12" s="15" t="n">
        <v>3</v>
      </c>
      <c r="G12" s="15" t="n">
        <v>4</v>
      </c>
      <c r="H12" s="15" t="n">
        <v>5</v>
      </c>
      <c r="I12" s="15" t="n">
        <v>6</v>
      </c>
      <c r="J12" s="15" t="n">
        <v>7</v>
      </c>
      <c r="K12" s="15" t="n">
        <v>8</v>
      </c>
      <c r="L12" s="15" t="n">
        <v>9</v>
      </c>
      <c r="M12" s="15" t="n">
        <v>10</v>
      </c>
      <c r="N12" s="15" t="n">
        <v>11</v>
      </c>
      <c r="O12" s="15" t="n">
        <v>12</v>
      </c>
      <c r="P12" s="15" t="n">
        <v>13</v>
      </c>
      <c r="Q12" s="15" t="n">
        <v>14</v>
      </c>
      <c r="R12" s="15" t="n">
        <v>15</v>
      </c>
    </row>
    <row r="13">
      <c r="C13" s="15" t="n">
        <v>1</v>
      </c>
      <c r="D13" s="39">
        <f>Suppliers_Cap!D8</f>
        <v/>
      </c>
      <c r="E13" s="39">
        <f>Suppliers_Cap!E8</f>
        <v/>
      </c>
      <c r="F13" s="39">
        <f>Suppliers_Cap!F8</f>
        <v/>
      </c>
      <c r="G13" s="39">
        <f>Suppliers_Cap!G8</f>
        <v/>
      </c>
      <c r="H13" s="55">
        <f>Suppliers_Cap!H8</f>
        <v/>
      </c>
      <c r="I13" s="55">
        <f>Suppliers_Cap!I8</f>
        <v/>
      </c>
      <c r="J13" s="39">
        <f>Suppliers_Cap!J8</f>
        <v/>
      </c>
      <c r="K13" s="55">
        <f>Suppliers_Cap!K8</f>
        <v/>
      </c>
      <c r="L13" s="55">
        <f>Suppliers_Cap!L8</f>
        <v/>
      </c>
      <c r="M13" s="39">
        <f>Suppliers_Cap!M8</f>
        <v/>
      </c>
      <c r="N13" s="55">
        <f>Suppliers_Cap!N8</f>
        <v/>
      </c>
      <c r="O13" s="39">
        <f>Suppliers_Cap!O8</f>
        <v/>
      </c>
      <c r="P13" s="55">
        <f>Suppliers_Cap!P8</f>
        <v/>
      </c>
      <c r="Q13" s="55">
        <f>Suppliers_Cap!Q8</f>
        <v/>
      </c>
      <c r="R13" s="55">
        <f>Suppliers_Cap!R8</f>
        <v/>
      </c>
    </row>
    <row r="14">
      <c r="C14" s="15" t="n">
        <v>2</v>
      </c>
      <c r="D14" s="55">
        <f>Suppliers_Cap!D9</f>
        <v/>
      </c>
      <c r="E14" s="55">
        <f>Suppliers_Cap!E9</f>
        <v/>
      </c>
      <c r="F14" s="39">
        <f>Suppliers_Cap!F9</f>
        <v/>
      </c>
      <c r="G14" s="39">
        <f>Suppliers_Cap!G9</f>
        <v/>
      </c>
      <c r="H14" s="55">
        <f>Suppliers_Cap!H9</f>
        <v/>
      </c>
      <c r="I14" s="55">
        <f>Suppliers_Cap!I9</f>
        <v/>
      </c>
      <c r="J14" s="55">
        <f>Suppliers_Cap!J9</f>
        <v/>
      </c>
      <c r="K14" s="39">
        <f>Suppliers_Cap!K9</f>
        <v/>
      </c>
      <c r="L14" s="39">
        <f>Suppliers_Cap!L9</f>
        <v/>
      </c>
      <c r="M14" s="55">
        <f>Suppliers_Cap!M9</f>
        <v/>
      </c>
      <c r="N14" s="39">
        <f>Suppliers_Cap!N9</f>
        <v/>
      </c>
      <c r="O14" s="55">
        <f>Suppliers_Cap!O9</f>
        <v/>
      </c>
      <c r="P14" s="55">
        <f>Suppliers_Cap!P9</f>
        <v/>
      </c>
      <c r="Q14" s="55">
        <f>Suppliers_Cap!Q9</f>
        <v/>
      </c>
      <c r="R14" s="55">
        <f>Suppliers_Cap!R9</f>
        <v/>
      </c>
    </row>
    <row r="15">
      <c r="C15" s="15" t="n">
        <v>3</v>
      </c>
      <c r="D15" s="55">
        <f>Suppliers_Cap!D10</f>
        <v/>
      </c>
      <c r="E15" s="39">
        <f>Suppliers_Cap!E10</f>
        <v/>
      </c>
      <c r="F15" s="39">
        <f>Suppliers_Cap!F10</f>
        <v/>
      </c>
      <c r="G15" s="55">
        <f>Suppliers_Cap!G10</f>
        <v/>
      </c>
      <c r="H15" s="39">
        <f>Suppliers_Cap!H10</f>
        <v/>
      </c>
      <c r="I15" s="55">
        <f>Suppliers_Cap!I10</f>
        <v/>
      </c>
      <c r="J15" s="55">
        <f>Suppliers_Cap!J10</f>
        <v/>
      </c>
      <c r="K15" s="39">
        <f>Suppliers_Cap!K10</f>
        <v/>
      </c>
      <c r="L15" s="39">
        <f>Suppliers_Cap!L10</f>
        <v/>
      </c>
      <c r="M15" s="39">
        <f>Suppliers_Cap!M10</f>
        <v/>
      </c>
      <c r="N15" s="55">
        <f>Suppliers_Cap!N10</f>
        <v/>
      </c>
      <c r="O15" s="55">
        <f>Suppliers_Cap!O10</f>
        <v/>
      </c>
      <c r="P15" s="39">
        <f>Suppliers_Cap!P10</f>
        <v/>
      </c>
      <c r="Q15" s="39">
        <f>Suppliers_Cap!Q10</f>
        <v/>
      </c>
      <c r="R15" s="55">
        <f>Suppliers_Cap!R10</f>
        <v/>
      </c>
    </row>
    <row r="17">
      <c r="B17" s="15" t="inlineStr">
        <is>
          <t>Parâmetro p/</t>
        </is>
      </c>
      <c r="C17" s="15" t="inlineStr">
        <is>
          <t>Var(d-cap)</t>
        </is>
      </c>
      <c r="D17" s="15" t="n">
        <v>1</v>
      </c>
      <c r="E17" s="15" t="n">
        <v>2</v>
      </c>
      <c r="F17" s="15" t="n">
        <v>3</v>
      </c>
      <c r="G17" s="15" t="n">
        <v>4</v>
      </c>
      <c r="H17" s="15" t="n">
        <v>5</v>
      </c>
      <c r="I17" s="15" t="n">
        <v>6</v>
      </c>
      <c r="J17" s="15" t="n">
        <v>7</v>
      </c>
      <c r="K17" s="15" t="n">
        <v>8</v>
      </c>
      <c r="L17" s="15" t="n">
        <v>9</v>
      </c>
      <c r="M17" s="15" t="n">
        <v>10</v>
      </c>
      <c r="N17" s="15" t="n">
        <v>11</v>
      </c>
      <c r="O17" s="15" t="n">
        <v>12</v>
      </c>
      <c r="P17" s="15" t="n">
        <v>13</v>
      </c>
      <c r="Q17" s="15" t="n">
        <v>14</v>
      </c>
      <c r="R17" s="15" t="n">
        <v>15</v>
      </c>
    </row>
    <row r="18">
      <c r="B18" s="15" t="inlineStr">
        <is>
          <t>LBw</t>
        </is>
      </c>
      <c r="C18" s="15" t="n">
        <v>1</v>
      </c>
      <c r="D18" s="65" t="n"/>
      <c r="E18" s="65" t="n"/>
      <c r="F18" s="65" t="n"/>
      <c r="G18" s="65" t="n"/>
      <c r="H18" s="66" t="inlineStr">
        <is>
          <t>495,6908</t>
        </is>
      </c>
      <c r="I18" s="66" t="n">
        <v>191.8181</v>
      </c>
      <c r="J18" s="65" t="n"/>
      <c r="K18" s="66" t="n">
        <v>428.2391</v>
      </c>
      <c r="L18" s="66" t="n">
        <v>341.0413</v>
      </c>
      <c r="M18" s="65" t="n"/>
      <c r="N18" s="66" t="n">
        <v>498.37</v>
      </c>
      <c r="O18" s="65" t="n"/>
      <c r="P18" s="66" t="n">
        <v>217.8175</v>
      </c>
      <c r="Q18" s="66" t="n">
        <v>186.7283</v>
      </c>
      <c r="R18" s="66" t="n">
        <v>592.9769</v>
      </c>
    </row>
    <row r="19">
      <c r="B19" s="15" t="inlineStr">
        <is>
          <t>LBw</t>
        </is>
      </c>
      <c r="C19" s="15" t="n">
        <v>2</v>
      </c>
      <c r="D19" s="66" t="inlineStr">
        <is>
          <t>282,9083</t>
        </is>
      </c>
      <c r="E19" s="66" t="inlineStr">
        <is>
          <t>213,6979</t>
        </is>
      </c>
      <c r="F19" s="65" t="n"/>
      <c r="G19" s="65" t="n"/>
      <c r="H19" s="66" t="inlineStr">
        <is>
          <t>388,8702</t>
        </is>
      </c>
      <c r="I19" s="66" t="n">
        <v>422.6212</v>
      </c>
      <c r="J19" s="66" t="n">
        <v>252.569</v>
      </c>
      <c r="K19" s="65" t="n"/>
      <c r="L19" s="65" t="n"/>
      <c r="M19" s="66" t="n">
        <v>195.9797</v>
      </c>
      <c r="N19" s="65" t="n"/>
      <c r="O19" s="66" t="n">
        <v>362.7987</v>
      </c>
      <c r="P19" s="66" t="n">
        <v>237.9285</v>
      </c>
      <c r="Q19" s="66" t="n">
        <v>507.6638</v>
      </c>
      <c r="R19" s="66" t="n">
        <v>435.1991</v>
      </c>
    </row>
    <row r="20">
      <c r="B20" s="15" t="inlineStr">
        <is>
          <t>LBw</t>
        </is>
      </c>
      <c r="C20" s="15" t="n">
        <v>3</v>
      </c>
      <c r="D20" s="66" t="inlineStr">
        <is>
          <t>467,0644</t>
        </is>
      </c>
      <c r="E20" s="65" t="n"/>
      <c r="F20" s="65" t="n"/>
      <c r="G20" s="66" t="inlineStr">
        <is>
          <t>583,1530</t>
        </is>
      </c>
      <c r="H20" s="65" t="n"/>
      <c r="I20" s="66" t="n">
        <v>466.8862</v>
      </c>
      <c r="J20" s="66" t="n">
        <v>270.8028</v>
      </c>
      <c r="K20" s="65" t="n"/>
      <c r="L20" s="65" t="n"/>
      <c r="M20" s="65" t="n"/>
      <c r="N20" s="66" t="n">
        <v>263.1016</v>
      </c>
      <c r="O20" s="66" t="n">
        <v>275.0038</v>
      </c>
      <c r="P20" s="65" t="n"/>
      <c r="Q20" s="65" t="n"/>
      <c r="R20" s="66" t="n">
        <v>362.3392</v>
      </c>
    </row>
    <row r="22">
      <c r="B22" s="15" t="inlineStr">
        <is>
          <t>Parâmetro p/</t>
        </is>
      </c>
      <c r="C22" s="15" t="inlineStr">
        <is>
          <t>Desvpad(Var(S2nd))</t>
        </is>
      </c>
      <c r="D22" s="15" t="n">
        <v>1</v>
      </c>
      <c r="E22" s="15" t="n">
        <v>2</v>
      </c>
      <c r="F22" s="15" t="n">
        <v>3</v>
      </c>
      <c r="G22" s="15" t="n">
        <v>4</v>
      </c>
      <c r="H22" s="15" t="n">
        <v>5</v>
      </c>
      <c r="I22" s="15" t="n">
        <v>6</v>
      </c>
      <c r="J22" s="15" t="n">
        <v>7</v>
      </c>
      <c r="K22" s="15" t="n">
        <v>8</v>
      </c>
      <c r="L22" s="15" t="n">
        <v>9</v>
      </c>
      <c r="M22" s="15" t="n">
        <v>10</v>
      </c>
      <c r="N22" s="15" t="n">
        <v>11</v>
      </c>
      <c r="O22" s="15" t="n">
        <v>12</v>
      </c>
      <c r="P22" s="15" t="n">
        <v>13</v>
      </c>
      <c r="Q22" s="15" t="n">
        <v>14</v>
      </c>
      <c r="R22" s="15" t="n">
        <v>15</v>
      </c>
    </row>
    <row r="23">
      <c r="B23" s="15" t="inlineStr">
        <is>
          <t>LBw</t>
        </is>
      </c>
      <c r="C23" s="15" t="n">
        <v>1</v>
      </c>
      <c r="D23" s="65" t="n"/>
      <c r="E23" s="65" t="n"/>
      <c r="F23" s="65" t="n"/>
      <c r="G23" s="65" t="n"/>
      <c r="H23" s="66" t="n">
        <v>277.3852</v>
      </c>
      <c r="I23" s="66" t="n">
        <v>114.4701</v>
      </c>
      <c r="J23" s="65" t="n"/>
      <c r="K23" s="66" t="n">
        <v>251.6818</v>
      </c>
      <c r="L23" s="66" t="n">
        <v>197.052</v>
      </c>
      <c r="M23" s="65" t="n"/>
      <c r="N23" s="66" t="n">
        <v>277.4759</v>
      </c>
      <c r="O23" s="65" t="n"/>
      <c r="P23" s="66" t="n">
        <v>123.9421</v>
      </c>
      <c r="Q23" s="66" t="n">
        <v>109.4126</v>
      </c>
      <c r="R23" s="66" t="n">
        <v>346.4116</v>
      </c>
    </row>
    <row r="24">
      <c r="B24" s="15" t="inlineStr">
        <is>
          <t>LBw</t>
        </is>
      </c>
      <c r="C24" s="15" t="n">
        <v>2</v>
      </c>
      <c r="D24" s="66" t="n">
        <v>160.9752</v>
      </c>
      <c r="E24" s="66" t="n">
        <v>121.0452</v>
      </c>
      <c r="F24" s="65" t="n"/>
      <c r="G24" s="65" t="n"/>
      <c r="H24" s="66" t="n">
        <v>217.2882</v>
      </c>
      <c r="I24" s="66" t="n">
        <v>239.086</v>
      </c>
      <c r="J24" s="66" t="n">
        <v>140.5445</v>
      </c>
      <c r="K24" s="65" t="n"/>
      <c r="L24" s="65" t="n"/>
      <c r="M24" s="66" t="n">
        <v>112.6414</v>
      </c>
      <c r="N24" s="65" t="n"/>
      <c r="O24" s="66" t="n">
        <v>205.8108</v>
      </c>
      <c r="P24" s="66" t="n">
        <v>135.1195</v>
      </c>
      <c r="Q24" s="66" t="n">
        <v>284.6164</v>
      </c>
      <c r="R24" s="66" t="n">
        <v>247.6234</v>
      </c>
    </row>
    <row r="25">
      <c r="B25" s="15" t="inlineStr">
        <is>
          <t>LBw</t>
        </is>
      </c>
      <c r="C25" s="15" t="n">
        <v>3</v>
      </c>
      <c r="D25" s="66" t="n">
        <v>278.6301</v>
      </c>
      <c r="E25" s="65" t="n"/>
      <c r="F25" s="65" t="n"/>
      <c r="G25" s="66" t="n">
        <v>331.4884</v>
      </c>
      <c r="H25" s="65" t="n"/>
      <c r="I25" s="66" t="n">
        <v>286.2747</v>
      </c>
      <c r="J25" s="66" t="n">
        <v>169.9887</v>
      </c>
      <c r="K25" s="65" t="n"/>
      <c r="L25" s="65" t="n"/>
      <c r="M25" s="65" t="n"/>
      <c r="N25" s="66" t="n">
        <v>158.1255</v>
      </c>
      <c r="O25" s="66" t="n">
        <v>153.0895</v>
      </c>
      <c r="P25" s="65" t="n"/>
      <c r="Q25" s="65" t="n"/>
      <c r="R25" s="66" t="n">
        <v>206.0767</v>
      </c>
    </row>
    <row r="27">
      <c r="B27" s="15" t="inlineStr">
        <is>
          <t>Parâmetro p/</t>
        </is>
      </c>
      <c r="C27" s="15" t="inlineStr">
        <is>
          <t>DesvPad(Var(E(RLT)))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</row>
    <row r="28">
      <c r="B28" s="15" t="inlineStr">
        <is>
          <t>LBw e DesvPad(ND*RLT)w</t>
        </is>
      </c>
      <c r="C28" s="15" t="n">
        <v>1</v>
      </c>
      <c r="D28" s="65">
        <f>Suppliers!I27</f>
        <v/>
      </c>
      <c r="E28" s="65">
        <f>Suppliers!J27</f>
        <v/>
      </c>
      <c r="F28" s="65">
        <f>Suppliers!K27</f>
        <v/>
      </c>
      <c r="G28" s="65">
        <f>Suppliers!L27</f>
        <v/>
      </c>
      <c r="H28" s="66">
        <f>Suppliers!M27</f>
        <v/>
      </c>
      <c r="I28" s="66">
        <f>Suppliers!N27</f>
        <v/>
      </c>
      <c r="J28" s="65">
        <f>Suppliers!O27</f>
        <v/>
      </c>
      <c r="K28" s="66">
        <f>Suppliers!P27</f>
        <v/>
      </c>
      <c r="L28" s="66">
        <f>Suppliers!Q27</f>
        <v/>
      </c>
      <c r="M28" s="65">
        <f>Suppliers!R27</f>
        <v/>
      </c>
      <c r="N28" s="66">
        <f>Suppliers!S27</f>
        <v/>
      </c>
      <c r="O28" s="65">
        <f>Suppliers!T27</f>
        <v/>
      </c>
      <c r="P28" s="66">
        <f>Suppliers!U27</f>
        <v/>
      </c>
      <c r="Q28" s="66">
        <f>Suppliers!V27</f>
        <v/>
      </c>
      <c r="R28" s="66">
        <f>Suppliers!W27</f>
        <v/>
      </c>
    </row>
    <row r="29">
      <c r="B29" s="15" t="inlineStr">
        <is>
          <t>LBw e DesvPad(ND*RLT)w</t>
        </is>
      </c>
      <c r="C29" s="15" t="n">
        <v>2</v>
      </c>
      <c r="D29" s="66">
        <f>Suppliers!I28</f>
        <v/>
      </c>
      <c r="E29" s="66">
        <f>Suppliers!J28</f>
        <v/>
      </c>
      <c r="F29" s="65">
        <f>Suppliers!K28</f>
        <v/>
      </c>
      <c r="G29" s="65">
        <f>Suppliers!L28</f>
        <v/>
      </c>
      <c r="H29" s="66">
        <f>Suppliers!M28</f>
        <v/>
      </c>
      <c r="I29" s="66">
        <f>Suppliers!N28</f>
        <v/>
      </c>
      <c r="J29" s="66">
        <f>Suppliers!O28</f>
        <v/>
      </c>
      <c r="K29" s="65">
        <f>Suppliers!P28</f>
        <v/>
      </c>
      <c r="L29" s="65">
        <f>Suppliers!Q28</f>
        <v/>
      </c>
      <c r="M29" s="66">
        <f>Suppliers!R28</f>
        <v/>
      </c>
      <c r="N29" s="65">
        <f>Suppliers!S28</f>
        <v/>
      </c>
      <c r="O29" s="66">
        <f>Suppliers!T28</f>
        <v/>
      </c>
      <c r="P29" s="66">
        <f>Suppliers!U28</f>
        <v/>
      </c>
      <c r="Q29" s="66">
        <f>Suppliers!V28</f>
        <v/>
      </c>
      <c r="R29" s="66">
        <f>Suppliers!W28</f>
        <v/>
      </c>
    </row>
    <row r="30">
      <c r="B30" s="15" t="inlineStr">
        <is>
          <t>LBw e DesvPad(ND*RLT)w</t>
        </is>
      </c>
      <c r="C30" s="15" t="n">
        <v>3</v>
      </c>
      <c r="D30" s="66">
        <f>Suppliers!I29</f>
        <v/>
      </c>
      <c r="E30" s="65">
        <f>Suppliers!J29</f>
        <v/>
      </c>
      <c r="F30" s="65">
        <f>Suppliers!K29</f>
        <v/>
      </c>
      <c r="G30" s="66">
        <f>Suppliers!L29</f>
        <v/>
      </c>
      <c r="H30" s="65">
        <f>Suppliers!M29</f>
        <v/>
      </c>
      <c r="I30" s="66">
        <f>Suppliers!N29</f>
        <v/>
      </c>
      <c r="J30" s="66">
        <f>Suppliers!O29</f>
        <v/>
      </c>
      <c r="K30" s="65">
        <f>Suppliers!P29</f>
        <v/>
      </c>
      <c r="L30" s="65">
        <f>Suppliers!Q29</f>
        <v/>
      </c>
      <c r="M30" s="65">
        <f>Suppliers!R29</f>
        <v/>
      </c>
      <c r="N30" s="66">
        <f>Suppliers!S29</f>
        <v/>
      </c>
      <c r="O30" s="66">
        <f>Suppliers!T29</f>
        <v/>
      </c>
      <c r="P30" s="65">
        <f>Suppliers!U29</f>
        <v/>
      </c>
      <c r="Q30" s="65">
        <f>Suppliers!V29</f>
        <v/>
      </c>
      <c r="R30" s="66">
        <f>Suppliers!W29</f>
        <v/>
      </c>
    </row>
    <row r="32">
      <c r="B32" s="15" t="inlineStr">
        <is>
          <t>Parâmetro p/</t>
        </is>
      </c>
      <c r="C32" s="15" t="inlineStr">
        <is>
          <t>Média(d-Cap)</t>
        </is>
      </c>
      <c r="D32" s="15" t="n">
        <v>1</v>
      </c>
      <c r="E32" s="15" t="n">
        <v>2</v>
      </c>
      <c r="F32" s="15" t="n">
        <v>3</v>
      </c>
      <c r="G32" s="15" t="n">
        <v>4</v>
      </c>
      <c r="H32" s="15" t="n">
        <v>5</v>
      </c>
      <c r="I32" s="15" t="n">
        <v>6</v>
      </c>
      <c r="J32" s="15" t="n">
        <v>7</v>
      </c>
      <c r="K32" s="15" t="n">
        <v>8</v>
      </c>
      <c r="L32" s="15" t="n">
        <v>9</v>
      </c>
      <c r="M32" s="15" t="n">
        <v>10</v>
      </c>
      <c r="N32" s="15" t="n">
        <v>11</v>
      </c>
      <c r="O32" s="15" t="n">
        <v>12</v>
      </c>
      <c r="P32" s="15" t="n">
        <v>13</v>
      </c>
      <c r="Q32" s="15" t="n">
        <v>14</v>
      </c>
      <c r="R32" s="15" t="n">
        <v>15</v>
      </c>
    </row>
    <row r="33">
      <c r="B33" s="15" t="inlineStr">
        <is>
          <t>DesvPad(ND*RLT)w</t>
        </is>
      </c>
      <c r="C33" s="15" t="n">
        <v>1</v>
      </c>
      <c r="D33" s="67" t="n">
        <v>-73.10000000000002</v>
      </c>
      <c r="E33" s="67" t="n">
        <v>-38.88000000000005</v>
      </c>
      <c r="F33" s="67" t="n">
        <v>-149.55</v>
      </c>
      <c r="G33" s="67" t="n">
        <v>-107.98</v>
      </c>
      <c r="H33" s="67" t="n">
        <v>46.69999999999999</v>
      </c>
      <c r="I33" s="67" t="n">
        <v>106.17</v>
      </c>
      <c r="J33" s="67" t="n">
        <v>-136.97</v>
      </c>
      <c r="K33" s="67" t="n">
        <v>138.53</v>
      </c>
      <c r="L33" s="67" t="n">
        <v>101.27</v>
      </c>
      <c r="M33" s="67" t="n">
        <v>-29.22000000000003</v>
      </c>
      <c r="N33" s="67" t="n">
        <v>16.77000000000004</v>
      </c>
      <c r="O33" s="67" t="n">
        <v>-25.31</v>
      </c>
      <c r="P33" s="67" t="n">
        <v>61.70000000000002</v>
      </c>
      <c r="Q33" s="67" t="n">
        <v>88.71000000000001</v>
      </c>
      <c r="R33" s="67" t="n">
        <v>153.0700000000001</v>
      </c>
    </row>
    <row r="34">
      <c r="B34" s="15" t="inlineStr">
        <is>
          <t>DesvPad(ND*RLT)w</t>
        </is>
      </c>
      <c r="C34" s="15" t="n">
        <v>2</v>
      </c>
      <c r="D34" s="67" t="n">
        <v>70.26999999999998</v>
      </c>
      <c r="E34" s="67" t="n">
        <v>54.39000000000001</v>
      </c>
      <c r="F34" s="67" t="n">
        <v>-69.21999999999997</v>
      </c>
      <c r="G34" s="67" t="n">
        <v>-226.34</v>
      </c>
      <c r="H34" s="67" t="n">
        <v>35.69</v>
      </c>
      <c r="I34" s="67" t="n">
        <v>73.69999999999999</v>
      </c>
      <c r="J34" s="67" t="n">
        <v>6.159999999999968</v>
      </c>
      <c r="K34" s="67" t="n">
        <v>-78.02000000000001</v>
      </c>
      <c r="L34" s="67" t="n">
        <v>-76.38</v>
      </c>
      <c r="M34" s="67" t="n">
        <v>70.93000000000001</v>
      </c>
      <c r="N34" s="67" t="n">
        <v>-108.97</v>
      </c>
      <c r="O34" s="67" t="n">
        <v>73.87</v>
      </c>
      <c r="P34" s="67" t="n">
        <v>61.50999999999999</v>
      </c>
      <c r="Q34" s="67" t="n">
        <v>54.40000000000003</v>
      </c>
      <c r="R34" s="67" t="n">
        <v>87.11000000000001</v>
      </c>
    </row>
    <row r="35">
      <c r="B35" s="15" t="inlineStr">
        <is>
          <t>DesvPad(ND*RLT)w</t>
        </is>
      </c>
      <c r="C35" s="15" t="n">
        <v>3</v>
      </c>
      <c r="D35" s="67" t="n">
        <v>165.21</v>
      </c>
      <c r="E35" s="67" t="n">
        <v>-98.88</v>
      </c>
      <c r="F35" s="67" t="n">
        <v>-171.21</v>
      </c>
      <c r="G35" s="67" t="n">
        <v>98.58000000000004</v>
      </c>
      <c r="H35" s="67" t="n">
        <v>-96.50999999999999</v>
      </c>
      <c r="I35" s="67" t="n">
        <v>199.62</v>
      </c>
      <c r="J35" s="67" t="n">
        <v>173.01</v>
      </c>
      <c r="K35" s="67" t="n">
        <v>-61.47000000000003</v>
      </c>
      <c r="L35" s="67" t="n">
        <v>-130.21</v>
      </c>
      <c r="M35" s="67" t="n">
        <v>-32.69</v>
      </c>
      <c r="N35" s="67" t="n">
        <v>131.25</v>
      </c>
      <c r="O35" s="67" t="n">
        <v>11.11000000000001</v>
      </c>
      <c r="P35" s="67" t="n">
        <v>-98.85000000000002</v>
      </c>
      <c r="Q35" s="67" t="n">
        <v>-44.68000000000001</v>
      </c>
      <c r="R35" s="67" t="n">
        <v>78.68000000000001</v>
      </c>
    </row>
    <row r="37">
      <c r="B37" s="15" t="inlineStr">
        <is>
          <t>Parâmetro p/</t>
        </is>
      </c>
      <c r="C37" s="15" t="inlineStr">
        <is>
          <t>DesvPad(Var(d-cap))</t>
        </is>
      </c>
      <c r="D37" s="15" t="n">
        <v>1</v>
      </c>
      <c r="E37" s="15" t="n">
        <v>2</v>
      </c>
      <c r="F37" s="15" t="n">
        <v>3</v>
      </c>
      <c r="G37" s="15" t="n">
        <v>4</v>
      </c>
      <c r="H37" s="15" t="n">
        <v>5</v>
      </c>
      <c r="I37" s="15" t="n">
        <v>6</v>
      </c>
      <c r="J37" s="15" t="n">
        <v>7</v>
      </c>
      <c r="K37" s="15" t="n">
        <v>8</v>
      </c>
      <c r="L37" s="15" t="n">
        <v>9</v>
      </c>
      <c r="M37" s="15" t="n">
        <v>10</v>
      </c>
      <c r="N37" s="15" t="n">
        <v>11</v>
      </c>
      <c r="O37" s="15" t="n">
        <v>12</v>
      </c>
      <c r="P37" s="15" t="n">
        <v>13</v>
      </c>
      <c r="Q37" s="15" t="n">
        <v>14</v>
      </c>
      <c r="R37" s="15" t="n">
        <v>15</v>
      </c>
    </row>
    <row r="38">
      <c r="B38" s="15" t="inlineStr">
        <is>
          <t>DesvPad(ND*RLT)w</t>
        </is>
      </c>
      <c r="C38" s="15" t="n">
        <v>1</v>
      </c>
      <c r="D38" s="67">
        <f>D18^0.5</f>
        <v/>
      </c>
      <c r="E38" s="67">
        <f>E18^0.5</f>
        <v/>
      </c>
      <c r="F38" s="67">
        <f>F18^0.5</f>
        <v/>
      </c>
      <c r="G38" s="67">
        <f>G18^0.5</f>
        <v/>
      </c>
      <c r="H38" s="67">
        <f>H18^0.5</f>
        <v/>
      </c>
      <c r="I38" s="67">
        <f>I18^0.5</f>
        <v/>
      </c>
      <c r="J38" s="67">
        <f>J18^0.5</f>
        <v/>
      </c>
      <c r="K38" s="67">
        <f>K18^0.5</f>
        <v/>
      </c>
      <c r="L38" s="67">
        <f>L18^0.5</f>
        <v/>
      </c>
      <c r="M38" s="67">
        <f>M18^0.5</f>
        <v/>
      </c>
      <c r="N38" s="67">
        <f>N18^0.5</f>
        <v/>
      </c>
      <c r="O38" s="67">
        <f>O18^0.5</f>
        <v/>
      </c>
      <c r="P38" s="67">
        <f>P18^0.5</f>
        <v/>
      </c>
      <c r="Q38" s="67">
        <f>Q18^0.5</f>
        <v/>
      </c>
      <c r="R38" s="67">
        <f>R18^0.5</f>
        <v/>
      </c>
    </row>
    <row r="39">
      <c r="B39" s="15" t="inlineStr">
        <is>
          <t>DesvPad(ND*RLT)w</t>
        </is>
      </c>
      <c r="C39" s="15" t="n">
        <v>2</v>
      </c>
      <c r="D39" s="67">
        <f>D19^0.5</f>
        <v/>
      </c>
      <c r="E39" s="67">
        <f>E19^0.5</f>
        <v/>
      </c>
      <c r="F39" s="67">
        <f>F19^0.5</f>
        <v/>
      </c>
      <c r="G39" s="67">
        <f>G19^0.5</f>
        <v/>
      </c>
      <c r="H39" s="67">
        <f>H19^0.5</f>
        <v/>
      </c>
      <c r="I39" s="67">
        <f>I19^0.5</f>
        <v/>
      </c>
      <c r="J39" s="67">
        <f>J19^0.5</f>
        <v/>
      </c>
      <c r="K39" s="67">
        <f>K19^0.5</f>
        <v/>
      </c>
      <c r="L39" s="67">
        <f>L19^0.5</f>
        <v/>
      </c>
      <c r="M39" s="67">
        <f>M19^0.5</f>
        <v/>
      </c>
      <c r="N39" s="67">
        <f>N19^0.5</f>
        <v/>
      </c>
      <c r="O39" s="67">
        <f>O19^0.5</f>
        <v/>
      </c>
      <c r="P39" s="67">
        <f>P19^0.5</f>
        <v/>
      </c>
      <c r="Q39" s="67">
        <f>Q19^0.5</f>
        <v/>
      </c>
      <c r="R39" s="67">
        <f>R19^0.5</f>
        <v/>
      </c>
    </row>
    <row r="40">
      <c r="B40" s="15" t="inlineStr">
        <is>
          <t>DesvPad(ND*RLT)w</t>
        </is>
      </c>
      <c r="C40" s="15" t="n">
        <v>3</v>
      </c>
      <c r="D40" s="67">
        <f>D20^0.5</f>
        <v/>
      </c>
      <c r="E40" s="67">
        <f>E20^0.5</f>
        <v/>
      </c>
      <c r="F40" s="67">
        <f>F20^0.5</f>
        <v/>
      </c>
      <c r="G40" s="67">
        <f>G20^0.5</f>
        <v/>
      </c>
      <c r="H40" s="67">
        <f>H20^0.5</f>
        <v/>
      </c>
      <c r="I40" s="67">
        <f>I20^0.5</f>
        <v/>
      </c>
      <c r="J40" s="67">
        <f>J20^0.5</f>
        <v/>
      </c>
      <c r="K40" s="67">
        <f>K20^0.5</f>
        <v/>
      </c>
      <c r="L40" s="67">
        <f>L20^0.5</f>
        <v/>
      </c>
      <c r="M40" s="67">
        <f>M20^0.5</f>
        <v/>
      </c>
      <c r="N40" s="67">
        <f>N20^0.5</f>
        <v/>
      </c>
      <c r="O40" s="67">
        <f>O20^0.5</f>
        <v/>
      </c>
      <c r="P40" s="67">
        <f>P20^0.5</f>
        <v/>
      </c>
      <c r="Q40" s="67">
        <f>Q20^0.5</f>
        <v/>
      </c>
      <c r="R40" s="67">
        <f>R20^0.5</f>
        <v/>
      </c>
    </row>
    <row r="42">
      <c r="C42" s="15" t="inlineStr">
        <is>
          <t>Prob1</t>
        </is>
      </c>
      <c r="D42" s="51" t="n">
        <v>0.98</v>
      </c>
    </row>
    <row r="43">
      <c r="D43" s="51" t="n"/>
    </row>
    <row r="44">
      <c r="C44" s="15" t="inlineStr">
        <is>
          <t>LBw</t>
        </is>
      </c>
      <c r="D44" s="15" t="n">
        <v>1</v>
      </c>
      <c r="E44" s="15" t="n">
        <v>2</v>
      </c>
      <c r="F44" s="15" t="n">
        <v>3</v>
      </c>
      <c r="G44" s="15" t="n">
        <v>4</v>
      </c>
      <c r="H44" s="15" t="n">
        <v>5</v>
      </c>
      <c r="I44" s="15" t="n">
        <v>6</v>
      </c>
      <c r="J44" s="15" t="n">
        <v>7</v>
      </c>
      <c r="K44" s="15" t="n">
        <v>8</v>
      </c>
      <c r="L44" s="15" t="n">
        <v>9</v>
      </c>
      <c r="M44" s="15" t="n">
        <v>10</v>
      </c>
      <c r="N44" s="15" t="n">
        <v>11</v>
      </c>
      <c r="O44" s="15" t="n">
        <v>12</v>
      </c>
      <c r="P44" s="15" t="n">
        <v>13</v>
      </c>
      <c r="Q44" s="15" t="n">
        <v>14</v>
      </c>
      <c r="R44" s="15" t="n">
        <v>15</v>
      </c>
    </row>
    <row r="45">
      <c r="C45" s="15" t="n">
        <v>1</v>
      </c>
      <c r="D45" s="67" t="n">
        <v>-1000</v>
      </c>
      <c r="E45" s="67" t="n">
        <v>0</v>
      </c>
      <c r="F45" s="67" t="n">
        <v>0</v>
      </c>
      <c r="G45" s="67" t="n">
        <v>0</v>
      </c>
      <c r="H45" s="67" t="n">
        <v>15818.30225</v>
      </c>
      <c r="I45" s="67" t="n">
        <v>6132.009322</v>
      </c>
      <c r="J45" s="67" t="n">
        <v>0</v>
      </c>
      <c r="K45" s="67" t="n">
        <v>13708.84898</v>
      </c>
      <c r="L45" s="67" t="n">
        <v>9372.339625000001</v>
      </c>
      <c r="M45" s="67" t="n">
        <v>0</v>
      </c>
      <c r="N45" s="67" t="n">
        <v>14327.464641</v>
      </c>
      <c r="O45" s="67" t="n">
        <v>0</v>
      </c>
      <c r="P45" s="67" t="n">
        <v>6918.396918</v>
      </c>
      <c r="Q45" s="67" t="n">
        <v>5897.562664</v>
      </c>
      <c r="R45" s="67" t="n">
        <v>21002.389586</v>
      </c>
    </row>
    <row r="46">
      <c r="C46" s="15" t="n">
        <v>2</v>
      </c>
      <c r="D46" s="67" t="n">
        <v>8074.181162</v>
      </c>
      <c r="E46" s="67" t="n">
        <v>8186.446299</v>
      </c>
      <c r="F46" s="67" t="n">
        <v>0</v>
      </c>
      <c r="G46" s="67" t="n">
        <v>0</v>
      </c>
      <c r="H46" s="67" t="n">
        <v>9834.263471</v>
      </c>
      <c r="I46" s="67" t="n">
        <v>14601.56764</v>
      </c>
      <c r="J46" s="67" t="n">
        <v>6563.431588</v>
      </c>
      <c r="K46" s="67" t="n">
        <v>0</v>
      </c>
      <c r="L46" s="67" t="n">
        <v>0</v>
      </c>
      <c r="M46" s="67" t="n">
        <v>5627.912588</v>
      </c>
      <c r="N46" s="67" t="n">
        <v>0</v>
      </c>
      <c r="O46" s="67" t="n">
        <v>12387.655605</v>
      </c>
      <c r="P46" s="67" t="n">
        <v>10079.393149</v>
      </c>
      <c r="Q46" s="67" t="n">
        <v>19670.322975</v>
      </c>
      <c r="R46" s="67" t="n">
        <v>12770.937933</v>
      </c>
    </row>
    <row r="47">
      <c r="C47" s="15" t="n">
        <v>3</v>
      </c>
      <c r="D47" s="67" t="n">
        <v>19048.847044</v>
      </c>
      <c r="E47" s="67" t="n">
        <v>0</v>
      </c>
      <c r="F47" s="67" t="n">
        <v>0</v>
      </c>
      <c r="G47" s="67" t="n">
        <v>17725.552026</v>
      </c>
      <c r="H47" s="67" t="n">
        <v>0</v>
      </c>
      <c r="I47" s="67" t="n">
        <v>18633.410754</v>
      </c>
      <c r="J47" s="67" t="n">
        <v>7876.716274</v>
      </c>
      <c r="K47" s="67" t="n">
        <v>0</v>
      </c>
      <c r="L47" s="67" t="n">
        <v>0</v>
      </c>
      <c r="M47" s="67" t="n">
        <v>0</v>
      </c>
      <c r="N47" s="67" t="n">
        <v>6106.984279</v>
      </c>
      <c r="O47" s="67" t="n">
        <v>8295.877818999999</v>
      </c>
      <c r="P47" s="67" t="n">
        <v>0</v>
      </c>
      <c r="Q47" s="67" t="n">
        <v>0</v>
      </c>
      <c r="R47" s="67" t="n">
        <v>10070.459227</v>
      </c>
    </row>
    <row r="49">
      <c r="C49" s="15" t="inlineStr">
        <is>
          <t>DesvPad(ND*RLT)w</t>
        </is>
      </c>
      <c r="D49" s="15" t="n">
        <v>1</v>
      </c>
      <c r="E49" s="15" t="n">
        <v>2</v>
      </c>
      <c r="F49" s="15" t="n">
        <v>3</v>
      </c>
      <c r="G49" s="15" t="n">
        <v>4</v>
      </c>
      <c r="H49" s="15" t="n">
        <v>5</v>
      </c>
      <c r="I49" s="15" t="n">
        <v>6</v>
      </c>
      <c r="J49" s="15" t="n">
        <v>7</v>
      </c>
      <c r="K49" s="15" t="n">
        <v>8</v>
      </c>
      <c r="L49" s="15" t="n">
        <v>9</v>
      </c>
      <c r="M49" s="15" t="n">
        <v>10</v>
      </c>
      <c r="N49" s="15" t="n">
        <v>11</v>
      </c>
      <c r="O49" s="15" t="n">
        <v>12</v>
      </c>
      <c r="P49" s="15" t="n">
        <v>13</v>
      </c>
      <c r="Q49" s="15" t="n">
        <v>14</v>
      </c>
      <c r="R49" s="15" t="n">
        <v>15</v>
      </c>
    </row>
    <row r="50">
      <c r="C50" s="15" t="n">
        <v>1</v>
      </c>
      <c r="D50" s="67" t="n">
        <v>0</v>
      </c>
      <c r="E50" s="67" t="n">
        <v>0</v>
      </c>
      <c r="F50" s="67" t="n">
        <v>0</v>
      </c>
      <c r="G50" s="67" t="n">
        <v>0</v>
      </c>
      <c r="H50" s="67" t="n">
        <v>89.3519</v>
      </c>
      <c r="I50" s="67" t="n">
        <v>58.127</v>
      </c>
      <c r="J50" s="67" t="n">
        <v>0</v>
      </c>
      <c r="K50" s="67" t="n">
        <v>86.01690000000001</v>
      </c>
      <c r="L50" s="67" t="n">
        <v>70.3036</v>
      </c>
      <c r="M50" s="67" t="n">
        <v>0</v>
      </c>
      <c r="N50" s="67" t="n">
        <v>84.74079999999999</v>
      </c>
      <c r="O50" s="67" t="n">
        <v>0</v>
      </c>
      <c r="P50" s="67" t="n">
        <v>59.7737</v>
      </c>
      <c r="Q50" s="67" t="n">
        <v>56.3029</v>
      </c>
      <c r="R50" s="67" t="n">
        <v>106.0337</v>
      </c>
    </row>
    <row r="51">
      <c r="C51" s="15" t="n">
        <v>2</v>
      </c>
      <c r="D51" s="67" t="n">
        <v>223.0756</v>
      </c>
      <c r="E51" s="67" t="n">
        <v>64.8184</v>
      </c>
      <c r="F51" s="67" t="n">
        <v>0</v>
      </c>
      <c r="G51" s="67" t="n">
        <v>0</v>
      </c>
      <c r="H51" s="67" t="n">
        <v>70.3806</v>
      </c>
      <c r="I51" s="67" t="n">
        <v>86.49209999999999</v>
      </c>
      <c r="J51" s="67" t="n">
        <v>57.3334</v>
      </c>
      <c r="K51" s="67" t="n">
        <v>0</v>
      </c>
      <c r="L51" s="67" t="n">
        <v>0</v>
      </c>
      <c r="M51" s="67" t="n">
        <v>54.2832</v>
      </c>
      <c r="N51" s="67" t="n">
        <v>0</v>
      </c>
      <c r="O51" s="67" t="n">
        <v>79.8168</v>
      </c>
      <c r="P51" s="67" t="n">
        <v>72.0508</v>
      </c>
      <c r="Q51" s="67" t="n">
        <v>99.76730000000001</v>
      </c>
      <c r="R51" s="67" t="n">
        <v>81.2089</v>
      </c>
    </row>
    <row r="52">
      <c r="C52" s="15" t="n">
        <v>3</v>
      </c>
      <c r="D52" s="67" t="n">
        <v>102.4257</v>
      </c>
      <c r="E52" s="67" t="n">
        <v>0</v>
      </c>
      <c r="F52" s="67" t="n">
        <v>0</v>
      </c>
      <c r="G52" s="67" t="n">
        <v>95.6105</v>
      </c>
      <c r="H52" s="67" t="n">
        <v>0</v>
      </c>
      <c r="I52" s="67" t="n">
        <v>103.1899</v>
      </c>
      <c r="J52" s="67" t="n">
        <v>68.1494</v>
      </c>
      <c r="K52" s="67" t="n">
        <v>0</v>
      </c>
      <c r="L52" s="67" t="n">
        <v>0</v>
      </c>
      <c r="M52" s="67" t="n">
        <v>0</v>
      </c>
      <c r="N52" s="67" t="n">
        <v>58.2861</v>
      </c>
      <c r="O52" s="67" t="n">
        <v>64.4752</v>
      </c>
      <c r="P52" s="67" t="n">
        <v>0</v>
      </c>
      <c r="Q52" s="67" t="n">
        <v>0</v>
      </c>
      <c r="R52" s="67" t="n">
        <v>72.0919</v>
      </c>
    </row>
    <row r="54" ht="23.4" customHeight="1">
      <c r="C54" s="60" t="inlineStr">
        <is>
          <t>FACTORIES</t>
        </is>
      </c>
    </row>
    <row r="55">
      <c r="C55" s="15" t="inlineStr">
        <is>
          <t>demand</t>
        </is>
      </c>
      <c r="D55" s="15" t="n">
        <v>16</v>
      </c>
      <c r="E55" s="15" t="n">
        <v>17</v>
      </c>
      <c r="F55" s="15" t="n">
        <v>18</v>
      </c>
    </row>
    <row r="56">
      <c r="C56" s="15" t="n">
        <v>4</v>
      </c>
      <c r="D56" s="39">
        <f>Demand!AU11</f>
        <v/>
      </c>
      <c r="E56" s="39">
        <f>Demand!AV11</f>
        <v/>
      </c>
      <c r="F56" s="39">
        <f>Demand!AW11</f>
        <v/>
      </c>
    </row>
    <row r="57">
      <c r="B57" s="39" t="n"/>
      <c r="C57" s="15" t="n">
        <v>5</v>
      </c>
      <c r="D57" s="39">
        <f>Demand!AU12</f>
        <v/>
      </c>
      <c r="E57" s="39">
        <f>Demand!AV12</f>
        <v/>
      </c>
      <c r="F57" s="39">
        <f>Demand!AW12</f>
        <v/>
      </c>
    </row>
    <row r="58">
      <c r="C58" s="15" t="n">
        <v>6</v>
      </c>
      <c r="D58" s="39">
        <f>Demand!AU13</f>
        <v/>
      </c>
      <c r="E58" s="39">
        <f>Demand!AV13</f>
        <v/>
      </c>
      <c r="F58" s="39">
        <f>Demand!AW13</f>
        <v/>
      </c>
    </row>
    <row r="60">
      <c r="B60" s="15" t="inlineStr">
        <is>
          <t>Parâmetro p/</t>
        </is>
      </c>
      <c r="C60" s="15" t="inlineStr">
        <is>
          <t>Média(E(RLT))</t>
        </is>
      </c>
      <c r="D60" s="15" t="n">
        <v>16</v>
      </c>
      <c r="E60" s="15" t="n">
        <v>17</v>
      </c>
      <c r="F60" s="15" t="n">
        <v>18</v>
      </c>
    </row>
    <row r="61">
      <c r="B61" s="15" t="inlineStr">
        <is>
          <t>LBf e DesvPad(ND*RLT)f</t>
        </is>
      </c>
      <c r="C61" s="15" t="n">
        <v>4</v>
      </c>
      <c r="D61" s="39">
        <f>Factories!I22</f>
        <v/>
      </c>
      <c r="E61" s="39">
        <f>Factories!J22</f>
        <v/>
      </c>
      <c r="F61" s="39">
        <f>Factories!K22</f>
        <v/>
      </c>
    </row>
    <row r="62">
      <c r="B62" s="15" t="inlineStr">
        <is>
          <t>LBf e DesvPad(ND*RLT)f</t>
        </is>
      </c>
      <c r="C62" s="15" t="n">
        <v>5</v>
      </c>
      <c r="D62" s="39">
        <f>Factories!I23</f>
        <v/>
      </c>
      <c r="E62" s="39">
        <f>Factories!J23</f>
        <v/>
      </c>
      <c r="F62" s="39">
        <f>Factories!K23</f>
        <v/>
      </c>
    </row>
    <row r="63">
      <c r="B63" s="15" t="inlineStr">
        <is>
          <t>LBf e DesvPad(ND*RLT)f</t>
        </is>
      </c>
      <c r="C63" s="15" t="n">
        <v>6</v>
      </c>
      <c r="D63" s="39">
        <f>Factories!I24</f>
        <v/>
      </c>
      <c r="E63" s="39">
        <f>Factories!J24</f>
        <v/>
      </c>
      <c r="F63" s="39">
        <f>Factories!K24</f>
        <v/>
      </c>
    </row>
    <row r="65">
      <c r="C65" s="15" t="inlineStr">
        <is>
          <t>Cap</t>
        </is>
      </c>
      <c r="D65" s="15" t="n">
        <v>16</v>
      </c>
      <c r="E65" s="15" t="n">
        <v>17</v>
      </c>
      <c r="F65" s="15" t="n">
        <v>18</v>
      </c>
    </row>
    <row r="66">
      <c r="C66" s="15" t="n">
        <v>4</v>
      </c>
      <c r="D66" s="39">
        <f>Factories_Cap!D8</f>
        <v/>
      </c>
      <c r="E66" s="39">
        <f>Factories_Cap!E8</f>
        <v/>
      </c>
      <c r="F66" s="39">
        <f>Factories_Cap!F8</f>
        <v/>
      </c>
    </row>
    <row r="67">
      <c r="C67" s="15" t="n">
        <v>5</v>
      </c>
      <c r="D67" s="39">
        <f>Factories_Cap!D9</f>
        <v/>
      </c>
      <c r="E67" s="39">
        <f>Factories_Cap!E9</f>
        <v/>
      </c>
      <c r="F67" s="39">
        <f>Factories_Cap!F9</f>
        <v/>
      </c>
    </row>
    <row r="68">
      <c r="C68" s="15" t="n">
        <v>6</v>
      </c>
      <c r="D68" s="39">
        <f>Factories_Cap!D10</f>
        <v/>
      </c>
      <c r="E68" s="39">
        <f>Factories_Cap!E10</f>
        <v/>
      </c>
      <c r="F68" s="39">
        <f>Factories_Cap!F10</f>
        <v/>
      </c>
    </row>
    <row r="70">
      <c r="B70" s="15" t="inlineStr">
        <is>
          <t>Parâmetro p/</t>
        </is>
      </c>
      <c r="C70" s="15" t="inlineStr">
        <is>
          <t>Var(d-cap)</t>
        </is>
      </c>
      <c r="D70" s="15" t="n">
        <v>16</v>
      </c>
      <c r="E70" s="15" t="n">
        <v>17</v>
      </c>
      <c r="F70" s="15" t="n">
        <v>18</v>
      </c>
    </row>
    <row r="71">
      <c r="B71" s="15" t="inlineStr">
        <is>
          <t>LBf</t>
        </is>
      </c>
      <c r="C71" s="15" t="n">
        <v>4</v>
      </c>
      <c r="D71" s="54" t="inlineStr">
        <is>
          <t>7365,6680</t>
        </is>
      </c>
      <c r="E71" s="54" t="inlineStr">
        <is>
          <t>6202,5095</t>
        </is>
      </c>
      <c r="F71" s="54" t="inlineStr">
        <is>
          <t>8265,4988</t>
        </is>
      </c>
    </row>
    <row r="72">
      <c r="B72" s="15" t="inlineStr">
        <is>
          <t>LBf</t>
        </is>
      </c>
      <c r="C72" s="15" t="n">
        <v>5</v>
      </c>
      <c r="D72" s="53" t="n"/>
      <c r="E72" s="54" t="inlineStr">
        <is>
          <t>5170,4611</t>
        </is>
      </c>
      <c r="F72" s="53" t="n"/>
    </row>
    <row r="73">
      <c r="B73" s="15" t="inlineStr">
        <is>
          <t>LBf</t>
        </is>
      </c>
      <c r="C73" s="15" t="n">
        <v>6</v>
      </c>
      <c r="D73" s="53" t="n"/>
      <c r="E73" s="54" t="inlineStr">
        <is>
          <t>4906,5998</t>
        </is>
      </c>
      <c r="F73" s="53" t="n"/>
    </row>
    <row r="75">
      <c r="B75" s="15" t="inlineStr">
        <is>
          <t>Parâmetro p/</t>
        </is>
      </c>
      <c r="C75" s="15" t="inlineStr">
        <is>
          <t>Desvpad(Var(S2nd))</t>
        </is>
      </c>
      <c r="D75" s="15" t="n">
        <v>16</v>
      </c>
      <c r="E75" s="15" t="n">
        <v>17</v>
      </c>
      <c r="F75" s="15" t="n">
        <v>18</v>
      </c>
    </row>
    <row r="76">
      <c r="B76" s="15" t="inlineStr">
        <is>
          <t>LBf</t>
        </is>
      </c>
      <c r="C76" s="15" t="n">
        <v>4</v>
      </c>
      <c r="D76" s="54" t="inlineStr">
        <is>
          <t>4277,7774</t>
        </is>
      </c>
      <c r="E76" s="54" t="inlineStr">
        <is>
          <t>3472,1356</t>
        </is>
      </c>
      <c r="F76" s="54" t="inlineStr">
        <is>
          <t>4613,1497</t>
        </is>
      </c>
    </row>
    <row r="77">
      <c r="B77" s="15" t="inlineStr">
        <is>
          <t>LBf</t>
        </is>
      </c>
      <c r="C77" s="15" t="n">
        <v>5</v>
      </c>
      <c r="D77" s="53" t="n"/>
      <c r="E77" s="54" t="inlineStr">
        <is>
          <t>2903,2134</t>
        </is>
      </c>
      <c r="F77" s="53" t="n"/>
    </row>
    <row r="78">
      <c r="B78" s="15" t="inlineStr">
        <is>
          <t>LBf</t>
        </is>
      </c>
      <c r="C78" s="15" t="n">
        <v>6</v>
      </c>
      <c r="D78" s="53" t="n"/>
      <c r="E78" s="54" t="inlineStr">
        <is>
          <t>2818,2132</t>
        </is>
      </c>
      <c r="F78" s="53" t="n"/>
    </row>
    <row r="80">
      <c r="B80" s="15" t="inlineStr">
        <is>
          <t>Parâmetro p/</t>
        </is>
      </c>
      <c r="C80" s="15" t="inlineStr">
        <is>
          <t>DesvPadVar(E(RLT))</t>
        </is>
      </c>
      <c r="D80" s="15" t="n">
        <v>16</v>
      </c>
      <c r="E80" s="15" t="n">
        <v>17</v>
      </c>
      <c r="F80" s="15" t="n">
        <v>18</v>
      </c>
    </row>
    <row r="81">
      <c r="B81" s="15" t="inlineStr">
        <is>
          <t>LBf e DesvPad(ND*RLT)f</t>
        </is>
      </c>
      <c r="C81" s="15" t="n">
        <v>4</v>
      </c>
      <c r="D81" s="65">
        <f>Factories!I27</f>
        <v/>
      </c>
      <c r="E81" s="65">
        <f>Factories!J27</f>
        <v/>
      </c>
      <c r="F81" s="65">
        <f>Factories!K27</f>
        <v/>
      </c>
    </row>
    <row r="82">
      <c r="B82" s="15" t="inlineStr">
        <is>
          <t>LBf e DesvPad(ND*RLT)f</t>
        </is>
      </c>
      <c r="C82" s="15" t="n">
        <v>5</v>
      </c>
      <c r="D82" s="65">
        <f>Factories!I28</f>
        <v/>
      </c>
      <c r="E82" s="65">
        <f>Factories!J28</f>
        <v/>
      </c>
      <c r="F82" s="65">
        <f>Factories!K28</f>
        <v/>
      </c>
    </row>
    <row r="83">
      <c r="B83" s="15" t="inlineStr">
        <is>
          <t>LBf e DesvPad(ND*RLT)f</t>
        </is>
      </c>
      <c r="C83" s="15" t="n">
        <v>6</v>
      </c>
      <c r="D83" s="65">
        <f>Factories!I29</f>
        <v/>
      </c>
      <c r="E83" s="65">
        <f>Factories!J29</f>
        <v/>
      </c>
      <c r="F83" s="65">
        <f>Factories!K29</f>
        <v/>
      </c>
    </row>
    <row r="85">
      <c r="B85" s="15" t="inlineStr">
        <is>
          <t>Parâmetro p/</t>
        </is>
      </c>
      <c r="C85" s="15" t="inlineStr">
        <is>
          <t>Média(d-Cap)</t>
        </is>
      </c>
      <c r="D85" s="15" t="n">
        <v>16</v>
      </c>
      <c r="E85" s="15" t="n">
        <v>17</v>
      </c>
      <c r="F85" s="15" t="n">
        <v>18</v>
      </c>
    </row>
    <row r="86">
      <c r="B86" s="15" t="inlineStr">
        <is>
          <t>DesvPad(ND*RLT)f</t>
        </is>
      </c>
      <c r="C86" s="15" t="n">
        <v>4</v>
      </c>
      <c r="D86" s="67" t="n">
        <v>503.6499999999999</v>
      </c>
      <c r="E86" s="67" t="n">
        <v>170.29</v>
      </c>
      <c r="F86" s="67" t="n">
        <v>140.76</v>
      </c>
    </row>
    <row r="87">
      <c r="B87" s="15" t="inlineStr">
        <is>
          <t>DesvPad(ND*RLT)f</t>
        </is>
      </c>
      <c r="C87" s="15" t="n">
        <v>5</v>
      </c>
      <c r="D87" s="67" t="n">
        <v>-200.04</v>
      </c>
      <c r="E87" s="67" t="n">
        <v>190.3700000000001</v>
      </c>
      <c r="F87" s="67" t="n">
        <v>-404.96</v>
      </c>
    </row>
    <row r="88">
      <c r="B88" s="15" t="inlineStr">
        <is>
          <t>DesvPad(ND*RLT)f</t>
        </is>
      </c>
      <c r="C88" s="15" t="n">
        <v>6</v>
      </c>
      <c r="D88" s="67" t="n">
        <v>-331.54</v>
      </c>
      <c r="E88" s="67" t="n">
        <v>351.01</v>
      </c>
      <c r="F88" s="67" t="n">
        <v>-972.8899999999999</v>
      </c>
    </row>
    <row r="90">
      <c r="B90" s="15" t="inlineStr">
        <is>
          <t>Parâmetro p/</t>
        </is>
      </c>
      <c r="C90" s="15" t="inlineStr">
        <is>
          <t>DesvPad(Var(d-cap))</t>
        </is>
      </c>
      <c r="D90" s="15" t="n">
        <v>16</v>
      </c>
      <c r="E90" s="15" t="n">
        <v>17</v>
      </c>
      <c r="F90" s="15" t="n">
        <v>18</v>
      </c>
    </row>
    <row r="91">
      <c r="B91" s="15" t="inlineStr">
        <is>
          <t>DesvPad(ND*RLT)f</t>
        </is>
      </c>
      <c r="C91" s="15" t="n">
        <v>4</v>
      </c>
      <c r="D91" s="67" t="n">
        <v>85.82346998344916</v>
      </c>
      <c r="E91" s="67" t="n">
        <v>78.75601246889028</v>
      </c>
      <c r="F91" s="67" t="n">
        <v>90.91478867599044</v>
      </c>
    </row>
    <row r="92">
      <c r="B92" s="15" t="inlineStr">
        <is>
          <t>DesvPad(ND*RLT)f</t>
        </is>
      </c>
      <c r="C92" s="15" t="n">
        <v>5</v>
      </c>
      <c r="D92" s="67" t="n">
        <v>0</v>
      </c>
      <c r="E92" s="67" t="n">
        <v>71.90591839341182</v>
      </c>
      <c r="F92" s="67" t="n">
        <v>0</v>
      </c>
    </row>
    <row r="93">
      <c r="B93" s="15" t="inlineStr">
        <is>
          <t>DesvPad(ND*RLT)f</t>
        </is>
      </c>
      <c r="C93" s="15" t="n">
        <v>6</v>
      </c>
      <c r="D93" s="67" t="n">
        <v>0</v>
      </c>
      <c r="E93" s="67" t="n">
        <v>70.04712556557907</v>
      </c>
      <c r="F93" s="67" t="n">
        <v>0</v>
      </c>
    </row>
    <row r="95">
      <c r="C95" s="15" t="inlineStr">
        <is>
          <t>Prob1</t>
        </is>
      </c>
      <c r="D95" s="51" t="n">
        <v>0.98</v>
      </c>
    </row>
    <row r="96">
      <c r="E96" s="51" t="n"/>
      <c r="F96" s="51" t="n"/>
    </row>
    <row r="97">
      <c r="C97" s="15" t="inlineStr">
        <is>
          <t>Fac Var*LT</t>
        </is>
      </c>
      <c r="D97" s="15" t="n">
        <v>16</v>
      </c>
      <c r="E97" s="15" t="n">
        <v>17</v>
      </c>
      <c r="F97" s="15" t="n">
        <v>18</v>
      </c>
    </row>
    <row r="98">
      <c r="C98" s="15" t="n">
        <v>4</v>
      </c>
      <c r="D98" s="67" t="n">
        <v>79279.530407</v>
      </c>
      <c r="E98" s="67" t="n">
        <v>87272.45713</v>
      </c>
      <c r="F98" s="67" t="n">
        <v>72838.994498</v>
      </c>
    </row>
    <row r="99">
      <c r="C99" s="15" t="n">
        <v>5</v>
      </c>
      <c r="D99" s="67" t="n"/>
      <c r="E99" s="67" t="n">
        <v>75216.29309399999</v>
      </c>
      <c r="F99" s="67" t="n"/>
    </row>
    <row r="100">
      <c r="C100" s="15" t="n">
        <v>6</v>
      </c>
      <c r="D100" s="67" t="n"/>
      <c r="E100" s="67" t="n">
        <v>59044.691188</v>
      </c>
      <c r="F100" s="67" t="n"/>
    </row>
    <row r="102">
      <c r="C102" s="15" t="inlineStr">
        <is>
          <t>DesvPad(ND*RLT)f</t>
        </is>
      </c>
      <c r="D102" s="15" t="n">
        <v>16</v>
      </c>
      <c r="E102" s="15" t="n">
        <v>17</v>
      </c>
      <c r="F102" s="15" t="n">
        <v>18</v>
      </c>
    </row>
    <row r="103">
      <c r="C103" s="15" t="n">
        <v>4</v>
      </c>
      <c r="D103" s="67" t="n">
        <v>205.1894</v>
      </c>
      <c r="E103" s="67" t="n">
        <v>209.9278</v>
      </c>
      <c r="F103" s="67" t="n">
        <v>191.3891</v>
      </c>
    </row>
    <row r="104">
      <c r="C104" s="15" t="n">
        <v>5</v>
      </c>
      <c r="D104" s="67" t="n">
        <v>0</v>
      </c>
      <c r="E104" s="67" t="n">
        <v>195.2975</v>
      </c>
      <c r="F104" s="67" t="n">
        <v>0</v>
      </c>
    </row>
    <row r="105">
      <c r="C105" s="15" t="n">
        <v>6</v>
      </c>
      <c r="D105" s="67" t="n">
        <v>0</v>
      </c>
      <c r="E105" s="67" t="n">
        <v>175.744</v>
      </c>
      <c r="F105" s="67" t="n">
        <v>0</v>
      </c>
    </row>
  </sheetData>
  <conditionalFormatting sqref="D86:F88">
    <cfRule type="cellIs" priority="2" operator="equal" dxfId="7">
      <formula>1</formula>
    </cfRule>
  </conditionalFormatting>
  <conditionalFormatting sqref="D91:F93">
    <cfRule type="cellIs" priority="1" operator="equal" dxfId="7">
      <formula>1</formula>
    </cfRule>
  </conditionalFormatting>
  <conditionalFormatting sqref="D98:F100">
    <cfRule type="cellIs" priority="26" operator="equal" dxfId="7">
      <formula>1</formula>
    </cfRule>
  </conditionalFormatting>
  <conditionalFormatting sqref="D103:F105">
    <cfRule type="cellIs" priority="15" operator="equal" dxfId="7">
      <formula>1</formula>
    </cfRule>
  </conditionalFormatting>
  <conditionalFormatting sqref="D33:R35">
    <cfRule type="cellIs" priority="4" operator="equal" dxfId="7">
      <formula>1</formula>
    </cfRule>
  </conditionalFormatting>
  <conditionalFormatting sqref="D38:R40">
    <cfRule type="cellIs" priority="3" operator="equal" dxfId="7">
      <formula>1</formula>
    </cfRule>
  </conditionalFormatting>
  <conditionalFormatting sqref="D45:R47">
    <cfRule type="cellIs" priority="11" operator="equal" dxfId="7">
      <formula>1</formula>
    </cfRule>
  </conditionalFormatting>
  <conditionalFormatting sqref="D50:R52">
    <cfRule type="cellIs" priority="8" operator="equal" dxfId="7">
      <formula>1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topLeftCell="A7" workbookViewId="0">
      <selection activeCell="D75" sqref="D75"/>
    </sheetView>
  </sheetViews>
  <sheetFormatPr baseColWidth="8" defaultRowHeight="14.4"/>
  <cols>
    <col width="8.88671875" customWidth="1" style="15" min="1" max="1"/>
    <col width="13.33203125" bestFit="1" customWidth="1" style="15" min="2" max="2"/>
    <col width="18.44140625" bestFit="1" customWidth="1" style="15" min="3" max="3"/>
    <col width="12" bestFit="1" customWidth="1" style="15" min="4" max="18"/>
    <col width="8.88671875" customWidth="1" style="15" min="19" max="16384"/>
  </cols>
  <sheetData>
    <row r="1" ht="23.4" customHeight="1">
      <c r="C1" s="60" t="inlineStr">
        <is>
          <t>SUPPLIERS</t>
        </is>
      </c>
    </row>
    <row r="2">
      <c r="B2" s="15" t="inlineStr">
        <is>
          <t>Parâmetros p/</t>
        </is>
      </c>
      <c r="C2" s="15" t="inlineStr">
        <is>
          <t>demand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</row>
    <row r="3">
      <c r="B3" s="15" t="inlineStr">
        <is>
          <t>Prob(D*RLT)</t>
        </is>
      </c>
      <c r="C3" s="15" t="n">
        <v>1</v>
      </c>
      <c r="D3" s="39">
        <f>Demand!AU5</f>
        <v/>
      </c>
      <c r="E3" s="39">
        <f>Demand!AV5</f>
        <v/>
      </c>
      <c r="F3" s="39">
        <f>Demand!AW5</f>
        <v/>
      </c>
      <c r="G3" s="39">
        <f>Demand!AX5</f>
        <v/>
      </c>
      <c r="H3" s="55">
        <f>Demand!AY5</f>
        <v/>
      </c>
      <c r="I3" s="55">
        <f>Demand!AZ5</f>
        <v/>
      </c>
      <c r="J3" s="39">
        <f>Demand!BA5</f>
        <v/>
      </c>
      <c r="K3" s="55">
        <f>Demand!BB5</f>
        <v/>
      </c>
      <c r="L3" s="55">
        <f>Demand!BC5</f>
        <v/>
      </c>
      <c r="M3" s="39">
        <f>Demand!BD5</f>
        <v/>
      </c>
      <c r="N3" s="55">
        <f>Demand!BE5</f>
        <v/>
      </c>
      <c r="O3" s="39">
        <f>Demand!BF5</f>
        <v/>
      </c>
      <c r="P3" s="55">
        <f>Demand!BG5</f>
        <v/>
      </c>
      <c r="Q3" s="55">
        <f>Demand!BH5</f>
        <v/>
      </c>
      <c r="R3" s="55">
        <f>Demand!BI5</f>
        <v/>
      </c>
    </row>
    <row r="4">
      <c r="B4" s="15" t="inlineStr">
        <is>
          <t>Prob(D*RLT)</t>
        </is>
      </c>
      <c r="C4" s="15" t="n">
        <v>2</v>
      </c>
      <c r="D4" s="55">
        <f>Demand!AU6</f>
        <v/>
      </c>
      <c r="E4" s="55">
        <f>Demand!AV6</f>
        <v/>
      </c>
      <c r="F4" s="39">
        <f>Demand!AW6</f>
        <v/>
      </c>
      <c r="G4" s="39">
        <f>Demand!AX6</f>
        <v/>
      </c>
      <c r="H4" s="55">
        <f>Demand!AY6</f>
        <v/>
      </c>
      <c r="I4" s="55">
        <f>Demand!AZ6</f>
        <v/>
      </c>
      <c r="J4" s="55">
        <f>Demand!BA6</f>
        <v/>
      </c>
      <c r="K4" s="39">
        <f>Demand!BB6</f>
        <v/>
      </c>
      <c r="L4" s="39">
        <f>Demand!BC6</f>
        <v/>
      </c>
      <c r="M4" s="55">
        <f>Demand!BD6</f>
        <v/>
      </c>
      <c r="N4" s="39">
        <f>Demand!BE6</f>
        <v/>
      </c>
      <c r="O4" s="55">
        <f>Demand!BF6</f>
        <v/>
      </c>
      <c r="P4" s="55">
        <f>Demand!BG6</f>
        <v/>
      </c>
      <c r="Q4" s="55">
        <f>Demand!BH6</f>
        <v/>
      </c>
      <c r="R4" s="55">
        <f>Demand!BI6</f>
        <v/>
      </c>
    </row>
    <row r="5">
      <c r="B5" s="15" t="inlineStr">
        <is>
          <t>Prob(D*RLT)</t>
        </is>
      </c>
      <c r="C5" s="15" t="n">
        <v>3</v>
      </c>
      <c r="D5" s="55">
        <f>Demand!AU7</f>
        <v/>
      </c>
      <c r="E5" s="39">
        <f>Demand!AV7</f>
        <v/>
      </c>
      <c r="F5" s="39">
        <f>Demand!AW7</f>
        <v/>
      </c>
      <c r="G5" s="55">
        <f>Demand!AX7</f>
        <v/>
      </c>
      <c r="H5" s="39">
        <f>Demand!AY7</f>
        <v/>
      </c>
      <c r="I5" s="55">
        <f>Demand!AZ7</f>
        <v/>
      </c>
      <c r="J5" s="55">
        <f>Demand!BA7</f>
        <v/>
      </c>
      <c r="K5" s="39">
        <f>Demand!BB7</f>
        <v/>
      </c>
      <c r="L5" s="39">
        <f>Demand!BC7</f>
        <v/>
      </c>
      <c r="M5" s="39">
        <f>Demand!BD7</f>
        <v/>
      </c>
      <c r="N5" s="55">
        <f>Demand!BE7</f>
        <v/>
      </c>
      <c r="O5" s="55">
        <f>Demand!BF7</f>
        <v/>
      </c>
      <c r="P5" s="39">
        <f>Demand!BG7</f>
        <v/>
      </c>
      <c r="Q5" s="39">
        <f>Demand!BH7</f>
        <v/>
      </c>
      <c r="R5" s="55">
        <f>Demand!BI7</f>
        <v/>
      </c>
    </row>
    <row r="6">
      <c r="A6" s="15" t="inlineStr">
        <is>
          <t>CV</t>
        </is>
      </c>
    </row>
    <row r="7">
      <c r="A7" s="15" t="n">
        <v>0.2</v>
      </c>
      <c r="B7" s="15" t="inlineStr">
        <is>
          <t>Parâmetros</t>
        </is>
      </c>
      <c r="C7" s="15" t="inlineStr">
        <is>
          <t>DesvPad(demand)</t>
        </is>
      </c>
      <c r="D7" s="15" t="n">
        <v>1</v>
      </c>
      <c r="E7" s="15" t="n">
        <v>2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  <c r="N7" s="15" t="n">
        <v>11</v>
      </c>
      <c r="O7" s="15" t="n">
        <v>12</v>
      </c>
      <c r="P7" s="15" t="n">
        <v>13</v>
      </c>
      <c r="Q7" s="15" t="n">
        <v>14</v>
      </c>
      <c r="R7" s="15" t="n">
        <v>15</v>
      </c>
    </row>
    <row r="8">
      <c r="B8" s="15" t="inlineStr">
        <is>
          <t>Prob(D*RLT)</t>
        </is>
      </c>
      <c r="C8" s="15" t="n">
        <v>1</v>
      </c>
      <c r="D8" s="15">
        <f>D3*0.2</f>
        <v/>
      </c>
      <c r="E8" s="15">
        <f>E3*0.2</f>
        <v/>
      </c>
      <c r="F8" s="15">
        <f>F3*0.2</f>
        <v/>
      </c>
      <c r="G8" s="15">
        <f>G3*0.2</f>
        <v/>
      </c>
      <c r="H8" s="15">
        <f>H3*0.2</f>
        <v/>
      </c>
      <c r="I8" s="15">
        <f>I3*0.2</f>
        <v/>
      </c>
      <c r="J8" s="15">
        <f>J3*0.2</f>
        <v/>
      </c>
      <c r="K8" s="15">
        <f>K3*0.2</f>
        <v/>
      </c>
      <c r="L8" s="15">
        <f>L3*0.2</f>
        <v/>
      </c>
      <c r="M8" s="15">
        <f>M3*0.2</f>
        <v/>
      </c>
      <c r="N8" s="15">
        <f>N3*0.2</f>
        <v/>
      </c>
      <c r="O8" s="15">
        <f>O3*0.2</f>
        <v/>
      </c>
      <c r="P8" s="15">
        <f>P3*0.2</f>
        <v/>
      </c>
      <c r="Q8" s="15">
        <f>Q3*0.2</f>
        <v/>
      </c>
      <c r="R8" s="15">
        <f>R3*0.2</f>
        <v/>
      </c>
    </row>
    <row r="9">
      <c r="B9" s="15" t="inlineStr">
        <is>
          <t>Prob(D*RLT)</t>
        </is>
      </c>
      <c r="C9" s="15" t="n">
        <v>2</v>
      </c>
      <c r="D9" s="15">
        <f>D4*0.2</f>
        <v/>
      </c>
      <c r="E9" s="15">
        <f>E4*0.2</f>
        <v/>
      </c>
      <c r="F9" s="15">
        <f>F4*0.2</f>
        <v/>
      </c>
      <c r="G9" s="15">
        <f>G4*0.2</f>
        <v/>
      </c>
      <c r="H9" s="15">
        <f>H4*0.2</f>
        <v/>
      </c>
      <c r="I9" s="15">
        <f>I4*0.2</f>
        <v/>
      </c>
      <c r="J9" s="15">
        <f>J4*0.2</f>
        <v/>
      </c>
      <c r="K9" s="15">
        <f>K4*0.2</f>
        <v/>
      </c>
      <c r="L9" s="15">
        <f>L4*0.2</f>
        <v/>
      </c>
      <c r="M9" s="15">
        <f>M4*0.2</f>
        <v/>
      </c>
      <c r="N9" s="15">
        <f>N4*0.2</f>
        <v/>
      </c>
      <c r="O9" s="15">
        <f>O4*0.2</f>
        <v/>
      </c>
      <c r="P9" s="15">
        <f>P4*0.2</f>
        <v/>
      </c>
      <c r="Q9" s="15">
        <f>Q4*0.2</f>
        <v/>
      </c>
      <c r="R9" s="15">
        <f>R4*0.2</f>
        <v/>
      </c>
    </row>
    <row r="10">
      <c r="B10" s="15" t="inlineStr">
        <is>
          <t>Prob(D*RLT)</t>
        </is>
      </c>
      <c r="C10" s="15" t="n">
        <v>3</v>
      </c>
      <c r="D10" s="15">
        <f>D5*0.2</f>
        <v/>
      </c>
      <c r="E10" s="15">
        <f>E5*0.2</f>
        <v/>
      </c>
      <c r="F10" s="15">
        <f>F5*0.2</f>
        <v/>
      </c>
      <c r="G10" s="15">
        <f>G5*0.2</f>
        <v/>
      </c>
      <c r="H10" s="15">
        <f>H5*0.2</f>
        <v/>
      </c>
      <c r="I10" s="15">
        <f>I5*0.2</f>
        <v/>
      </c>
      <c r="J10" s="15">
        <f>J5*0.2</f>
        <v/>
      </c>
      <c r="K10" s="15">
        <f>K5*0.2</f>
        <v/>
      </c>
      <c r="L10" s="15">
        <f>L5*0.2</f>
        <v/>
      </c>
      <c r="M10" s="15">
        <f>M5*0.2</f>
        <v/>
      </c>
      <c r="N10" s="15">
        <f>N5*0.2</f>
        <v/>
      </c>
      <c r="O10" s="15">
        <f>O5*0.2</f>
        <v/>
      </c>
      <c r="P10" s="15">
        <f>P5*0.2</f>
        <v/>
      </c>
      <c r="Q10" s="15">
        <f>Q5*0.2</f>
        <v/>
      </c>
      <c r="R10" s="15">
        <f>R5*0.2</f>
        <v/>
      </c>
    </row>
    <row r="12">
      <c r="B12" s="15" t="inlineStr">
        <is>
          <t>Parâmetros</t>
        </is>
      </c>
      <c r="C12" s="15" t="inlineStr">
        <is>
          <t>Média(E(RLT))</t>
        </is>
      </c>
      <c r="D12" s="15" t="n">
        <v>1</v>
      </c>
      <c r="E12" s="15" t="n">
        <v>2</v>
      </c>
      <c r="F12" s="15" t="n">
        <v>3</v>
      </c>
      <c r="G12" s="15" t="n">
        <v>4</v>
      </c>
      <c r="H12" s="15" t="n">
        <v>5</v>
      </c>
      <c r="I12" s="15" t="n">
        <v>6</v>
      </c>
      <c r="J12" s="15" t="n">
        <v>7</v>
      </c>
      <c r="K12" s="15" t="n">
        <v>8</v>
      </c>
      <c r="L12" s="15" t="n">
        <v>9</v>
      </c>
      <c r="M12" s="15" t="n">
        <v>10</v>
      </c>
      <c r="N12" s="15" t="n">
        <v>11</v>
      </c>
      <c r="O12" s="15" t="n">
        <v>12</v>
      </c>
      <c r="P12" s="15" t="n">
        <v>13</v>
      </c>
      <c r="Q12" s="15" t="n">
        <v>14</v>
      </c>
      <c r="R12" s="15" t="n">
        <v>15</v>
      </c>
    </row>
    <row r="13">
      <c r="B13" s="15" t="inlineStr">
        <is>
          <t>Prob(D*RLT)</t>
        </is>
      </c>
      <c r="C13" s="15" t="n">
        <v>1</v>
      </c>
      <c r="D13" s="39">
        <f>Suppliers!I22</f>
        <v/>
      </c>
      <c r="E13" s="39">
        <f>Suppliers!J22</f>
        <v/>
      </c>
      <c r="F13" s="39">
        <f>Suppliers!K22</f>
        <v/>
      </c>
      <c r="G13" s="39">
        <f>Suppliers!L22</f>
        <v/>
      </c>
      <c r="H13" s="55">
        <f>Suppliers!M22</f>
        <v/>
      </c>
      <c r="I13" s="55">
        <f>Suppliers!N22</f>
        <v/>
      </c>
      <c r="J13" s="39">
        <f>Suppliers!O22</f>
        <v/>
      </c>
      <c r="K13" s="55">
        <f>Suppliers!P22</f>
        <v/>
      </c>
      <c r="L13" s="55">
        <f>Suppliers!Q22</f>
        <v/>
      </c>
      <c r="M13" s="39">
        <f>Suppliers!R22</f>
        <v/>
      </c>
      <c r="N13" s="55">
        <f>Suppliers!S22</f>
        <v/>
      </c>
      <c r="O13" s="39">
        <f>Suppliers!T22</f>
        <v/>
      </c>
      <c r="P13" s="55">
        <f>Suppliers!U22</f>
        <v/>
      </c>
      <c r="Q13" s="55">
        <f>Suppliers!V22</f>
        <v/>
      </c>
      <c r="R13" s="55">
        <f>Suppliers!W22</f>
        <v/>
      </c>
    </row>
    <row r="14">
      <c r="B14" s="15" t="inlineStr">
        <is>
          <t>Prob(D*RLT)</t>
        </is>
      </c>
      <c r="C14" s="15" t="n">
        <v>2</v>
      </c>
      <c r="D14" s="55">
        <f>Suppliers!I23</f>
        <v/>
      </c>
      <c r="E14" s="55">
        <f>Suppliers!J23</f>
        <v/>
      </c>
      <c r="F14" s="39">
        <f>Suppliers!K23</f>
        <v/>
      </c>
      <c r="G14" s="39">
        <f>Suppliers!L23</f>
        <v/>
      </c>
      <c r="H14" s="55">
        <f>Suppliers!M23</f>
        <v/>
      </c>
      <c r="I14" s="55">
        <f>Suppliers!N23</f>
        <v/>
      </c>
      <c r="J14" s="55">
        <f>Suppliers!O23</f>
        <v/>
      </c>
      <c r="K14" s="39">
        <f>Suppliers!P23</f>
        <v/>
      </c>
      <c r="L14" s="39">
        <f>Suppliers!Q23</f>
        <v/>
      </c>
      <c r="M14" s="55">
        <f>Suppliers!R23</f>
        <v/>
      </c>
      <c r="N14" s="39">
        <f>Suppliers!S23</f>
        <v/>
      </c>
      <c r="O14" s="55">
        <f>Suppliers!T23</f>
        <v/>
      </c>
      <c r="P14" s="55">
        <f>Suppliers!U23</f>
        <v/>
      </c>
      <c r="Q14" s="55">
        <f>Suppliers!V23</f>
        <v/>
      </c>
      <c r="R14" s="55">
        <f>Suppliers!W23</f>
        <v/>
      </c>
    </row>
    <row r="15">
      <c r="B15" s="15" t="inlineStr">
        <is>
          <t>Prob(D*RLT)</t>
        </is>
      </c>
      <c r="C15" s="15" t="n">
        <v>3</v>
      </c>
      <c r="D15" s="55">
        <f>Suppliers!I24</f>
        <v/>
      </c>
      <c r="E15" s="39">
        <f>Suppliers!J24</f>
        <v/>
      </c>
      <c r="F15" s="39">
        <f>Suppliers!K24</f>
        <v/>
      </c>
      <c r="G15" s="55">
        <f>Suppliers!L24</f>
        <v/>
      </c>
      <c r="H15" s="39">
        <f>Suppliers!M24</f>
        <v/>
      </c>
      <c r="I15" s="55">
        <f>Suppliers!N24</f>
        <v/>
      </c>
      <c r="J15" s="55">
        <f>Suppliers!O24</f>
        <v/>
      </c>
      <c r="K15" s="39">
        <f>Suppliers!P24</f>
        <v/>
      </c>
      <c r="L15" s="39">
        <f>Suppliers!Q24</f>
        <v/>
      </c>
      <c r="M15" s="39">
        <f>Suppliers!R24</f>
        <v/>
      </c>
      <c r="N15" s="55">
        <f>Suppliers!S24</f>
        <v/>
      </c>
      <c r="O15" s="55">
        <f>Suppliers!T24</f>
        <v/>
      </c>
      <c r="P15" s="39">
        <f>Suppliers!U24</f>
        <v/>
      </c>
      <c r="Q15" s="39">
        <f>Suppliers!V24</f>
        <v/>
      </c>
      <c r="R15" s="55">
        <f>Suppliers!W24</f>
        <v/>
      </c>
    </row>
    <row r="17">
      <c r="A17" s="15" t="inlineStr">
        <is>
          <t>CV</t>
        </is>
      </c>
      <c r="B17" s="15" t="inlineStr">
        <is>
          <t>Parâmetros</t>
        </is>
      </c>
      <c r="C17" s="15" t="inlineStr">
        <is>
          <t>DesvPad(Média(RLT))</t>
        </is>
      </c>
      <c r="D17" s="15" t="n">
        <v>1</v>
      </c>
      <c r="E17" s="15" t="n">
        <v>2</v>
      </c>
      <c r="F17" s="15" t="n">
        <v>3</v>
      </c>
      <c r="G17" s="15" t="n">
        <v>4</v>
      </c>
      <c r="H17" s="15" t="n">
        <v>5</v>
      </c>
      <c r="I17" s="15" t="n">
        <v>6</v>
      </c>
      <c r="J17" s="15" t="n">
        <v>7</v>
      </c>
      <c r="K17" s="15" t="n">
        <v>8</v>
      </c>
      <c r="L17" s="15" t="n">
        <v>9</v>
      </c>
      <c r="M17" s="15" t="n">
        <v>10</v>
      </c>
      <c r="N17" s="15" t="n">
        <v>11</v>
      </c>
      <c r="O17" s="15" t="n">
        <v>12</v>
      </c>
      <c r="P17" s="15" t="n">
        <v>13</v>
      </c>
      <c r="Q17" s="15" t="n">
        <v>14</v>
      </c>
      <c r="R17" s="15" t="n">
        <v>15</v>
      </c>
    </row>
    <row r="18">
      <c r="A18" s="15" t="n">
        <v>0.2</v>
      </c>
      <c r="B18" s="15" t="inlineStr">
        <is>
          <t>Prob(D*RLT)</t>
        </is>
      </c>
      <c r="C18" s="15" t="n">
        <v>1</v>
      </c>
      <c r="D18" s="15">
        <f>D13*0.2</f>
        <v/>
      </c>
      <c r="E18" s="15">
        <f>E13*0.2</f>
        <v/>
      </c>
      <c r="F18" s="15">
        <f>F13*0.2</f>
        <v/>
      </c>
      <c r="G18" s="15">
        <f>G13*0.2</f>
        <v/>
      </c>
      <c r="H18" s="15">
        <f>H13*0.2</f>
        <v/>
      </c>
      <c r="I18" s="15">
        <f>I13*0.2</f>
        <v/>
      </c>
      <c r="J18" s="15">
        <f>J13*0.2</f>
        <v/>
      </c>
      <c r="K18" s="15">
        <f>K13*0.2</f>
        <v/>
      </c>
      <c r="L18" s="15">
        <f>L13*0.2</f>
        <v/>
      </c>
      <c r="M18" s="15">
        <f>M13*0.2</f>
        <v/>
      </c>
      <c r="N18" s="15">
        <f>N13*0.2</f>
        <v/>
      </c>
      <c r="O18" s="15">
        <f>O13*0.2</f>
        <v/>
      </c>
      <c r="P18" s="15">
        <f>P13*0.2</f>
        <v/>
      </c>
      <c r="Q18" s="15">
        <f>Q13*0.2</f>
        <v/>
      </c>
      <c r="R18" s="15">
        <f>R13*0.2</f>
        <v/>
      </c>
    </row>
    <row r="19">
      <c r="B19" s="15" t="inlineStr">
        <is>
          <t>Prob(D*RLT)</t>
        </is>
      </c>
      <c r="C19" s="15" t="n">
        <v>2</v>
      </c>
      <c r="D19" s="15">
        <f>D14*0.2</f>
        <v/>
      </c>
      <c r="E19" s="15">
        <f>E14*0.2</f>
        <v/>
      </c>
      <c r="F19" s="15">
        <f>F14*0.2</f>
        <v/>
      </c>
      <c r="G19" s="15">
        <f>G14*0.2</f>
        <v/>
      </c>
      <c r="H19" s="15">
        <f>H14*0.2</f>
        <v/>
      </c>
      <c r="I19" s="15">
        <f>I14*0.2</f>
        <v/>
      </c>
      <c r="J19" s="15">
        <f>J14*0.2</f>
        <v/>
      </c>
      <c r="K19" s="15">
        <f>K14*0.2</f>
        <v/>
      </c>
      <c r="L19" s="15">
        <f>L14*0.2</f>
        <v/>
      </c>
      <c r="M19" s="15">
        <f>M14*0.2</f>
        <v/>
      </c>
      <c r="N19" s="15">
        <f>N14*0.2</f>
        <v/>
      </c>
      <c r="O19" s="15">
        <f>O14*0.2</f>
        <v/>
      </c>
      <c r="P19" s="15">
        <f>P14*0.2</f>
        <v/>
      </c>
      <c r="Q19" s="15">
        <f>Q14*0.2</f>
        <v/>
      </c>
      <c r="R19" s="15">
        <f>R14*0.2</f>
        <v/>
      </c>
    </row>
    <row r="20">
      <c r="B20" s="15" t="inlineStr">
        <is>
          <t>Prob(D*RLT)</t>
        </is>
      </c>
      <c r="C20" s="15" t="n">
        <v>3</v>
      </c>
      <c r="D20" s="15">
        <f>D15*0.2</f>
        <v/>
      </c>
      <c r="E20" s="15">
        <f>E15*0.2</f>
        <v/>
      </c>
      <c r="F20" s="15">
        <f>F15*0.2</f>
        <v/>
      </c>
      <c r="G20" s="15">
        <f>G15*0.2</f>
        <v/>
      </c>
      <c r="H20" s="15">
        <f>H15*0.2</f>
        <v/>
      </c>
      <c r="I20" s="15">
        <f>I15*0.2</f>
        <v/>
      </c>
      <c r="J20" s="15">
        <f>J15*0.2</f>
        <v/>
      </c>
      <c r="K20" s="15">
        <f>K15*0.2</f>
        <v/>
      </c>
      <c r="L20" s="15">
        <f>L15*0.2</f>
        <v/>
      </c>
      <c r="M20" s="15">
        <f>M15*0.2</f>
        <v/>
      </c>
      <c r="N20" s="15">
        <f>N15*0.2</f>
        <v/>
      </c>
      <c r="O20" s="15">
        <f>O15*0.2</f>
        <v/>
      </c>
      <c r="P20" s="15">
        <f>P15*0.2</f>
        <v/>
      </c>
      <c r="Q20" s="15">
        <f>Q15*0.2</f>
        <v/>
      </c>
      <c r="R20" s="15">
        <f>R15*0.2</f>
        <v/>
      </c>
    </row>
    <row r="23">
      <c r="C23" s="15" t="inlineStr">
        <is>
          <t>z</t>
        </is>
      </c>
      <c r="D23" s="15" t="n">
        <v>2.06</v>
      </c>
    </row>
    <row r="25">
      <c r="C25" s="15" t="inlineStr">
        <is>
          <t>DesvPad</t>
        </is>
      </c>
      <c r="D25" s="15" t="n">
        <v>1</v>
      </c>
      <c r="E25" s="15" t="n">
        <v>2</v>
      </c>
      <c r="F25" s="15" t="n">
        <v>3</v>
      </c>
      <c r="G25" s="15" t="n">
        <v>4</v>
      </c>
      <c r="H25" s="15" t="n">
        <v>5</v>
      </c>
      <c r="I25" s="15" t="n">
        <v>6</v>
      </c>
      <c r="J25" s="15" t="n">
        <v>7</v>
      </c>
      <c r="K25" s="15" t="n">
        <v>8</v>
      </c>
      <c r="L25" s="15" t="n">
        <v>9</v>
      </c>
      <c r="M25" s="15" t="n">
        <v>10</v>
      </c>
      <c r="N25" s="15" t="n">
        <v>11</v>
      </c>
      <c r="O25" s="15" t="n">
        <v>12</v>
      </c>
      <c r="P25" s="15" t="n">
        <v>13</v>
      </c>
      <c r="Q25" s="15" t="n">
        <v>14</v>
      </c>
      <c r="R25" s="15" t="n">
        <v>15</v>
      </c>
    </row>
    <row r="26">
      <c r="C26" s="15" t="n">
        <v>1</v>
      </c>
      <c r="D26" s="15">
        <f>(D13*(D8^2)+(D3^2)*(D18^2))^0.5</f>
        <v/>
      </c>
      <c r="E26" s="15">
        <f>(E13*(E8^2)+(E3^2)*(E18^2))^0.5</f>
        <v/>
      </c>
      <c r="F26" s="15">
        <f>(F13*(F8^2)+(F3^2)*(F18^2))^0.5</f>
        <v/>
      </c>
      <c r="G26" s="15">
        <f>(G13*(G8^2)+(G3^2)*(G18^2))^0.5</f>
        <v/>
      </c>
      <c r="H26" s="15">
        <f>(H13*(H8^2)+(H3^2)*(H18^2))^0.5</f>
        <v/>
      </c>
      <c r="I26" s="15">
        <f>(I13*(I8^2)+(I3^2)*(I18^2))^0.5</f>
        <v/>
      </c>
      <c r="J26" s="15">
        <f>(J13*(J8^2)+(J3^2)*(J18^2))^0.5</f>
        <v/>
      </c>
      <c r="K26" s="15">
        <f>(K13*(K8^2)+(K3^2)*(K18^2))^0.5</f>
        <v/>
      </c>
      <c r="L26" s="15">
        <f>(L13*(L8^2)+(L3^2)*(L18^2))^0.5</f>
        <v/>
      </c>
      <c r="M26" s="15">
        <f>(M13*(M8^2)+(M3^2)*(M18^2))^0.5</f>
        <v/>
      </c>
      <c r="N26" s="15">
        <f>(N13*(N8^2)+(N3^2)*(N18^2))^0.5</f>
        <v/>
      </c>
      <c r="O26" s="15">
        <f>(O13*(O8^2)+(O3^2)*(O18^2))^0.5</f>
        <v/>
      </c>
      <c r="P26" s="15">
        <f>(P13*(P8^2)+(P3^2)*(P18^2))^0.5</f>
        <v/>
      </c>
      <c r="Q26" s="15">
        <f>(Q13*(Q8^2)+(Q3^2)*(Q18^2))^0.5</f>
        <v/>
      </c>
      <c r="R26" s="15">
        <f>(R13*(R8^2)+(R3^2)*(R18^2))^0.5</f>
        <v/>
      </c>
    </row>
    <row r="27">
      <c r="C27" s="15" t="n">
        <v>2</v>
      </c>
      <c r="D27" s="15">
        <f>(D14*(D9^2)+(D4^2)*(D19^2))^0.5</f>
        <v/>
      </c>
      <c r="E27" s="15">
        <f>(E14*(E9^2)+(E4^2)*(E19^2))^0.5</f>
        <v/>
      </c>
      <c r="F27" s="15">
        <f>(F14*(F9^2)+(F4^2)*(F19^2))^0.5</f>
        <v/>
      </c>
      <c r="G27" s="15">
        <f>(G14*(G9^2)+(G4^2)*(G19^2))^0.5</f>
        <v/>
      </c>
      <c r="H27" s="15">
        <f>(H14*(H9^2)+(H4^2)*(H19^2))^0.5</f>
        <v/>
      </c>
      <c r="I27" s="15">
        <f>(I14*(I9^2)+(I4^2)*(I19^2))^0.5</f>
        <v/>
      </c>
      <c r="J27" s="15">
        <f>(J14*(J9^2)+(J4^2)*(J19^2))^0.5</f>
        <v/>
      </c>
      <c r="K27" s="15">
        <f>(K14*(K9^2)+(K4^2)*(K19^2))^0.5</f>
        <v/>
      </c>
      <c r="L27" s="15">
        <f>(L14*(L9^2)+(L4^2)*(L19^2))^0.5</f>
        <v/>
      </c>
      <c r="M27" s="15">
        <f>(M14*(M9^2)+(M4^2)*(M19^2))^0.5</f>
        <v/>
      </c>
      <c r="N27" s="15">
        <f>(N14*(N9^2)+(N4^2)*(N19^2))^0.5</f>
        <v/>
      </c>
      <c r="O27" s="15">
        <f>(O14*(O9^2)+(O4^2)*(O19^2))^0.5</f>
        <v/>
      </c>
      <c r="P27" s="15">
        <f>(P14*(P9^2)+(P4^2)*(P19^2))^0.5</f>
        <v/>
      </c>
      <c r="Q27" s="15">
        <f>(Q14*(Q9^2)+(Q4^2)*(Q19^2))^0.5</f>
        <v/>
      </c>
      <c r="R27" s="15">
        <f>(R14*(R9^2)+(R4^2)*(R19^2))^0.5</f>
        <v/>
      </c>
    </row>
    <row r="28">
      <c r="C28" s="15" t="n">
        <v>3</v>
      </c>
      <c r="D28" s="15">
        <f>(D15*(D10^2)+(D5^2)*(D20^2))^0.5</f>
        <v/>
      </c>
      <c r="E28" s="15">
        <f>(E15*(E10^2)+(E5^2)*(E20^2))^0.5</f>
        <v/>
      </c>
      <c r="F28" s="15">
        <f>(F15*(F10^2)+(F5^2)*(F20^2))^0.5</f>
        <v/>
      </c>
      <c r="G28" s="15">
        <f>(G15*(G10^2)+(G5^2)*(G20^2))^0.5</f>
        <v/>
      </c>
      <c r="H28" s="15">
        <f>(H15*(H10^2)+(H5^2)*(H20^2))^0.5</f>
        <v/>
      </c>
      <c r="I28" s="15">
        <f>(I15*(I10^2)+(I5^2)*(I20^2))^0.5</f>
        <v/>
      </c>
      <c r="J28" s="15">
        <f>(J15*(J10^2)+(J5^2)*(J20^2))^0.5</f>
        <v/>
      </c>
      <c r="K28" s="15">
        <f>(K15*(K10^2)+(K5^2)*(K20^2))^0.5</f>
        <v/>
      </c>
      <c r="L28" s="15">
        <f>(L15*(L10^2)+(L5^2)*(L20^2))^0.5</f>
        <v/>
      </c>
      <c r="M28" s="15">
        <f>(M15*(M10^2)+(M5^2)*(M20^2))^0.5</f>
        <v/>
      </c>
      <c r="N28" s="15">
        <f>(N15*(N10^2)+(N5^2)*(N20^2))^0.5</f>
        <v/>
      </c>
      <c r="O28" s="15">
        <f>(O15*(O10^2)+(O5^2)*(O20^2))^0.5</f>
        <v/>
      </c>
      <c r="P28" s="15">
        <f>(P15*(P10^2)+(P5^2)*(P20^2))^0.5</f>
        <v/>
      </c>
      <c r="Q28" s="15">
        <f>(Q15*(Q10^2)+(Q5^2)*(Q20^2))^0.5</f>
        <v/>
      </c>
      <c r="R28" s="15">
        <f>(R15*(R10^2)+(R5^2)*(R20^2))^0.5</f>
        <v/>
      </c>
    </row>
    <row r="30">
      <c r="C30" s="15" t="inlineStr">
        <is>
          <t>Média(Demand*RLT)</t>
        </is>
      </c>
      <c r="D30" s="15" t="n">
        <v>1</v>
      </c>
      <c r="E30" s="15" t="n">
        <v>2</v>
      </c>
      <c r="F30" s="15" t="n">
        <v>3</v>
      </c>
      <c r="G30" s="15" t="n">
        <v>4</v>
      </c>
      <c r="H30" s="15" t="n">
        <v>5</v>
      </c>
      <c r="I30" s="15" t="n">
        <v>6</v>
      </c>
      <c r="J30" s="15" t="n">
        <v>7</v>
      </c>
      <c r="K30" s="15" t="n">
        <v>8</v>
      </c>
      <c r="L30" s="15" t="n">
        <v>9</v>
      </c>
      <c r="M30" s="15" t="n">
        <v>10</v>
      </c>
      <c r="N30" s="15" t="n">
        <v>11</v>
      </c>
      <c r="O30" s="15" t="n">
        <v>12</v>
      </c>
      <c r="P30" s="15" t="n">
        <v>13</v>
      </c>
      <c r="Q30" s="15" t="n">
        <v>14</v>
      </c>
      <c r="R30" s="15" t="n">
        <v>15</v>
      </c>
    </row>
    <row r="31">
      <c r="C31" s="15" t="n">
        <v>1</v>
      </c>
      <c r="D31" s="15">
        <f>D3*D13</f>
        <v/>
      </c>
      <c r="E31" s="15">
        <f>E3*E13</f>
        <v/>
      </c>
      <c r="F31" s="15">
        <f>F3*F13</f>
        <v/>
      </c>
      <c r="G31" s="15">
        <f>G3*G13</f>
        <v/>
      </c>
      <c r="H31" s="15">
        <f>H3*H13</f>
        <v/>
      </c>
      <c r="I31" s="15">
        <f>I3*I13</f>
        <v/>
      </c>
      <c r="J31" s="15">
        <f>J3*J13</f>
        <v/>
      </c>
      <c r="K31" s="15">
        <f>K3*K13</f>
        <v/>
      </c>
      <c r="L31" s="15">
        <f>L3*L13</f>
        <v/>
      </c>
      <c r="M31" s="15">
        <f>M3*M13</f>
        <v/>
      </c>
      <c r="N31" s="15">
        <f>N3*N13</f>
        <v/>
      </c>
      <c r="O31" s="15">
        <f>O3*O13</f>
        <v/>
      </c>
      <c r="P31" s="15">
        <f>P3*P13</f>
        <v/>
      </c>
      <c r="Q31" s="15">
        <f>Q3*Q13</f>
        <v/>
      </c>
      <c r="R31" s="15">
        <f>R3*R13</f>
        <v/>
      </c>
    </row>
    <row r="32">
      <c r="C32" s="15" t="n">
        <v>2</v>
      </c>
      <c r="D32" s="15">
        <f>D4*D14</f>
        <v/>
      </c>
      <c r="E32" s="15">
        <f>E4*E14</f>
        <v/>
      </c>
      <c r="F32" s="15">
        <f>F4*F14</f>
        <v/>
      </c>
      <c r="G32" s="15">
        <f>G4*G14</f>
        <v/>
      </c>
      <c r="H32" s="15">
        <f>H4*H14</f>
        <v/>
      </c>
      <c r="I32" s="15">
        <f>I4*I14</f>
        <v/>
      </c>
      <c r="J32" s="15">
        <f>J4*J14</f>
        <v/>
      </c>
      <c r="K32" s="15">
        <f>K4*K14</f>
        <v/>
      </c>
      <c r="L32" s="15">
        <f>L4*L14</f>
        <v/>
      </c>
      <c r="M32" s="15">
        <f>M4*M14</f>
        <v/>
      </c>
      <c r="N32" s="15">
        <f>N4*N14</f>
        <v/>
      </c>
      <c r="O32" s="15">
        <f>O4*O14</f>
        <v/>
      </c>
      <c r="P32" s="15">
        <f>P4*P14</f>
        <v/>
      </c>
      <c r="Q32" s="15">
        <f>Q4*Q14</f>
        <v/>
      </c>
      <c r="R32" s="15">
        <f>R4*R14</f>
        <v/>
      </c>
    </row>
    <row r="33">
      <c r="C33" s="15" t="n">
        <v>3</v>
      </c>
      <c r="D33" s="15">
        <f>D5*D15</f>
        <v/>
      </c>
      <c r="E33" s="15">
        <f>E5*E15</f>
        <v/>
      </c>
      <c r="F33" s="15">
        <f>F5*F15</f>
        <v/>
      </c>
      <c r="G33" s="15">
        <f>G5*G15</f>
        <v/>
      </c>
      <c r="H33" s="15">
        <f>H5*H15</f>
        <v/>
      </c>
      <c r="I33" s="15">
        <f>I5*I15</f>
        <v/>
      </c>
      <c r="J33" s="15">
        <f>J5*J15</f>
        <v/>
      </c>
      <c r="K33" s="15">
        <f>K5*K15</f>
        <v/>
      </c>
      <c r="L33" s="15">
        <f>L5*L15</f>
        <v/>
      </c>
      <c r="M33" s="15">
        <f>M5*M15</f>
        <v/>
      </c>
      <c r="N33" s="15">
        <f>N5*N15</f>
        <v/>
      </c>
      <c r="O33" s="15">
        <f>O5*O15</f>
        <v/>
      </c>
      <c r="P33" s="15">
        <f>P5*P15</f>
        <v/>
      </c>
      <c r="Q33" s="15">
        <f>Q5*Q15</f>
        <v/>
      </c>
      <c r="R33" s="15">
        <f>R5*R15</f>
        <v/>
      </c>
    </row>
    <row r="35">
      <c r="B35" s="15" t="inlineStr">
        <is>
          <t>Parâmetro p/ c</t>
        </is>
      </c>
      <c r="C35" s="15" t="inlineStr">
        <is>
          <t>Reposição</t>
        </is>
      </c>
      <c r="D35" s="15" t="n">
        <v>1</v>
      </c>
      <c r="E35" s="15" t="n">
        <v>2</v>
      </c>
      <c r="F35" s="15" t="n">
        <v>3</v>
      </c>
      <c r="G35" s="15" t="n">
        <v>4</v>
      </c>
      <c r="H35" s="15" t="n">
        <v>5</v>
      </c>
      <c r="I35" s="15" t="n">
        <v>6</v>
      </c>
      <c r="J35" s="15" t="n">
        <v>7</v>
      </c>
      <c r="K35" s="15" t="n">
        <v>8</v>
      </c>
      <c r="L35" s="15" t="n">
        <v>9</v>
      </c>
      <c r="M35" s="15" t="n">
        <v>10</v>
      </c>
      <c r="N35" s="15" t="n">
        <v>11</v>
      </c>
      <c r="O35" s="15" t="n">
        <v>12</v>
      </c>
      <c r="P35" s="15" t="n">
        <v>13</v>
      </c>
      <c r="Q35" s="15" t="n">
        <v>14</v>
      </c>
      <c r="R35" s="15" t="n">
        <v>15</v>
      </c>
    </row>
    <row r="36">
      <c r="B36" s="15" t="inlineStr">
        <is>
          <t>Prob(D*RLT)</t>
        </is>
      </c>
      <c r="C36" s="15" t="n">
        <v>1</v>
      </c>
      <c r="D36" s="67">
        <f>D31+$D$23*D26</f>
        <v/>
      </c>
      <c r="E36" s="67">
        <f>E31+$D$23*E26</f>
        <v/>
      </c>
      <c r="F36" s="67">
        <f>F31+$D$23*F26</f>
        <v/>
      </c>
      <c r="G36" s="67">
        <f>G31+$D$23*G26</f>
        <v/>
      </c>
      <c r="H36" s="67">
        <f>H31+$D$23*H26</f>
        <v/>
      </c>
      <c r="I36" s="67">
        <f>I31+$D$23*I26</f>
        <v/>
      </c>
      <c r="J36" s="67">
        <f>J31+$D$23*J26</f>
        <v/>
      </c>
      <c r="K36" s="67">
        <f>K31+$D$23*K26</f>
        <v/>
      </c>
      <c r="L36" s="67">
        <f>L31+$D$23*L26</f>
        <v/>
      </c>
      <c r="M36" s="67">
        <f>M31+$D$23*M26</f>
        <v/>
      </c>
      <c r="N36" s="67">
        <f>N31+$D$23*N26</f>
        <v/>
      </c>
      <c r="O36" s="67">
        <f>O31+$D$23*O26</f>
        <v/>
      </c>
      <c r="P36" s="67">
        <f>P31+$D$23*P26</f>
        <v/>
      </c>
      <c r="Q36" s="67">
        <f>Q31+$D$23*Q26</f>
        <v/>
      </c>
      <c r="R36" s="67">
        <f>R31+$D$23*R26</f>
        <v/>
      </c>
    </row>
    <row r="37">
      <c r="B37" s="15" t="inlineStr">
        <is>
          <t>Prob(D*RLT)</t>
        </is>
      </c>
      <c r="C37" s="15" t="n">
        <v>2</v>
      </c>
      <c r="D37" s="67">
        <f>D32+$D$23*D27</f>
        <v/>
      </c>
      <c r="E37" s="67">
        <f>E32+$D$23*E27</f>
        <v/>
      </c>
      <c r="F37" s="67">
        <f>F32+$D$23*F27</f>
        <v/>
      </c>
      <c r="G37" s="67">
        <f>G32+$D$23*G27</f>
        <v/>
      </c>
      <c r="H37" s="67">
        <f>H32+$D$23*H27</f>
        <v/>
      </c>
      <c r="I37" s="67">
        <f>I32+$D$23*I27</f>
        <v/>
      </c>
      <c r="J37" s="67">
        <f>J32+$D$23*J27</f>
        <v/>
      </c>
      <c r="K37" s="67">
        <f>K32+$D$23*K27</f>
        <v/>
      </c>
      <c r="L37" s="67">
        <f>L32+$D$23*L27</f>
        <v/>
      </c>
      <c r="M37" s="67">
        <f>M32+$D$23*M27</f>
        <v/>
      </c>
      <c r="N37" s="67">
        <f>N32+$D$23*N27</f>
        <v/>
      </c>
      <c r="O37" s="67">
        <f>O32+$D$23*O27</f>
        <v/>
      </c>
      <c r="P37" s="67">
        <f>P32+$D$23*P27</f>
        <v/>
      </c>
      <c r="Q37" s="67">
        <f>Q32+$D$23*Q27</f>
        <v/>
      </c>
      <c r="R37" s="67">
        <f>R32+$D$23*R27</f>
        <v/>
      </c>
    </row>
    <row r="38">
      <c r="B38" s="15" t="inlineStr">
        <is>
          <t>Prob(D*RLT)</t>
        </is>
      </c>
      <c r="C38" s="15" t="n">
        <v>3</v>
      </c>
      <c r="D38" s="67">
        <f>D33+$D$23*D28</f>
        <v/>
      </c>
      <c r="E38" s="67">
        <f>E33+$D$23*E28</f>
        <v/>
      </c>
      <c r="F38" s="67">
        <f>F33+$D$23*F28</f>
        <v/>
      </c>
      <c r="G38" s="67">
        <f>G33+$D$23*G28</f>
        <v/>
      </c>
      <c r="H38" s="67">
        <f>H33+$D$23*H28</f>
        <v/>
      </c>
      <c r="I38" s="67">
        <f>I33+$D$23*I28</f>
        <v/>
      </c>
      <c r="J38" s="67">
        <f>J33+$D$23*J28</f>
        <v/>
      </c>
      <c r="K38" s="67">
        <f>K33+$D$23*K28</f>
        <v/>
      </c>
      <c r="L38" s="67">
        <f>L33+$D$23*L28</f>
        <v/>
      </c>
      <c r="M38" s="67">
        <f>M33+$D$23*M28</f>
        <v/>
      </c>
      <c r="N38" s="67">
        <f>N33+$D$23*N28</f>
        <v/>
      </c>
      <c r="O38" s="67">
        <f>O33+$D$23*O28</f>
        <v/>
      </c>
      <c r="P38" s="67">
        <f>P33+$D$23*P28</f>
        <v/>
      </c>
      <c r="Q38" s="67">
        <f>Q33+$D$23*Q28</f>
        <v/>
      </c>
      <c r="R38" s="67">
        <f>R33+$D$23*R28</f>
        <v/>
      </c>
    </row>
    <row r="40" ht="23.4" customHeight="1">
      <c r="C40" s="60" t="inlineStr">
        <is>
          <t>Factories</t>
        </is>
      </c>
    </row>
    <row r="41">
      <c r="B41" s="15" t="inlineStr">
        <is>
          <t>Parâmetros p/</t>
        </is>
      </c>
      <c r="C41" s="15" t="inlineStr">
        <is>
          <t>demand</t>
        </is>
      </c>
      <c r="D41" s="15" t="n">
        <v>16</v>
      </c>
      <c r="E41" s="15" t="n">
        <v>17</v>
      </c>
      <c r="F41" s="15" t="n">
        <v>18</v>
      </c>
    </row>
    <row r="42">
      <c r="B42" s="15" t="inlineStr">
        <is>
          <t>Prob(D*RLT)</t>
        </is>
      </c>
      <c r="C42" s="15" t="n">
        <v>4</v>
      </c>
      <c r="D42" s="39">
        <f>Demand!AU11</f>
        <v/>
      </c>
      <c r="E42" s="39">
        <f>Demand!AV11</f>
        <v/>
      </c>
      <c r="F42" s="39">
        <f>Demand!AW11</f>
        <v/>
      </c>
    </row>
    <row r="43">
      <c r="B43" s="15" t="inlineStr">
        <is>
          <t>Prob(D*RLT)</t>
        </is>
      </c>
      <c r="C43" s="15" t="n">
        <v>5</v>
      </c>
      <c r="D43" s="39">
        <f>Demand!AU12</f>
        <v/>
      </c>
      <c r="E43" s="39">
        <f>Demand!AV12</f>
        <v/>
      </c>
      <c r="F43" s="39">
        <f>Demand!AW12</f>
        <v/>
      </c>
    </row>
    <row r="44">
      <c r="B44" s="15" t="inlineStr">
        <is>
          <t>Prob(D*RLT)</t>
        </is>
      </c>
      <c r="C44" s="15" t="n">
        <v>6</v>
      </c>
      <c r="D44" s="39">
        <f>Demand!AU13</f>
        <v/>
      </c>
      <c r="E44" s="39">
        <f>Demand!AV13</f>
        <v/>
      </c>
      <c r="F44" s="39">
        <f>Demand!AW13</f>
        <v/>
      </c>
    </row>
    <row r="46">
      <c r="B46" s="15" t="inlineStr">
        <is>
          <t>Parâmetros</t>
        </is>
      </c>
      <c r="C46" s="15" t="inlineStr">
        <is>
          <t>DesvPad(demand)</t>
        </is>
      </c>
      <c r="D46" s="15" t="n">
        <v>16</v>
      </c>
      <c r="E46" s="15" t="n">
        <v>17</v>
      </c>
      <c r="F46" s="15" t="n">
        <v>18</v>
      </c>
    </row>
    <row r="47">
      <c r="B47" s="15" t="inlineStr">
        <is>
          <t>Prob(D*RLT)</t>
        </is>
      </c>
      <c r="C47" s="15" t="n">
        <v>4</v>
      </c>
      <c r="D47" s="15">
        <f>D42*0.2</f>
        <v/>
      </c>
      <c r="E47" s="15">
        <f>E42*0.2</f>
        <v/>
      </c>
      <c r="F47" s="15">
        <f>F42*0.2</f>
        <v/>
      </c>
    </row>
    <row r="48">
      <c r="B48" s="15" t="inlineStr">
        <is>
          <t>Prob(D*RLT)</t>
        </is>
      </c>
      <c r="C48" s="15" t="n">
        <v>5</v>
      </c>
      <c r="D48" s="15">
        <f>D43*0.2</f>
        <v/>
      </c>
      <c r="E48" s="15">
        <f>E43*0.2</f>
        <v/>
      </c>
      <c r="F48" s="15">
        <f>F43*0.2</f>
        <v/>
      </c>
    </row>
    <row r="49">
      <c r="B49" s="15" t="inlineStr">
        <is>
          <t>Prob(D*RLT)</t>
        </is>
      </c>
      <c r="C49" s="15" t="n">
        <v>6</v>
      </c>
      <c r="D49" s="15">
        <f>D44*0.2</f>
        <v/>
      </c>
      <c r="E49" s="15">
        <f>E44*0.2</f>
        <v/>
      </c>
      <c r="F49" s="15">
        <f>F44*0.2</f>
        <v/>
      </c>
    </row>
    <row r="51">
      <c r="B51" s="15" t="inlineStr">
        <is>
          <t>Parâmetros</t>
        </is>
      </c>
      <c r="C51" s="15" t="inlineStr">
        <is>
          <t>Média(E(RLT))</t>
        </is>
      </c>
      <c r="D51" s="15" t="n">
        <v>16</v>
      </c>
      <c r="E51" s="15" t="n">
        <v>17</v>
      </c>
      <c r="F51" s="15" t="n">
        <v>18</v>
      </c>
    </row>
    <row r="52">
      <c r="B52" s="15" t="inlineStr">
        <is>
          <t>Prob(D*RLT)</t>
        </is>
      </c>
      <c r="C52" s="15" t="n">
        <v>4</v>
      </c>
      <c r="D52" s="39">
        <f>Factories!I22</f>
        <v/>
      </c>
      <c r="E52" s="39">
        <f>Factories!J22</f>
        <v/>
      </c>
      <c r="F52" s="39">
        <f>Factories!K22</f>
        <v/>
      </c>
    </row>
    <row r="53">
      <c r="B53" s="15" t="inlineStr">
        <is>
          <t>Prob(D*RLT)</t>
        </is>
      </c>
      <c r="C53" s="15" t="n">
        <v>5</v>
      </c>
      <c r="D53" s="39">
        <f>Factories!I23</f>
        <v/>
      </c>
      <c r="E53" s="39">
        <f>Factories!J23</f>
        <v/>
      </c>
      <c r="F53" s="39">
        <f>Factories!K23</f>
        <v/>
      </c>
    </row>
    <row r="54">
      <c r="B54" s="15" t="inlineStr">
        <is>
          <t>Prob(D*RLT)</t>
        </is>
      </c>
      <c r="C54" s="15" t="n">
        <v>6</v>
      </c>
      <c r="D54" s="39">
        <f>Factories!I24</f>
        <v/>
      </c>
      <c r="E54" s="39">
        <f>Factories!J24</f>
        <v/>
      </c>
      <c r="F54" s="39">
        <f>Factories!K24</f>
        <v/>
      </c>
    </row>
    <row r="56">
      <c r="B56" s="15" t="inlineStr">
        <is>
          <t>Parâmetros</t>
        </is>
      </c>
      <c r="C56" s="15" t="inlineStr">
        <is>
          <t>DesvPad(Média(RLT))</t>
        </is>
      </c>
      <c r="D56" s="15" t="n">
        <v>16</v>
      </c>
      <c r="E56" s="15" t="n">
        <v>17</v>
      </c>
      <c r="F56" s="15" t="n">
        <v>18</v>
      </c>
    </row>
    <row r="57">
      <c r="B57" s="15" t="inlineStr">
        <is>
          <t>Prob(D*RLT)</t>
        </is>
      </c>
      <c r="C57" s="15" t="n">
        <v>4</v>
      </c>
      <c r="D57" s="15">
        <f>D52*0.2</f>
        <v/>
      </c>
      <c r="E57" s="15">
        <f>E52*0.2</f>
        <v/>
      </c>
      <c r="F57" s="15">
        <f>F52*0.2</f>
        <v/>
      </c>
    </row>
    <row r="58">
      <c r="B58" s="15" t="inlineStr">
        <is>
          <t>Prob(D*RLT)</t>
        </is>
      </c>
      <c r="C58" s="15" t="n">
        <v>5</v>
      </c>
      <c r="D58" s="15">
        <f>D53*0.2</f>
        <v/>
      </c>
      <c r="E58" s="15">
        <f>E53*0.2</f>
        <v/>
      </c>
      <c r="F58" s="15">
        <f>F53*0.2</f>
        <v/>
      </c>
    </row>
    <row r="59">
      <c r="B59" s="15" t="inlineStr">
        <is>
          <t>Prob(D*RLT)</t>
        </is>
      </c>
      <c r="C59" s="15" t="n">
        <v>6</v>
      </c>
      <c r="D59" s="15">
        <f>D54*0.2</f>
        <v/>
      </c>
      <c r="E59" s="15">
        <f>E54*0.2</f>
        <v/>
      </c>
      <c r="F59" s="15">
        <f>F54*0.2</f>
        <v/>
      </c>
    </row>
    <row r="62">
      <c r="C62" s="15" t="inlineStr">
        <is>
          <t>z</t>
        </is>
      </c>
      <c r="D62" s="15" t="n">
        <v>2.06</v>
      </c>
    </row>
    <row r="64">
      <c r="C64" s="15" t="inlineStr">
        <is>
          <t>DesvPad</t>
        </is>
      </c>
      <c r="D64" s="15" t="n">
        <v>16</v>
      </c>
      <c r="E64" s="15" t="n">
        <v>17</v>
      </c>
      <c r="F64" s="15" t="n">
        <v>18</v>
      </c>
    </row>
    <row r="65">
      <c r="C65" s="15" t="n">
        <v>4</v>
      </c>
      <c r="D65" s="15">
        <f>(D52*(D47^2)+(D42^2)*(D57^2))^0.5</f>
        <v/>
      </c>
      <c r="E65" s="15">
        <f>(E52*(E47^2)+(E42^2)*(E57^2))^0.5</f>
        <v/>
      </c>
      <c r="F65" s="15">
        <f>(F52*(F47^2)+(F42^2)*(F57^2))^0.5</f>
        <v/>
      </c>
    </row>
    <row r="66">
      <c r="C66" s="15" t="n">
        <v>5</v>
      </c>
      <c r="D66" s="15">
        <f>(D53*(D48^2)+(D43^2)*(D58^2))^0.5</f>
        <v/>
      </c>
      <c r="E66" s="15">
        <f>(E53*(E48^2)+(E43^2)*(E58^2))^0.5</f>
        <v/>
      </c>
      <c r="F66" s="15">
        <f>(F53*(F48^2)+(F43^2)*(F58^2))^0.5</f>
        <v/>
      </c>
    </row>
    <row r="67">
      <c r="C67" s="15" t="n">
        <v>6</v>
      </c>
      <c r="D67" s="15">
        <f>(D54*(D49^2)+(D44^2)*(D59^2))^0.5</f>
        <v/>
      </c>
      <c r="E67" s="15">
        <f>(E54*(E49^2)+(E44^2)*(E59^2))^0.5</f>
        <v/>
      </c>
      <c r="F67" s="15">
        <f>(F54*(F49^2)+(F44^2)*(F59^2))^0.5</f>
        <v/>
      </c>
    </row>
    <row r="69">
      <c r="C69" s="15" t="inlineStr">
        <is>
          <t>Média(Demand*RLT)</t>
        </is>
      </c>
      <c r="D69" s="15" t="n">
        <v>16</v>
      </c>
      <c r="E69" s="15" t="n">
        <v>17</v>
      </c>
      <c r="F69" s="15" t="n">
        <v>18</v>
      </c>
    </row>
    <row r="70">
      <c r="C70" s="15" t="n">
        <v>4</v>
      </c>
      <c r="D70" s="15">
        <f>D42*D52</f>
        <v/>
      </c>
      <c r="E70" s="15">
        <f>E42*E52</f>
        <v/>
      </c>
      <c r="F70" s="15">
        <f>F42*F52</f>
        <v/>
      </c>
    </row>
    <row r="71">
      <c r="C71" s="15" t="n">
        <v>5</v>
      </c>
      <c r="D71" s="15">
        <f>D43*D53</f>
        <v/>
      </c>
      <c r="E71" s="15">
        <f>E43*E53</f>
        <v/>
      </c>
      <c r="F71" s="15">
        <f>F43*F53</f>
        <v/>
      </c>
    </row>
    <row r="72">
      <c r="C72" s="15" t="n">
        <v>6</v>
      </c>
      <c r="D72" s="15">
        <f>D44*D54</f>
        <v/>
      </c>
      <c r="E72" s="15">
        <f>E44*E54</f>
        <v/>
      </c>
      <c r="F72" s="15">
        <f>F44*F54</f>
        <v/>
      </c>
    </row>
    <row r="74">
      <c r="B74" s="15" t="inlineStr">
        <is>
          <t>Parâmetro p/ c</t>
        </is>
      </c>
      <c r="C74" s="15" t="inlineStr">
        <is>
          <t>Reposição</t>
        </is>
      </c>
      <c r="D74" s="15" t="n">
        <v>1</v>
      </c>
      <c r="E74" s="15" t="n">
        <v>2</v>
      </c>
      <c r="F74" s="15" t="n">
        <v>3</v>
      </c>
    </row>
    <row r="75">
      <c r="B75" s="15" t="inlineStr">
        <is>
          <t>Prob(D*RLT)</t>
        </is>
      </c>
      <c r="C75" s="15" t="n">
        <v>4</v>
      </c>
      <c r="D75" s="67">
        <f>D70+$D$62*D65</f>
        <v/>
      </c>
      <c r="E75" s="67">
        <f>E70+$D$62*E65</f>
        <v/>
      </c>
      <c r="F75" s="67">
        <f>F70+$D$62*F65</f>
        <v/>
      </c>
    </row>
    <row r="76">
      <c r="B76" s="15" t="inlineStr">
        <is>
          <t>Prob(D*RLT)</t>
        </is>
      </c>
      <c r="C76" s="15" t="n">
        <v>5</v>
      </c>
      <c r="D76" s="67">
        <f>D71+$D$62*D66</f>
        <v/>
      </c>
      <c r="E76" s="67">
        <f>E71+$D$62*E66</f>
        <v/>
      </c>
      <c r="F76" s="67">
        <f>F71+$D$62*F66</f>
        <v/>
      </c>
    </row>
    <row r="77">
      <c r="B77" s="15" t="inlineStr">
        <is>
          <t>Prob(D*RLT)</t>
        </is>
      </c>
      <c r="C77" s="15" t="n">
        <v>6</v>
      </c>
      <c r="D77" s="67">
        <f>D72+$D$62*D67</f>
        <v/>
      </c>
      <c r="E77" s="67">
        <f>E72+$D$62*E67</f>
        <v/>
      </c>
      <c r="F77" s="67">
        <f>F72+$D$62*F67</f>
        <v/>
      </c>
    </row>
  </sheetData>
  <conditionalFormatting sqref="D75:F77">
    <cfRule type="cellIs" priority="1" operator="equal" dxfId="7">
      <formula>1</formula>
    </cfRule>
  </conditionalFormatting>
  <conditionalFormatting sqref="D36:R38">
    <cfRule type="cellIs" priority="4" operator="equal" dxfId="7">
      <formula>1</formula>
    </cfRule>
  </conditionalFormatting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F10"/>
  <sheetViews>
    <sheetView workbookViewId="0">
      <selection activeCell="M14" sqref="M14"/>
    </sheetView>
  </sheetViews>
  <sheetFormatPr baseColWidth="8" defaultRowHeight="14.4"/>
  <cols>
    <col width="8.88671875" customWidth="1" style="15" min="1" max="2"/>
    <col width="13.21875" bestFit="1" customWidth="1" style="15" min="3" max="3"/>
    <col width="8.88671875" customWidth="1" style="15" min="4" max="16384"/>
  </cols>
  <sheetData>
    <row r="2">
      <c r="C2" s="15" t="inlineStr">
        <is>
          <t>Wipf</t>
        </is>
      </c>
      <c r="D2" s="15" t="n">
        <v>1</v>
      </c>
      <c r="E2" s="15" t="n">
        <v>2</v>
      </c>
      <c r="F2" s="15" t="n">
        <v>3</v>
      </c>
    </row>
    <row r="3">
      <c r="C3" s="15" t="n">
        <v>1</v>
      </c>
      <c r="D3" s="39">
        <f>Factories!I22</f>
        <v/>
      </c>
      <c r="E3" s="39">
        <f>Factories!J22</f>
        <v/>
      </c>
      <c r="F3" s="39">
        <f>Factories!K22</f>
        <v/>
      </c>
    </row>
    <row r="4">
      <c r="C4" s="15" t="n">
        <v>2</v>
      </c>
      <c r="D4" s="39">
        <f>Factories!I23</f>
        <v/>
      </c>
      <c r="E4" s="39">
        <f>Factories!J23</f>
        <v/>
      </c>
      <c r="F4" s="39">
        <f>Factories!K23</f>
        <v/>
      </c>
    </row>
    <row r="5">
      <c r="C5" s="15" t="n">
        <v>3</v>
      </c>
      <c r="D5" s="39">
        <f>Factories!I24</f>
        <v/>
      </c>
      <c r="E5" s="39">
        <f>Factories!J24</f>
        <v/>
      </c>
      <c r="F5" s="39">
        <f>Factories!K24</f>
        <v/>
      </c>
    </row>
    <row r="7">
      <c r="C7" s="15" t="inlineStr">
        <is>
          <t>Wipf</t>
        </is>
      </c>
      <c r="D7" s="15" t="n">
        <v>1</v>
      </c>
      <c r="E7" s="15" t="n">
        <v>2</v>
      </c>
      <c r="F7" s="15" t="n">
        <v>3</v>
      </c>
    </row>
    <row r="8">
      <c r="C8" s="15" t="n">
        <v>1</v>
      </c>
      <c r="D8" s="44" t="n">
        <v>4.889</v>
      </c>
      <c r="E8" s="44" t="n">
        <v>6.521</v>
      </c>
      <c r="F8" s="44" t="n">
        <v>4.091</v>
      </c>
    </row>
    <row r="9">
      <c r="C9" s="15" t="n">
        <v>2</v>
      </c>
      <c r="D9" s="44" t="n">
        <v>3.548</v>
      </c>
      <c r="E9" s="44" t="n">
        <v>6.734</v>
      </c>
      <c r="F9" s="44" t="n">
        <v>4.237</v>
      </c>
    </row>
    <row r="10">
      <c r="C10" s="15" t="n">
        <v>3</v>
      </c>
      <c r="D10" s="44" t="n">
        <v>4.35</v>
      </c>
      <c r="E10" s="44" t="n">
        <v>5.496</v>
      </c>
      <c r="F10" s="44" t="n">
        <v>4.967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R43"/>
  <sheetViews>
    <sheetView zoomScale="90" zoomScaleNormal="90" workbookViewId="0">
      <selection activeCell="D24" sqref="D24"/>
    </sheetView>
  </sheetViews>
  <sheetFormatPr baseColWidth="8" defaultRowHeight="14.4"/>
  <cols>
    <col width="5.6640625" customWidth="1" style="64" min="1" max="1"/>
    <col width="25.77734375" bestFit="1" customWidth="1" style="64" min="2" max="2"/>
    <col width="8.88671875" customWidth="1" style="64" min="3" max="3"/>
    <col width="11.44140625" customWidth="1" style="64" min="4" max="18"/>
    <col width="8.88671875" customWidth="1" style="64" min="19" max="16384"/>
  </cols>
  <sheetData>
    <row r="3">
      <c r="D3" s="64" t="n">
        <v>1</v>
      </c>
      <c r="E3" s="64" t="n">
        <v>2</v>
      </c>
      <c r="F3" s="64" t="n">
        <v>3</v>
      </c>
      <c r="G3" s="64" t="n">
        <v>4</v>
      </c>
      <c r="H3" s="64" t="n">
        <v>5</v>
      </c>
      <c r="I3" s="64" t="n">
        <v>6</v>
      </c>
      <c r="J3" s="64" t="n">
        <v>7</v>
      </c>
      <c r="K3" s="64" t="n">
        <v>8</v>
      </c>
      <c r="L3" s="64" t="n">
        <v>9</v>
      </c>
      <c r="M3" s="64" t="n">
        <v>10</v>
      </c>
      <c r="N3" s="64" t="n">
        <v>11</v>
      </c>
      <c r="O3" s="64" t="n">
        <v>12</v>
      </c>
      <c r="P3" s="64" t="n">
        <v>13</v>
      </c>
      <c r="Q3" s="64" t="n">
        <v>14</v>
      </c>
      <c r="R3" s="64" t="n">
        <v>15</v>
      </c>
    </row>
    <row r="4">
      <c r="B4" s="64" t="inlineStr">
        <is>
          <t>Var(d)</t>
        </is>
      </c>
      <c r="C4" s="64" t="n">
        <v>1</v>
      </c>
      <c r="D4" s="64">
        <f>TRUNC(((Demand!AU5*0.2)^2),4)</f>
        <v/>
      </c>
      <c r="E4" s="64">
        <f>TRUNC(((Demand!AV5*0.2)^2),4)</f>
        <v/>
      </c>
      <c r="F4" s="64">
        <f>TRUNC(((Demand!AW5*0.2)^2),4)</f>
        <v/>
      </c>
      <c r="G4" s="64">
        <f>TRUNC(((Demand!AX5*0.2)^2),4)</f>
        <v/>
      </c>
      <c r="H4" s="64">
        <f>TRUNC(((Demand!AY5*0.2)^2),4)</f>
        <v/>
      </c>
      <c r="I4" s="64">
        <f>TRUNC(((Demand!AZ5*0.2)^2),4)</f>
        <v/>
      </c>
      <c r="J4" s="64">
        <f>TRUNC(((Demand!BA5*0.2)^2),4)</f>
        <v/>
      </c>
      <c r="K4" s="64">
        <f>TRUNC(((Demand!BB5*0.2)^2),4)</f>
        <v/>
      </c>
      <c r="L4" s="64">
        <f>TRUNC(((Demand!BC5*0.2)^2),4)</f>
        <v/>
      </c>
      <c r="M4" s="64">
        <f>TRUNC(((Demand!BD5*0.2)^2),4)</f>
        <v/>
      </c>
      <c r="N4" s="64">
        <f>TRUNC(((Demand!BE5*0.2)^2),4)</f>
        <v/>
      </c>
      <c r="O4" s="64">
        <f>TRUNC(((Demand!BF5*0.2)^2),4)</f>
        <v/>
      </c>
      <c r="P4" s="64">
        <f>TRUNC(((Demand!BG5*0.2)^2),4)</f>
        <v/>
      </c>
      <c r="Q4" s="64">
        <f>TRUNC(((Demand!BH5*0.2)^2),4)</f>
        <v/>
      </c>
      <c r="R4" s="64">
        <f>TRUNC(((Demand!BI5*0.2)^2),4)</f>
        <v/>
      </c>
    </row>
    <row r="5">
      <c r="C5" s="64" t="n">
        <v>2</v>
      </c>
      <c r="D5" s="64">
        <f>TRUNC(((Demand!AU6*0.2)^2),4)</f>
        <v/>
      </c>
      <c r="E5" s="64">
        <f>TRUNC(((Demand!AV6*0.2)^2),4)</f>
        <v/>
      </c>
      <c r="F5" s="64">
        <f>TRUNC(((Demand!AW6*0.2)^2),4)</f>
        <v/>
      </c>
      <c r="G5" s="64">
        <f>TRUNC(((Demand!AX6*0.2)^2),4)</f>
        <v/>
      </c>
      <c r="H5" s="64">
        <f>TRUNC(((Demand!AY6*0.2)^2),4)</f>
        <v/>
      </c>
      <c r="I5" s="64">
        <f>TRUNC(((Demand!AZ6*0.2)^2),4)</f>
        <v/>
      </c>
      <c r="J5" s="64">
        <f>TRUNC(((Demand!BA6*0.2)^2),4)</f>
        <v/>
      </c>
      <c r="K5" s="64">
        <f>TRUNC(((Demand!BB6*0.2)^2),4)</f>
        <v/>
      </c>
      <c r="L5" s="64">
        <f>TRUNC(((Demand!BC6*0.2)^2),4)</f>
        <v/>
      </c>
      <c r="M5" s="64">
        <f>TRUNC(((Demand!BD6*0.2)^2),4)</f>
        <v/>
      </c>
      <c r="N5" s="64">
        <f>TRUNC(((Demand!BE6*0.2)^2),4)</f>
        <v/>
      </c>
      <c r="O5" s="64">
        <f>TRUNC(((Demand!BF6*0.2)^2),4)</f>
        <v/>
      </c>
      <c r="P5" s="64">
        <f>TRUNC(((Demand!BG6*0.2)^2),4)</f>
        <v/>
      </c>
      <c r="Q5" s="64">
        <f>TRUNC(((Demand!BH6*0.2)^2),4)</f>
        <v/>
      </c>
      <c r="R5" s="64">
        <f>TRUNC(((Demand!BI6*0.2)^2),4)</f>
        <v/>
      </c>
    </row>
    <row r="6">
      <c r="C6" s="64" t="n">
        <v>3</v>
      </c>
      <c r="D6" s="64">
        <f>TRUNC(((Demand!AU7*0.2)^2),4)</f>
        <v/>
      </c>
      <c r="E6" s="64">
        <f>TRUNC(((Demand!AV7*0.2)^2),4)</f>
        <v/>
      </c>
      <c r="F6" s="64">
        <f>TRUNC(((Demand!AW7*0.2)^2),4)</f>
        <v/>
      </c>
      <c r="G6" s="64">
        <f>TRUNC(((Demand!AX7*0.2)^2),4)</f>
        <v/>
      </c>
      <c r="H6" s="64">
        <f>TRUNC(((Demand!AY7*0.2)^2),4)</f>
        <v/>
      </c>
      <c r="I6" s="64">
        <f>TRUNC(((Demand!AZ7*0.2)^2),4)</f>
        <v/>
      </c>
      <c r="J6" s="64">
        <f>TRUNC(((Demand!BA7*0.2)^2),4)</f>
        <v/>
      </c>
      <c r="K6" s="64">
        <f>TRUNC(((Demand!BB7*0.2)^2),4)</f>
        <v/>
      </c>
      <c r="L6" s="64">
        <f>TRUNC(((Demand!BC7*0.2)^2),4)</f>
        <v/>
      </c>
      <c r="M6" s="64">
        <f>TRUNC(((Demand!BD7*0.2)^2),4)</f>
        <v/>
      </c>
      <c r="N6" s="64">
        <f>TRUNC(((Demand!BE7*0.2)^2),4)</f>
        <v/>
      </c>
      <c r="O6" s="64">
        <f>TRUNC(((Demand!BF7*0.2)^2),4)</f>
        <v/>
      </c>
      <c r="P6" s="64">
        <f>TRUNC(((Demand!BG7*0.2)^2),4)</f>
        <v/>
      </c>
      <c r="Q6" s="64">
        <f>TRUNC(((Demand!BH7*0.2)^2),4)</f>
        <v/>
      </c>
      <c r="R6" s="64">
        <f>TRUNC(((Demand!BI7*0.2)^2),4)</f>
        <v/>
      </c>
    </row>
    <row r="9">
      <c r="D9" s="64" t="n">
        <v>1</v>
      </c>
      <c r="E9" s="64" t="n">
        <v>2</v>
      </c>
      <c r="F9" s="64" t="n">
        <v>3</v>
      </c>
      <c r="G9" s="64" t="n">
        <v>4</v>
      </c>
      <c r="H9" s="64" t="n">
        <v>5</v>
      </c>
      <c r="I9" s="64" t="n">
        <v>6</v>
      </c>
      <c r="J9" s="64" t="n">
        <v>7</v>
      </c>
      <c r="K9" s="64" t="n">
        <v>8</v>
      </c>
      <c r="L9" s="64" t="n">
        <v>9</v>
      </c>
      <c r="M9" s="64" t="n">
        <v>10</v>
      </c>
      <c r="N9" s="64" t="n">
        <v>11</v>
      </c>
      <c r="O9" s="64" t="n">
        <v>12</v>
      </c>
      <c r="P9" s="64" t="n">
        <v>13</v>
      </c>
      <c r="Q9" s="64" t="n">
        <v>14</v>
      </c>
      <c r="R9" s="64" t="n">
        <v>15</v>
      </c>
    </row>
    <row r="10">
      <c r="B10" s="64" t="inlineStr">
        <is>
          <t>Var(Cap)</t>
        </is>
      </c>
      <c r="C10" s="64" t="n">
        <v>1</v>
      </c>
      <c r="D10" s="64">
        <f>TRUNC(((Suppliers_Cap!D8*0.2)^2),4)</f>
        <v/>
      </c>
      <c r="E10" s="64">
        <f>TRUNC(((Suppliers_Cap!E8*0.2)^2),4)</f>
        <v/>
      </c>
      <c r="F10" s="64">
        <f>TRUNC(((Suppliers_Cap!F8*0.2)^2),4)</f>
        <v/>
      </c>
      <c r="G10" s="64">
        <f>TRUNC(((Suppliers_Cap!G8*0.2)^2),4)</f>
        <v/>
      </c>
      <c r="H10" s="64">
        <f>TRUNC(((Suppliers_Cap!H8*0.2)^2),4)</f>
        <v/>
      </c>
      <c r="I10" s="64">
        <f>TRUNC(((Suppliers_Cap!I8*0.2)^2),4)</f>
        <v/>
      </c>
      <c r="J10" s="64">
        <f>TRUNC(((Suppliers_Cap!J8*0.2)^2),4)</f>
        <v/>
      </c>
      <c r="K10" s="64">
        <f>TRUNC(((Suppliers_Cap!K8*0.2)^2),4)</f>
        <v/>
      </c>
      <c r="L10" s="64">
        <f>TRUNC(((Suppliers_Cap!L8*0.2)^2),4)</f>
        <v/>
      </c>
      <c r="M10" s="64">
        <f>TRUNC(((Suppliers_Cap!M8*0.2)^2),4)</f>
        <v/>
      </c>
      <c r="N10" s="64">
        <f>TRUNC(((Suppliers_Cap!N8*0.2)^2),4)</f>
        <v/>
      </c>
      <c r="O10" s="64">
        <f>TRUNC(((Suppliers_Cap!O8*0.2)^2),4)</f>
        <v/>
      </c>
      <c r="P10" s="64">
        <f>TRUNC(((Suppliers_Cap!P8*0.2)^2),4)</f>
        <v/>
      </c>
      <c r="Q10" s="64">
        <f>TRUNC(((Suppliers_Cap!Q8*0.2)^2),4)</f>
        <v/>
      </c>
      <c r="R10" s="64">
        <f>TRUNC(((Suppliers_Cap!R8*0.2)^2),4)</f>
        <v/>
      </c>
    </row>
    <row r="11">
      <c r="C11" s="64" t="n">
        <v>2</v>
      </c>
      <c r="D11" s="64">
        <f>TRUNC(((Suppliers_Cap!D9*0.2)^2),4)</f>
        <v/>
      </c>
      <c r="E11" s="64">
        <f>TRUNC(((Suppliers_Cap!E9*0.2)^2),4)</f>
        <v/>
      </c>
      <c r="F11" s="64">
        <f>TRUNC(((Suppliers_Cap!F9*0.2)^2),4)</f>
        <v/>
      </c>
      <c r="G11" s="64">
        <f>TRUNC(((Suppliers_Cap!G9*0.2)^2),4)</f>
        <v/>
      </c>
      <c r="H11" s="64">
        <f>TRUNC(((Suppliers_Cap!H9*0.2)^2),4)</f>
        <v/>
      </c>
      <c r="I11" s="64">
        <f>TRUNC(((Suppliers_Cap!I9*0.2)^2),4)</f>
        <v/>
      </c>
      <c r="J11" s="64">
        <f>TRUNC(((Suppliers_Cap!J9*0.2)^2),4)</f>
        <v/>
      </c>
      <c r="K11" s="64">
        <f>TRUNC(((Suppliers_Cap!K9*0.2)^2),4)</f>
        <v/>
      </c>
      <c r="L11" s="64">
        <f>TRUNC(((Suppliers_Cap!L9*0.2)^2),4)</f>
        <v/>
      </c>
      <c r="M11" s="64">
        <f>TRUNC(((Suppliers_Cap!M9*0.2)^2),4)</f>
        <v/>
      </c>
      <c r="N11" s="64">
        <f>TRUNC(((Suppliers_Cap!N9*0.2)^2),4)</f>
        <v/>
      </c>
      <c r="O11" s="64">
        <f>TRUNC(((Suppliers_Cap!O9*0.2)^2),4)</f>
        <v/>
      </c>
      <c r="P11" s="64">
        <f>TRUNC(((Suppliers_Cap!P9*0.2)^2),4)</f>
        <v/>
      </c>
      <c r="Q11" s="64">
        <f>TRUNC(((Suppliers_Cap!Q9*0.2)^2),4)</f>
        <v/>
      </c>
      <c r="R11" s="64">
        <f>TRUNC(((Suppliers_Cap!R9*0.2)^2),4)</f>
        <v/>
      </c>
    </row>
    <row r="12">
      <c r="C12" s="64" t="n">
        <v>3</v>
      </c>
      <c r="D12" s="64">
        <f>TRUNC(((Suppliers_Cap!D10*0.2)^2),4)</f>
        <v/>
      </c>
      <c r="E12" s="64">
        <f>TRUNC(((Suppliers_Cap!E10*0.2)^2),4)</f>
        <v/>
      </c>
      <c r="F12" s="64">
        <f>TRUNC(((Suppliers_Cap!F10*0.2)^2),4)</f>
        <v/>
      </c>
      <c r="G12" s="64">
        <f>TRUNC(((Suppliers_Cap!G10*0.2)^2),4)</f>
        <v/>
      </c>
      <c r="H12" s="64">
        <f>TRUNC(((Suppliers_Cap!H10*0.2)^2),4)</f>
        <v/>
      </c>
      <c r="I12" s="64">
        <f>TRUNC(((Suppliers_Cap!I10*0.2)^2),4)</f>
        <v/>
      </c>
      <c r="J12" s="64">
        <f>TRUNC(((Suppliers_Cap!J10*0.2)^2),4)</f>
        <v/>
      </c>
      <c r="K12" s="64">
        <f>TRUNC(((Suppliers_Cap!K10*0.2)^2),4)</f>
        <v/>
      </c>
      <c r="L12" s="64">
        <f>TRUNC(((Suppliers_Cap!L10*0.2)^2),4)</f>
        <v/>
      </c>
      <c r="M12" s="64">
        <f>TRUNC(((Suppliers_Cap!M10*0.2)^2),4)</f>
        <v/>
      </c>
      <c r="N12" s="64">
        <f>TRUNC(((Suppliers_Cap!N10*0.2)^2),4)</f>
        <v/>
      </c>
      <c r="O12" s="64">
        <f>TRUNC(((Suppliers_Cap!O10*0.2)^2),4)</f>
        <v/>
      </c>
      <c r="P12" s="64">
        <f>TRUNC(((Suppliers_Cap!P10*0.2)^2),4)</f>
        <v/>
      </c>
      <c r="Q12" s="64">
        <f>TRUNC(((Suppliers_Cap!Q10*0.2)^2),4)</f>
        <v/>
      </c>
      <c r="R12" s="64">
        <f>TRUNC(((Suppliers_Cap!R10*0.2)^2),4)</f>
        <v/>
      </c>
    </row>
    <row r="14">
      <c r="B14" s="64" t="inlineStr">
        <is>
          <t>n</t>
        </is>
      </c>
      <c r="C14" s="64" t="n">
        <v>7</v>
      </c>
    </row>
    <row r="15">
      <c r="B15" s="64" t="inlineStr">
        <is>
          <t>m</t>
        </is>
      </c>
      <c r="C15" s="64" t="n">
        <v>30</v>
      </c>
    </row>
    <row r="17">
      <c r="D17" s="64" t="n">
        <v>1</v>
      </c>
      <c r="E17" s="64" t="n">
        <v>2</v>
      </c>
      <c r="F17" s="64" t="n">
        <v>3</v>
      </c>
      <c r="G17" s="64" t="n">
        <v>4</v>
      </c>
      <c r="H17" s="64" t="n">
        <v>5</v>
      </c>
      <c r="I17" s="64" t="n">
        <v>6</v>
      </c>
      <c r="J17" s="64" t="n">
        <v>7</v>
      </c>
      <c r="K17" s="64" t="n">
        <v>8</v>
      </c>
      <c r="L17" s="64" t="n">
        <v>9</v>
      </c>
      <c r="M17" s="64" t="n">
        <v>10</v>
      </c>
      <c r="N17" s="64" t="n">
        <v>11</v>
      </c>
      <c r="O17" s="64" t="n">
        <v>12</v>
      </c>
      <c r="P17" s="64" t="n">
        <v>13</v>
      </c>
      <c r="Q17" s="64" t="n">
        <v>14</v>
      </c>
      <c r="R17" s="64" t="n">
        <v>15</v>
      </c>
    </row>
    <row r="18">
      <c r="B18" s="64" t="inlineStr">
        <is>
          <t>Var(Var(d))</t>
        </is>
      </c>
      <c r="C18" s="64" t="n">
        <v>1</v>
      </c>
      <c r="D18" s="64">
        <f>TRUNC((1/$C$14)*(5*(D4^2)-((($C$14-3)/($C$14-1))*D4^2)),4)</f>
        <v/>
      </c>
      <c r="E18" s="64">
        <f>TRUNC((1/$C$14)*(5*(E4^2)-((($C$14-3)/($C$14-1))*E4^2)),4)</f>
        <v/>
      </c>
      <c r="F18" s="64">
        <f>TRUNC((1/$C$14)*(5*(F4^2)-((($C$14-3)/($C$14-1))*F4^2)),4)</f>
        <v/>
      </c>
      <c r="G18" s="64">
        <f>TRUNC((1/$C$14)*(5*(G4^2)-((($C$14-3)/($C$14-1))*G4^2)),4)</f>
        <v/>
      </c>
      <c r="H18" s="64">
        <f>TRUNC((1/$C$14)*(5*(H4^2)-((($C$14-3)/($C$14-1))*H4^2)),4)</f>
        <v/>
      </c>
      <c r="I18" s="64">
        <f>TRUNC((1/$C$14)*(5*(I4^2)-((($C$14-3)/($C$14-1))*I4^2)),4)</f>
        <v/>
      </c>
      <c r="J18" s="64">
        <f>TRUNC((1/$C$14)*(5*(J4^2)-((($C$14-3)/($C$14-1))*J4^2)),4)</f>
        <v/>
      </c>
      <c r="K18" s="64">
        <f>TRUNC((1/$C$14)*(5*(K4^2)-((($C$14-3)/($C$14-1))*K4^2)),4)</f>
        <v/>
      </c>
      <c r="L18" s="64">
        <f>TRUNC((1/$C$14)*(5*(L4^2)-((($C$14-3)/($C$14-1))*L4^2)),4)</f>
        <v/>
      </c>
      <c r="M18" s="64">
        <f>TRUNC((1/$C$14)*(5*(M4^2)-((($C$14-3)/($C$14-1))*M4^2)),4)</f>
        <v/>
      </c>
      <c r="N18" s="64">
        <f>TRUNC((1/$C$14)*(5*(N4^2)-((($C$14-3)/($C$14-1))*N4^2)),4)</f>
        <v/>
      </c>
      <c r="O18" s="64">
        <f>TRUNC((1/$C$14)*(5*(O4^2)-((($C$14-3)/($C$14-1))*O4^2)),4)</f>
        <v/>
      </c>
      <c r="P18" s="64">
        <f>TRUNC((1/$C$14)*(5*(P4^2)-((($C$14-3)/($C$14-1))*P4^2)),4)</f>
        <v/>
      </c>
      <c r="Q18" s="64">
        <f>TRUNC((1/$C$14)*(5*(Q4^2)-((($C$14-3)/($C$14-1))*Q4^2)),4)</f>
        <v/>
      </c>
      <c r="R18" s="64">
        <f>TRUNC((1/$C$14)*(5*(R4^2)-((($C$14-3)/($C$14-1))*R4^2)),4)</f>
        <v/>
      </c>
    </row>
    <row r="19">
      <c r="C19" s="64" t="n">
        <v>2</v>
      </c>
      <c r="D19" s="64">
        <f>TRUNC((1/$C$14)*(5*(D5^2)-((($C$14-3)/($C$14-1))*D5^2)),4)</f>
        <v/>
      </c>
      <c r="E19" s="64">
        <f>TRUNC((1/$C$14)*(5*(E5^2)-((($C$14-3)/($C$14-1))*E5^2)),4)</f>
        <v/>
      </c>
      <c r="F19" s="64">
        <f>TRUNC((1/$C$14)*(5*(F5^2)-((($C$14-3)/($C$14-1))*F5^2)),4)</f>
        <v/>
      </c>
      <c r="G19" s="64">
        <f>TRUNC((1/$C$14)*(5*(G5^2)-((($C$14-3)/($C$14-1))*G5^2)),4)</f>
        <v/>
      </c>
      <c r="H19" s="64">
        <f>TRUNC((1/$C$14)*(5*(H5^2)-((($C$14-3)/($C$14-1))*H5^2)),4)</f>
        <v/>
      </c>
      <c r="I19" s="64">
        <f>TRUNC((1/$C$14)*(5*(I5^2)-((($C$14-3)/($C$14-1))*I5^2)),4)</f>
        <v/>
      </c>
      <c r="J19" s="64">
        <f>TRUNC((1/$C$14)*(5*(J5^2)-((($C$14-3)/($C$14-1))*J5^2)),4)</f>
        <v/>
      </c>
      <c r="K19" s="64">
        <f>TRUNC((1/$C$14)*(5*(K5^2)-((($C$14-3)/($C$14-1))*K5^2)),4)</f>
        <v/>
      </c>
      <c r="L19" s="64">
        <f>TRUNC((1/$C$14)*(5*(L5^2)-((($C$14-3)/($C$14-1))*L5^2)),4)</f>
        <v/>
      </c>
      <c r="M19" s="64">
        <f>TRUNC((1/$C$14)*(5*(M5^2)-((($C$14-3)/($C$14-1))*M5^2)),4)</f>
        <v/>
      </c>
      <c r="N19" s="64">
        <f>TRUNC((1/$C$14)*(5*(N5^2)-((($C$14-3)/($C$14-1))*N5^2)),4)</f>
        <v/>
      </c>
      <c r="O19" s="64">
        <f>TRUNC((1/$C$14)*(5*(O5^2)-((($C$14-3)/($C$14-1))*O5^2)),4)</f>
        <v/>
      </c>
      <c r="P19" s="64">
        <f>TRUNC((1/$C$14)*(5*(P5^2)-((($C$14-3)/($C$14-1))*P5^2)),4)</f>
        <v/>
      </c>
      <c r="Q19" s="64">
        <f>TRUNC((1/$C$14)*(5*(Q5^2)-((($C$14-3)/($C$14-1))*Q5^2)),4)</f>
        <v/>
      </c>
      <c r="R19" s="64">
        <f>TRUNC((1/$C$14)*(5*(R5^2)-((($C$14-3)/($C$14-1))*R5^2)),4)</f>
        <v/>
      </c>
    </row>
    <row r="20">
      <c r="C20" s="64" t="n">
        <v>3</v>
      </c>
      <c r="D20" s="64">
        <f>TRUNC((1/$C$14)*(5*(D6^2)-((($C$14-3)/($C$14-1))*D6^2)),4)</f>
        <v/>
      </c>
      <c r="E20" s="64">
        <f>TRUNC((1/$C$14)*(5*(E6^2)-((($C$14-3)/($C$14-1))*E6^2)),4)</f>
        <v/>
      </c>
      <c r="F20" s="64">
        <f>TRUNC((1/$C$14)*(5*(F6^2)-((($C$14-3)/($C$14-1))*F6^2)),4)</f>
        <v/>
      </c>
      <c r="G20" s="64">
        <f>TRUNC((1/$C$14)*(5*(G6^2)-((($C$14-3)/($C$14-1))*G6^2)),4)</f>
        <v/>
      </c>
      <c r="H20" s="64">
        <f>TRUNC((1/$C$14)*(5*(H6^2)-((($C$14-3)/($C$14-1))*H6^2)),4)</f>
        <v/>
      </c>
      <c r="I20" s="64">
        <f>TRUNC((1/$C$14)*(5*(I6^2)-((($C$14-3)/($C$14-1))*I6^2)),4)</f>
        <v/>
      </c>
      <c r="J20" s="64">
        <f>TRUNC((1/$C$14)*(5*(J6^2)-((($C$14-3)/($C$14-1))*J6^2)),4)</f>
        <v/>
      </c>
      <c r="K20" s="64">
        <f>TRUNC((1/$C$14)*(5*(K6^2)-((($C$14-3)/($C$14-1))*K6^2)),4)</f>
        <v/>
      </c>
      <c r="L20" s="64">
        <f>TRUNC((1/$C$14)*(5*(L6^2)-((($C$14-3)/($C$14-1))*L6^2)),4)</f>
        <v/>
      </c>
      <c r="M20" s="64">
        <f>TRUNC((1/$C$14)*(5*(M6^2)-((($C$14-3)/($C$14-1))*M6^2)),4)</f>
        <v/>
      </c>
      <c r="N20" s="64">
        <f>TRUNC((1/$C$14)*(5*(N6^2)-((($C$14-3)/($C$14-1))*N6^2)),4)</f>
        <v/>
      </c>
      <c r="O20" s="64">
        <f>TRUNC((1/$C$14)*(5*(O6^2)-((($C$14-3)/($C$14-1))*O6^2)),4)</f>
        <v/>
      </c>
      <c r="P20" s="64">
        <f>TRUNC((1/$C$14)*(5*(P6^2)-((($C$14-3)/($C$14-1))*P6^2)),4)</f>
        <v/>
      </c>
      <c r="Q20" s="64">
        <f>TRUNC((1/$C$14)*(5*(Q6^2)-((($C$14-3)/($C$14-1))*Q6^2)),4)</f>
        <v/>
      </c>
      <c r="R20" s="64">
        <f>TRUNC((1/$C$14)*(5*(R6^2)-((($C$14-3)/($C$14-1))*R6^2)),4)</f>
        <v/>
      </c>
    </row>
    <row r="23">
      <c r="D23" s="64" t="n">
        <v>1</v>
      </c>
      <c r="E23" s="64" t="n">
        <v>2</v>
      </c>
      <c r="F23" s="64" t="n">
        <v>3</v>
      </c>
      <c r="G23" s="64" t="n">
        <v>4</v>
      </c>
      <c r="H23" s="64" t="n">
        <v>5</v>
      </c>
      <c r="I23" s="64" t="n">
        <v>6</v>
      </c>
      <c r="J23" s="64" t="n">
        <v>7</v>
      </c>
      <c r="K23" s="64" t="n">
        <v>8</v>
      </c>
      <c r="L23" s="64" t="n">
        <v>9</v>
      </c>
      <c r="M23" s="64" t="n">
        <v>10</v>
      </c>
      <c r="N23" s="64" t="n">
        <v>11</v>
      </c>
      <c r="O23" s="64" t="n">
        <v>12</v>
      </c>
      <c r="P23" s="64" t="n">
        <v>13</v>
      </c>
      <c r="Q23" s="64" t="n">
        <v>14</v>
      </c>
      <c r="R23" s="64" t="n">
        <v>15</v>
      </c>
    </row>
    <row r="24">
      <c r="B24" s="64" t="inlineStr">
        <is>
          <t>Var(Var(Cap))</t>
        </is>
      </c>
      <c r="C24" s="64" t="n">
        <v>1</v>
      </c>
      <c r="D24" s="64">
        <f>TRUNC((1/$C$14)*(5*(D10^2)-((($C$14-3)/($C$14-1))*D10^2)),4)</f>
        <v/>
      </c>
      <c r="E24" s="64">
        <f>TRUNC((1/$C$14)*(5*(E10^2)-((($C$14-3)/($C$14-1))*E10^2)),4)</f>
        <v/>
      </c>
      <c r="F24" s="64">
        <f>TRUNC((1/$C$14)*(5*(F10^2)-((($C$14-3)/($C$14-1))*F10^2)),4)</f>
        <v/>
      </c>
      <c r="G24" s="64">
        <f>TRUNC((1/$C$14)*(5*(G10^2)-((($C$14-3)/($C$14-1))*G10^2)),4)</f>
        <v/>
      </c>
      <c r="H24" s="64">
        <f>TRUNC((1/$C$14)*(5*(H10^2)-((($C$14-3)/($C$14-1))*H10^2)),4)</f>
        <v/>
      </c>
      <c r="I24" s="64">
        <f>TRUNC((1/$C$14)*(5*(I10^2)-((($C$14-3)/($C$14-1))*I10^2)),4)</f>
        <v/>
      </c>
      <c r="J24" s="64">
        <f>TRUNC((1/$C$14)*(5*(J10^2)-((($C$14-3)/($C$14-1))*J10^2)),4)</f>
        <v/>
      </c>
      <c r="K24" s="64">
        <f>TRUNC((1/$C$14)*(5*(K10^2)-((($C$14-3)/($C$14-1))*K10^2)),4)</f>
        <v/>
      </c>
      <c r="L24" s="64">
        <f>TRUNC((1/$C$14)*(5*(L10^2)-((($C$14-3)/($C$14-1))*L10^2)),4)</f>
        <v/>
      </c>
      <c r="M24" s="64">
        <f>TRUNC((1/$C$14)*(5*(M10^2)-((($C$14-3)/($C$14-1))*M10^2)),4)</f>
        <v/>
      </c>
      <c r="N24" s="64">
        <f>TRUNC((1/$C$14)*(5*(N10^2)-((($C$14-3)/($C$14-1))*N10^2)),4)</f>
        <v/>
      </c>
      <c r="O24" s="64">
        <f>TRUNC((1/$C$14)*(5*(O10^2)-((($C$14-3)/($C$14-1))*O10^2)),4)</f>
        <v/>
      </c>
      <c r="P24" s="64">
        <f>TRUNC((1/$C$14)*(5*(P10^2)-((($C$14-3)/($C$14-1))*P10^2)),4)</f>
        <v/>
      </c>
      <c r="Q24" s="64">
        <f>TRUNC((1/$C$14)*(5*(Q10^2)-((($C$14-3)/($C$14-1))*Q10^2)),4)</f>
        <v/>
      </c>
      <c r="R24" s="64">
        <f>TRUNC((1/$C$14)*(5*(R10^2)-((($C$14-3)/($C$14-1))*R10^2)),4)</f>
        <v/>
      </c>
    </row>
    <row r="25">
      <c r="C25" s="64" t="n">
        <v>2</v>
      </c>
      <c r="D25" s="64">
        <f>TRUNC((1/$C$14)*(5*(D11^2)-((($C$14-3)/($C$14-1))*D11^2)),4)</f>
        <v/>
      </c>
      <c r="E25" s="64">
        <f>TRUNC((1/$C$14)*(5*(E11^2)-((($C$14-3)/($C$14-1))*E11^2)),4)</f>
        <v/>
      </c>
      <c r="F25" s="64">
        <f>TRUNC((1/$C$14)*(5*(F11^2)-((($C$14-3)/($C$14-1))*F11^2)),4)</f>
        <v/>
      </c>
      <c r="G25" s="64">
        <f>TRUNC((1/$C$14)*(5*(G11^2)-((($C$14-3)/($C$14-1))*G11^2)),4)</f>
        <v/>
      </c>
      <c r="H25" s="64">
        <f>TRUNC((1/$C$14)*(5*(H11^2)-((($C$14-3)/($C$14-1))*H11^2)),4)</f>
        <v/>
      </c>
      <c r="I25" s="64">
        <f>TRUNC((1/$C$14)*(5*(I11^2)-((($C$14-3)/($C$14-1))*I11^2)),4)</f>
        <v/>
      </c>
      <c r="J25" s="64">
        <f>TRUNC((1/$C$14)*(5*(J11^2)-((($C$14-3)/($C$14-1))*J11^2)),4)</f>
        <v/>
      </c>
      <c r="K25" s="64">
        <f>TRUNC((1/$C$14)*(5*(K11^2)-((($C$14-3)/($C$14-1))*K11^2)),4)</f>
        <v/>
      </c>
      <c r="L25" s="64">
        <f>TRUNC((1/$C$14)*(5*(L11^2)-((($C$14-3)/($C$14-1))*L11^2)),4)</f>
        <v/>
      </c>
      <c r="M25" s="64">
        <f>TRUNC((1/$C$14)*(5*(M11^2)-((($C$14-3)/($C$14-1))*M11^2)),4)</f>
        <v/>
      </c>
      <c r="N25" s="64">
        <f>TRUNC((1/$C$14)*(5*(N11^2)-((($C$14-3)/($C$14-1))*N11^2)),4)</f>
        <v/>
      </c>
      <c r="O25" s="64">
        <f>TRUNC((1/$C$14)*(5*(O11^2)-((($C$14-3)/($C$14-1))*O11^2)),4)</f>
        <v/>
      </c>
      <c r="P25" s="64">
        <f>TRUNC((1/$C$14)*(5*(P11^2)-((($C$14-3)/($C$14-1))*P11^2)),4)</f>
        <v/>
      </c>
      <c r="Q25" s="64">
        <f>TRUNC((1/$C$14)*(5*(Q11^2)-((($C$14-3)/($C$14-1))*Q11^2)),4)</f>
        <v/>
      </c>
      <c r="R25" s="64">
        <f>TRUNC((1/$C$14)*(5*(R11^2)-((($C$14-3)/($C$14-1))*R11^2)),4)</f>
        <v/>
      </c>
    </row>
    <row r="26">
      <c r="C26" s="64" t="n">
        <v>3</v>
      </c>
      <c r="D26" s="64">
        <f>TRUNC((1/$C$14)*(5*(D12^2)-((($C$14-3)/($C$14-1))*D12^2)),4)</f>
        <v/>
      </c>
      <c r="E26" s="64">
        <f>TRUNC((1/$C$14)*(5*(E12^2)-((($C$14-3)/($C$14-1))*E12^2)),4)</f>
        <v/>
      </c>
      <c r="F26" s="64">
        <f>TRUNC((1/$C$14)*(5*(F12^2)-((($C$14-3)/($C$14-1))*F12^2)),4)</f>
        <v/>
      </c>
      <c r="G26" s="64">
        <f>TRUNC((1/$C$14)*(5*(G12^2)-((($C$14-3)/($C$14-1))*G12^2)),4)</f>
        <v/>
      </c>
      <c r="H26" s="64">
        <f>TRUNC((1/$C$14)*(5*(H12^2)-((($C$14-3)/($C$14-1))*H12^2)),4)</f>
        <v/>
      </c>
      <c r="I26" s="64">
        <f>TRUNC((1/$C$14)*(5*(I12^2)-((($C$14-3)/($C$14-1))*I12^2)),4)</f>
        <v/>
      </c>
      <c r="J26" s="64">
        <f>TRUNC((1/$C$14)*(5*(J12^2)-((($C$14-3)/($C$14-1))*J12^2)),4)</f>
        <v/>
      </c>
      <c r="K26" s="64">
        <f>TRUNC((1/$C$14)*(5*(K12^2)-((($C$14-3)/($C$14-1))*K12^2)),4)</f>
        <v/>
      </c>
      <c r="L26" s="64">
        <f>TRUNC((1/$C$14)*(5*(L12^2)-((($C$14-3)/($C$14-1))*L12^2)),4)</f>
        <v/>
      </c>
      <c r="M26" s="64">
        <f>TRUNC((1/$C$14)*(5*(M12^2)-((($C$14-3)/($C$14-1))*M12^2)),4)</f>
        <v/>
      </c>
      <c r="N26" s="64">
        <f>TRUNC((1/$C$14)*(5*(N12^2)-((($C$14-3)/($C$14-1))*N12^2)),4)</f>
        <v/>
      </c>
      <c r="O26" s="64">
        <f>TRUNC((1/$C$14)*(5*(O12^2)-((($C$14-3)/($C$14-1))*O12^2)),4)</f>
        <v/>
      </c>
      <c r="P26" s="64">
        <f>TRUNC((1/$C$14)*(5*(P12^2)-((($C$14-3)/($C$14-1))*P12^2)),4)</f>
        <v/>
      </c>
      <c r="Q26" s="64">
        <f>TRUNC((1/$C$14)*(5*(Q12^2)-((($C$14-3)/($C$14-1))*Q12^2)),4)</f>
        <v/>
      </c>
      <c r="R26" s="64">
        <f>TRUNC((1/$C$14)*(5*(R12^2)-((($C$14-3)/($C$14-1))*R12^2)),4)</f>
        <v/>
      </c>
    </row>
    <row r="28">
      <c r="D28" s="64" t="n">
        <v>1</v>
      </c>
      <c r="E28" s="64" t="n">
        <v>2</v>
      </c>
      <c r="F28" s="64" t="n">
        <v>3</v>
      </c>
      <c r="G28" s="64" t="n">
        <v>4</v>
      </c>
      <c r="H28" s="64" t="n">
        <v>5</v>
      </c>
      <c r="I28" s="64" t="n">
        <v>6</v>
      </c>
      <c r="J28" s="64" t="n">
        <v>7</v>
      </c>
      <c r="K28" s="64" t="n">
        <v>8</v>
      </c>
      <c r="L28" s="64" t="n">
        <v>9</v>
      </c>
      <c r="M28" s="64" t="n">
        <v>10</v>
      </c>
      <c r="N28" s="64" t="n">
        <v>11</v>
      </c>
      <c r="O28" s="64" t="n">
        <v>12</v>
      </c>
      <c r="P28" s="64" t="n">
        <v>13</v>
      </c>
      <c r="Q28" s="64" t="n">
        <v>14</v>
      </c>
      <c r="R28" s="64" t="n">
        <v>15</v>
      </c>
    </row>
    <row r="29">
      <c r="B29" s="64" t="inlineStr">
        <is>
          <t>Var(soma das Var)</t>
        </is>
      </c>
      <c r="C29" s="64" t="n">
        <v>1</v>
      </c>
      <c r="D29" s="64">
        <f>TRUNC((D18+D24)*((1/$C$15)^2),4)</f>
        <v/>
      </c>
      <c r="E29" s="64">
        <f>TRUNC((E18+E24)*((1/$C$15)^2),4)</f>
        <v/>
      </c>
      <c r="F29" s="64">
        <f>TRUNC((F18+F24)*((1/$C$15)^2),4)</f>
        <v/>
      </c>
      <c r="G29" s="64">
        <f>TRUNC((G18+G24)*((1/$C$15)^2),4)</f>
        <v/>
      </c>
      <c r="H29" s="64">
        <f>TRUNC((H18+H24)*((1/$C$15)^2),4)</f>
        <v/>
      </c>
      <c r="I29" s="64">
        <f>TRUNC((I18+I24)*((1/$C$15)^2),4)</f>
        <v/>
      </c>
      <c r="J29" s="64">
        <f>TRUNC((J18+J24)*((1/$C$15)^2),4)</f>
        <v/>
      </c>
      <c r="K29" s="64">
        <f>TRUNC((K18+K24)*((1/$C$15)^2),4)</f>
        <v/>
      </c>
      <c r="L29" s="64">
        <f>TRUNC((L18+L24)*((1/$C$15)^2),4)</f>
        <v/>
      </c>
      <c r="M29" s="64">
        <f>TRUNC((M18+M24)*((1/$C$15)^2),4)</f>
        <v/>
      </c>
      <c r="N29" s="64">
        <f>TRUNC((N18+N24)*((1/$C$15)^2),4)</f>
        <v/>
      </c>
      <c r="O29" s="64">
        <f>TRUNC((O18+O24)*((1/$C$15)^2),4)</f>
        <v/>
      </c>
      <c r="P29" s="64">
        <f>TRUNC((P18+P24)*((1/$C$15)^2),4)</f>
        <v/>
      </c>
      <c r="Q29" s="64">
        <f>TRUNC((Q18+Q24)*((1/$C$15)^2),4)</f>
        <v/>
      </c>
      <c r="R29" s="64">
        <f>TRUNC((R18+R24)*((1/$C$15)^2),4)</f>
        <v/>
      </c>
    </row>
    <row r="30">
      <c r="C30" s="64" t="n">
        <v>2</v>
      </c>
      <c r="D30" s="64">
        <f>TRUNC((D19+D25)*((1/$C$15)^2),4)</f>
        <v/>
      </c>
      <c r="E30" s="64">
        <f>TRUNC((E19+E25)*((1/$C$15)^2),4)</f>
        <v/>
      </c>
      <c r="F30" s="64">
        <f>TRUNC((F19+F25)*((1/$C$15)^2),4)</f>
        <v/>
      </c>
      <c r="G30" s="64">
        <f>TRUNC((G19+G25)*((1/$C$15)^2),4)</f>
        <v/>
      </c>
      <c r="H30" s="64">
        <f>TRUNC((H19+H25)*((1/$C$15)^2),4)</f>
        <v/>
      </c>
      <c r="I30" s="64">
        <f>TRUNC((I19+I25)*((1/$C$15)^2),4)</f>
        <v/>
      </c>
      <c r="J30" s="64">
        <f>TRUNC((J19+J25)*((1/$C$15)^2),4)</f>
        <v/>
      </c>
      <c r="K30" s="64">
        <f>TRUNC((K19+K25)*((1/$C$15)^2),4)</f>
        <v/>
      </c>
      <c r="L30" s="64">
        <f>TRUNC((L19+L25)*((1/$C$15)^2),4)</f>
        <v/>
      </c>
      <c r="M30" s="64">
        <f>TRUNC((M19+M25)*((1/$C$15)^2),4)</f>
        <v/>
      </c>
      <c r="N30" s="64">
        <f>TRUNC((N19+N25)*((1/$C$15)^2),4)</f>
        <v/>
      </c>
      <c r="O30" s="64">
        <f>TRUNC((O19+O25)*((1/$C$15)^2),4)</f>
        <v/>
      </c>
      <c r="P30" s="64">
        <f>TRUNC((P19+P25)*((1/$C$15)^2),4)</f>
        <v/>
      </c>
      <c r="Q30" s="64">
        <f>TRUNC((Q19+Q25)*((1/$C$15)^2),4)</f>
        <v/>
      </c>
      <c r="R30" s="64">
        <f>TRUNC((R19+R25)*((1/$C$15)^2),4)</f>
        <v/>
      </c>
    </row>
    <row r="31">
      <c r="C31" s="64" t="n">
        <v>3</v>
      </c>
      <c r="D31" s="64">
        <f>TRUNC((D20+D26)*((1/$C$15)^2),4)</f>
        <v/>
      </c>
      <c r="E31" s="64">
        <f>TRUNC((E20+E26)*((1/$C$15)^2),4)</f>
        <v/>
      </c>
      <c r="F31" s="64">
        <f>TRUNC((F20+F26)*((1/$C$15)^2),4)</f>
        <v/>
      </c>
      <c r="G31" s="64">
        <f>TRUNC((G20+G26)*((1/$C$15)^2),4)</f>
        <v/>
      </c>
      <c r="H31" s="64">
        <f>TRUNC((H20+H26)*((1/$C$15)^2),4)</f>
        <v/>
      </c>
      <c r="I31" s="64">
        <f>TRUNC((I20+I26)*((1/$C$15)^2),4)</f>
        <v/>
      </c>
      <c r="J31" s="64">
        <f>TRUNC((J20+J26)*((1/$C$15)^2),4)</f>
        <v/>
      </c>
      <c r="K31" s="64">
        <f>TRUNC((K20+K26)*((1/$C$15)^2),4)</f>
        <v/>
      </c>
      <c r="L31" s="64">
        <f>TRUNC((L20+L26)*((1/$C$15)^2),4)</f>
        <v/>
      </c>
      <c r="M31" s="64">
        <f>TRUNC((M20+M26)*((1/$C$15)^2),4)</f>
        <v/>
      </c>
      <c r="N31" s="64">
        <f>TRUNC((N20+N26)*((1/$C$15)^2),4)</f>
        <v/>
      </c>
      <c r="O31" s="64">
        <f>TRUNC((O20+O26)*((1/$C$15)^2),4)</f>
        <v/>
      </c>
      <c r="P31" s="64">
        <f>TRUNC((P20+P26)*((1/$C$15)^2),4)</f>
        <v/>
      </c>
      <c r="Q31" s="64">
        <f>TRUNC((Q20+Q26)*((1/$C$15)^2),4)</f>
        <v/>
      </c>
      <c r="R31" s="64">
        <f>TRUNC((R20+R26)*((1/$C$15)^2),4)</f>
        <v/>
      </c>
    </row>
    <row r="34">
      <c r="D34" s="64" t="n">
        <v>1</v>
      </c>
      <c r="E34" s="64" t="n">
        <v>2</v>
      </c>
      <c r="F34" s="64" t="n">
        <v>3</v>
      </c>
      <c r="G34" s="64" t="n">
        <v>4</v>
      </c>
      <c r="H34" s="64" t="n">
        <v>5</v>
      </c>
      <c r="I34" s="64" t="n">
        <v>6</v>
      </c>
      <c r="J34" s="64" t="n">
        <v>7</v>
      </c>
      <c r="K34" s="64" t="n">
        <v>8</v>
      </c>
      <c r="L34" s="64" t="n">
        <v>9</v>
      </c>
      <c r="M34" s="64" t="n">
        <v>10</v>
      </c>
      <c r="N34" s="64" t="n">
        <v>11</v>
      </c>
      <c r="O34" s="64" t="n">
        <v>12</v>
      </c>
      <c r="P34" s="64" t="n">
        <v>13</v>
      </c>
      <c r="Q34" s="64" t="n">
        <v>14</v>
      </c>
      <c r="R34" s="64" t="n">
        <v>15</v>
      </c>
    </row>
    <row r="35">
      <c r="C35" s="64" t="n">
        <v>1</v>
      </c>
      <c r="D35" s="64">
        <f>TRUNC(D29^0.5,4)</f>
        <v/>
      </c>
      <c r="E35" s="64">
        <f>TRUNC(E29^0.5,4)</f>
        <v/>
      </c>
      <c r="F35" s="64">
        <f>TRUNC(F29^0.5,4)</f>
        <v/>
      </c>
      <c r="G35" s="64">
        <f>TRUNC(G29^0.5,4)</f>
        <v/>
      </c>
      <c r="H35" s="64">
        <f>TRUNC(H29^0.5,4)</f>
        <v/>
      </c>
      <c r="I35" s="64">
        <f>TRUNC(I29^0.5,4)</f>
        <v/>
      </c>
      <c r="J35" s="64">
        <f>TRUNC(J29^0.5,4)</f>
        <v/>
      </c>
      <c r="K35" s="64">
        <f>TRUNC(K29^0.5,4)</f>
        <v/>
      </c>
      <c r="L35" s="64">
        <f>TRUNC(L29^0.5,4)</f>
        <v/>
      </c>
      <c r="M35" s="64">
        <f>TRUNC(M29^0.5,4)</f>
        <v/>
      </c>
      <c r="N35" s="64">
        <f>TRUNC(N29^0.5,4)</f>
        <v/>
      </c>
      <c r="O35" s="64">
        <f>TRUNC(O29^0.5,4)</f>
        <v/>
      </c>
      <c r="P35" s="64">
        <f>TRUNC(P29^0.5,4)</f>
        <v/>
      </c>
      <c r="Q35" s="64">
        <f>TRUNC(Q29^0.5,4)</f>
        <v/>
      </c>
      <c r="R35" s="64">
        <f>TRUNC(R29^0.5,4)</f>
        <v/>
      </c>
    </row>
    <row r="36">
      <c r="C36" s="64" t="n">
        <v>2</v>
      </c>
      <c r="D36" s="64">
        <f>TRUNC(D30^0.5,4)</f>
        <v/>
      </c>
      <c r="E36" s="64">
        <f>TRUNC(E30^0.5,4)</f>
        <v/>
      </c>
      <c r="F36" s="64">
        <f>TRUNC(F30^0.5,4)</f>
        <v/>
      </c>
      <c r="G36" s="64">
        <f>TRUNC(G30^0.5,4)</f>
        <v/>
      </c>
      <c r="H36" s="64">
        <f>TRUNC(H30^0.5,4)</f>
        <v/>
      </c>
      <c r="I36" s="64">
        <f>TRUNC(I30^0.5,4)</f>
        <v/>
      </c>
      <c r="J36" s="64">
        <f>TRUNC(J30^0.5,4)</f>
        <v/>
      </c>
      <c r="K36" s="64">
        <f>TRUNC(K30^0.5,4)</f>
        <v/>
      </c>
      <c r="L36" s="64">
        <f>TRUNC(L30^0.5,4)</f>
        <v/>
      </c>
      <c r="M36" s="64">
        <f>TRUNC(M30^0.5,4)</f>
        <v/>
      </c>
      <c r="N36" s="64">
        <f>TRUNC(N30^0.5,4)</f>
        <v/>
      </c>
      <c r="O36" s="64">
        <f>TRUNC(O30^0.5,4)</f>
        <v/>
      </c>
      <c r="P36" s="64">
        <f>TRUNC(P30^0.5,4)</f>
        <v/>
      </c>
      <c r="Q36" s="64">
        <f>TRUNC(Q30^0.5,4)</f>
        <v/>
      </c>
      <c r="R36" s="64">
        <f>TRUNC(R30^0.5,4)</f>
        <v/>
      </c>
    </row>
    <row r="37">
      <c r="C37" s="64" t="n">
        <v>3</v>
      </c>
      <c r="D37" s="64">
        <f>TRUNC(D31^0.5,4)</f>
        <v/>
      </c>
      <c r="E37" s="64">
        <f>TRUNC(E31^0.5,4)</f>
        <v/>
      </c>
      <c r="F37" s="64">
        <f>TRUNC(F31^0.5,4)</f>
        <v/>
      </c>
      <c r="G37" s="64">
        <f>TRUNC(G31^0.5,4)</f>
        <v/>
      </c>
      <c r="H37" s="64">
        <f>TRUNC(H31^0.5,4)</f>
        <v/>
      </c>
      <c r="I37" s="64">
        <f>TRUNC(I31^0.5,4)</f>
        <v/>
      </c>
      <c r="J37" s="64">
        <f>TRUNC(J31^0.5,4)</f>
        <v/>
      </c>
      <c r="K37" s="64">
        <f>TRUNC(K31^0.5,4)</f>
        <v/>
      </c>
      <c r="L37" s="64">
        <f>TRUNC(L31^0.5,4)</f>
        <v/>
      </c>
      <c r="M37" s="64">
        <f>TRUNC(M31^0.5,4)</f>
        <v/>
      </c>
      <c r="N37" s="64">
        <f>TRUNC(N31^0.5,4)</f>
        <v/>
      </c>
      <c r="O37" s="64">
        <f>TRUNC(O31^0.5,4)</f>
        <v/>
      </c>
      <c r="P37" s="64">
        <f>TRUNC(P31^0.5,4)</f>
        <v/>
      </c>
      <c r="Q37" s="64">
        <f>TRUNC(Q31^0.5,4)</f>
        <v/>
      </c>
      <c r="R37" s="64">
        <f>TRUNC(R31^0.5,4)</f>
        <v/>
      </c>
    </row>
    <row r="40">
      <c r="D40" s="64" t="n">
        <v>1</v>
      </c>
      <c r="E40" s="64" t="n">
        <v>2</v>
      </c>
      <c r="F40" s="64" t="n">
        <v>3</v>
      </c>
      <c r="G40" s="64" t="n">
        <v>4</v>
      </c>
      <c r="H40" s="64" t="n">
        <v>5</v>
      </c>
      <c r="I40" s="64" t="n">
        <v>6</v>
      </c>
      <c r="J40" s="64" t="n">
        <v>7</v>
      </c>
      <c r="K40" s="64" t="n">
        <v>8</v>
      </c>
      <c r="L40" s="64" t="n">
        <v>9</v>
      </c>
      <c r="M40" s="64" t="n">
        <v>10</v>
      </c>
      <c r="N40" s="64" t="n">
        <v>11</v>
      </c>
      <c r="O40" s="64" t="n">
        <v>12</v>
      </c>
      <c r="P40" s="64" t="n">
        <v>13</v>
      </c>
      <c r="Q40" s="64" t="n">
        <v>14</v>
      </c>
      <c r="R40" s="64" t="n">
        <v>15</v>
      </c>
    </row>
    <row r="41">
      <c r="B41" s="64" t="inlineStr">
        <is>
          <t>Desvpad(Var(soma das Var))</t>
        </is>
      </c>
      <c r="C41" s="64" t="n">
        <v>1</v>
      </c>
      <c r="D41" s="24" t="n">
        <v>112.4037</v>
      </c>
      <c r="E41" s="24" t="n">
        <v>150.5519</v>
      </c>
      <c r="F41" s="24" t="n">
        <v>150.0761</v>
      </c>
      <c r="G41" s="24" t="n">
        <v>125.8954</v>
      </c>
      <c r="H41" s="24" t="n">
        <v>277.3852</v>
      </c>
      <c r="I41" s="24" t="n">
        <v>114.4701</v>
      </c>
      <c r="J41" s="24" t="n">
        <v>139.7176</v>
      </c>
      <c r="K41" s="24" t="n">
        <v>251.6818</v>
      </c>
      <c r="L41" s="24" t="n">
        <v>197.052</v>
      </c>
      <c r="M41" s="24" t="n">
        <v>181.9621</v>
      </c>
      <c r="N41" s="24" t="n">
        <v>277.4759</v>
      </c>
      <c r="O41" s="24" t="n">
        <v>84.7787</v>
      </c>
      <c r="P41" s="24" t="n">
        <v>123.9421</v>
      </c>
      <c r="Q41" s="24" t="n">
        <v>109.4126</v>
      </c>
      <c r="R41" s="24" t="n">
        <v>346.4116</v>
      </c>
    </row>
    <row r="42">
      <c r="C42" s="64" t="n">
        <v>2</v>
      </c>
      <c r="D42" s="24" t="n">
        <v>160.9752</v>
      </c>
      <c r="E42" s="24" t="n">
        <v>121.0452</v>
      </c>
      <c r="F42" s="24" t="n">
        <v>138.0701</v>
      </c>
      <c r="G42" s="24" t="n">
        <v>362.605</v>
      </c>
      <c r="H42" s="24" t="n">
        <v>217.2882</v>
      </c>
      <c r="I42" s="24" t="n">
        <v>239.086</v>
      </c>
      <c r="J42" s="24" t="n">
        <v>140.5445</v>
      </c>
      <c r="K42" s="24" t="n">
        <v>117.3</v>
      </c>
      <c r="L42" s="24" t="n">
        <v>178.8198</v>
      </c>
      <c r="M42" s="24" t="n">
        <v>112.6414</v>
      </c>
      <c r="N42" s="24" t="n">
        <v>177.7212</v>
      </c>
      <c r="O42" s="24" t="n">
        <v>205.8108</v>
      </c>
      <c r="P42" s="24" t="n">
        <v>135.1194</v>
      </c>
      <c r="Q42" s="24" t="n">
        <v>284.6164</v>
      </c>
      <c r="R42" s="24" t="n">
        <v>247.6234</v>
      </c>
    </row>
    <row r="43">
      <c r="C43" s="64" t="n">
        <v>3</v>
      </c>
      <c r="D43" s="24" t="n">
        <v>278.6301</v>
      </c>
      <c r="E43" s="24" t="n">
        <v>152.9252</v>
      </c>
      <c r="F43" s="24" t="n">
        <v>179.974</v>
      </c>
      <c r="G43" s="24" t="n">
        <v>331.4884</v>
      </c>
      <c r="H43" s="24" t="n">
        <v>161.8803</v>
      </c>
      <c r="I43" s="24" t="n">
        <v>286.2747</v>
      </c>
      <c r="J43" s="24" t="n">
        <v>169.9887</v>
      </c>
      <c r="K43" s="24" t="n">
        <v>215.3825</v>
      </c>
      <c r="L43" s="24" t="n">
        <v>182.4408</v>
      </c>
      <c r="M43" s="24" t="n">
        <v>125.2284</v>
      </c>
      <c r="N43" s="24" t="n">
        <v>158.1255</v>
      </c>
      <c r="O43" s="24" t="n">
        <v>153.0895</v>
      </c>
      <c r="P43" s="24" t="n">
        <v>233.367</v>
      </c>
      <c r="Q43" s="24" t="n">
        <v>206.1942</v>
      </c>
      <c r="R43" s="24" t="n">
        <v>206.0767</v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K40" sqref="K40"/>
    </sheetView>
  </sheetViews>
  <sheetFormatPr baseColWidth="8" defaultRowHeight="14.4"/>
  <cols>
    <col width="24.109375" bestFit="1" customWidth="1" min="2" max="2"/>
    <col width="12" bestFit="1" customWidth="1" min="4" max="6"/>
  </cols>
  <sheetData>
    <row r="1">
      <c r="A1" s="64" t="n"/>
      <c r="B1" s="64" t="n"/>
      <c r="C1" s="64" t="n"/>
      <c r="D1" s="64" t="n"/>
      <c r="E1" s="64" t="n"/>
      <c r="F1" s="64" t="n"/>
    </row>
    <row r="2">
      <c r="A2" s="64" t="n"/>
      <c r="B2" s="64" t="n"/>
      <c r="C2" s="64" t="n"/>
      <c r="D2" s="64" t="n"/>
      <c r="E2" s="64" t="n"/>
      <c r="F2" s="64" t="n"/>
    </row>
    <row r="3">
      <c r="A3" s="64" t="n"/>
      <c r="B3" s="64" t="n"/>
      <c r="C3" s="64" t="n"/>
      <c r="D3" s="64" t="n">
        <v>1</v>
      </c>
      <c r="E3" s="64" t="n">
        <v>2</v>
      </c>
      <c r="F3" s="64" t="n">
        <v>3</v>
      </c>
    </row>
    <row r="4">
      <c r="A4" s="64" t="n"/>
      <c r="B4" s="64" t="inlineStr">
        <is>
          <t>Var(d)</t>
        </is>
      </c>
      <c r="C4" s="64" t="n">
        <v>1</v>
      </c>
      <c r="D4" s="64">
        <f>TRUNC(((Demand!AU11*0.2)^2),2)</f>
        <v/>
      </c>
      <c r="E4" s="64">
        <f>TRUNC(((Demand!AV11*0.2)^2),2)</f>
        <v/>
      </c>
      <c r="F4" s="64">
        <f>TRUNC(((Demand!AW11*0.2)^2),2)</f>
        <v/>
      </c>
    </row>
    <row r="5">
      <c r="A5" s="64" t="n"/>
      <c r="B5" s="64" t="n"/>
      <c r="C5" s="64" t="n">
        <v>2</v>
      </c>
      <c r="D5" s="64">
        <f>TRUNC(((Demand!AU12*0.2)^2),2)</f>
        <v/>
      </c>
      <c r="E5" s="64">
        <f>TRUNC(((Demand!AV12*0.2)^2),2)</f>
        <v/>
      </c>
      <c r="F5" s="64">
        <f>TRUNC(((Demand!AW12*0.2)^2),2)</f>
        <v/>
      </c>
    </row>
    <row r="6">
      <c r="A6" s="64" t="n"/>
      <c r="B6" s="64" t="n"/>
      <c r="C6" s="64" t="n">
        <v>3</v>
      </c>
      <c r="D6" s="64">
        <f>TRUNC(((Demand!AU13*0.2)^2),2)</f>
        <v/>
      </c>
      <c r="E6" s="64">
        <f>TRUNC(((Demand!AV13*0.2)^2),2)</f>
        <v/>
      </c>
      <c r="F6" s="64">
        <f>TRUNC(((Demand!AW13*0.2)^2),2)</f>
        <v/>
      </c>
    </row>
    <row r="7">
      <c r="A7" s="64" t="n"/>
      <c r="B7" s="64" t="n"/>
      <c r="C7" s="64" t="n"/>
      <c r="D7" s="64" t="n"/>
      <c r="E7" s="64" t="n"/>
      <c r="F7" s="64" t="n"/>
    </row>
    <row r="8">
      <c r="A8" s="64" t="n"/>
      <c r="B8" s="64" t="n"/>
      <c r="C8" s="64" t="n"/>
      <c r="D8" s="64" t="n"/>
      <c r="E8" s="64" t="n"/>
      <c r="F8" s="64" t="n"/>
    </row>
    <row r="9">
      <c r="A9" s="64" t="n"/>
      <c r="B9" s="64" t="n"/>
      <c r="C9" s="64" t="n"/>
      <c r="D9" s="64" t="n">
        <v>1</v>
      </c>
      <c r="E9" s="64" t="n">
        <v>2</v>
      </c>
      <c r="F9" s="64" t="n">
        <v>3</v>
      </c>
    </row>
    <row r="10">
      <c r="A10" s="64" t="n"/>
      <c r="B10" s="64" t="inlineStr">
        <is>
          <t>Var(Cap)</t>
        </is>
      </c>
      <c r="C10" s="64" t="n">
        <v>1</v>
      </c>
      <c r="D10" s="64">
        <f>TRUNC(((Factories_Cap!D8*0.2)^2),2)</f>
        <v/>
      </c>
      <c r="E10" s="64">
        <f>TRUNC(((Factories_Cap!E8*0.2)^2),2)</f>
        <v/>
      </c>
      <c r="F10" s="64">
        <f>TRUNC(((Factories_Cap!F8*0.2)^2),2)</f>
        <v/>
      </c>
    </row>
    <row r="11">
      <c r="A11" s="64" t="n"/>
      <c r="B11" s="64" t="n"/>
      <c r="C11" s="64" t="n">
        <v>2</v>
      </c>
      <c r="D11" s="64">
        <f>TRUNC(((Factories_Cap!D9*0.2)^2),2)</f>
        <v/>
      </c>
      <c r="E11" s="64">
        <f>TRUNC(((Factories_Cap!E9*0.2)^2),2)</f>
        <v/>
      </c>
      <c r="F11" s="64">
        <f>TRUNC(((Factories_Cap!F9*0.2)^2),2)</f>
        <v/>
      </c>
    </row>
    <row r="12">
      <c r="A12" s="64" t="n"/>
      <c r="B12" s="64" t="n"/>
      <c r="C12" s="64" t="n">
        <v>3</v>
      </c>
      <c r="D12" s="64">
        <f>TRUNC(((Factories_Cap!D10*0.2)^2),2)</f>
        <v/>
      </c>
      <c r="E12" s="64">
        <f>TRUNC(((Factories_Cap!E10*0.2)^2),2)</f>
        <v/>
      </c>
      <c r="F12" s="64">
        <f>TRUNC(((Factories_Cap!F10*0.2)^2),2)</f>
        <v/>
      </c>
    </row>
    <row r="13">
      <c r="A13" s="64" t="n"/>
      <c r="B13" s="64" t="n"/>
      <c r="C13" s="64" t="n"/>
      <c r="D13" s="64" t="n"/>
      <c r="E13" s="64" t="n"/>
      <c r="F13" s="64" t="n"/>
    </row>
    <row r="14">
      <c r="A14" s="64" t="n"/>
      <c r="B14" s="64" t="inlineStr">
        <is>
          <t>n</t>
        </is>
      </c>
      <c r="C14" s="64" t="n">
        <v>7</v>
      </c>
      <c r="D14" s="64" t="n"/>
      <c r="E14" s="64" t="n"/>
      <c r="F14" s="64" t="n"/>
    </row>
    <row r="15">
      <c r="A15" s="64" t="n"/>
      <c r="B15" s="64" t="inlineStr">
        <is>
          <t>m</t>
        </is>
      </c>
      <c r="C15" s="64" t="n">
        <v>30</v>
      </c>
      <c r="D15" s="64" t="n"/>
      <c r="E15" s="64" t="n"/>
      <c r="F15" s="64" t="n"/>
    </row>
    <row r="16">
      <c r="A16" s="64" t="n"/>
      <c r="B16" s="64" t="n"/>
      <c r="C16" s="64" t="n"/>
      <c r="D16" s="64" t="n"/>
      <c r="E16" s="64" t="n"/>
      <c r="F16" s="64" t="n"/>
    </row>
    <row r="17">
      <c r="A17" s="64" t="n"/>
      <c r="B17" s="64" t="n"/>
      <c r="C17" s="64" t="n"/>
      <c r="D17" s="64" t="n">
        <v>1</v>
      </c>
      <c r="E17" s="64" t="n">
        <v>2</v>
      </c>
      <c r="F17" s="64" t="n">
        <v>3</v>
      </c>
    </row>
    <row r="18">
      <c r="A18" s="64" t="n"/>
      <c r="B18" s="64" t="inlineStr">
        <is>
          <t>Var(Var(d))</t>
        </is>
      </c>
      <c r="C18" s="64" t="n">
        <v>1</v>
      </c>
      <c r="D18" s="64">
        <f>TRUNC((1/$C$14)*(5*(D4^2)-((($C$14-3)/($C$14-1))*D4^2)),2)</f>
        <v/>
      </c>
      <c r="E18" s="64">
        <f>TRUNC((1/$C$14)*(5*(E4^2)-((($C$14-3)/($C$14-1))*E4^2)),2)</f>
        <v/>
      </c>
      <c r="F18" s="64">
        <f>TRUNC((1/$C$14)*(5*(F4^2)-((($C$14-3)/($C$14-1))*F4^2)),2)</f>
        <v/>
      </c>
    </row>
    <row r="19">
      <c r="A19" s="64" t="n"/>
      <c r="B19" s="64" t="n"/>
      <c r="C19" s="64" t="n">
        <v>2</v>
      </c>
      <c r="D19" s="64">
        <f>TRUNC((1/$C$14)*(5*(D5^2)-((($C$14-3)/($C$14-1))*D5^2)),2)</f>
        <v/>
      </c>
      <c r="E19" s="64">
        <f>TRUNC((1/$C$14)*(5*(E5^2)-((($C$14-3)/($C$14-1))*E5^2)),2)</f>
        <v/>
      </c>
      <c r="F19" s="64">
        <f>TRUNC((1/$C$14)*(5*(F5^2)-((($C$14-3)/($C$14-1))*F5^2)),2)</f>
        <v/>
      </c>
    </row>
    <row r="20">
      <c r="A20" s="64" t="n"/>
      <c r="B20" s="64" t="n"/>
      <c r="C20" s="64" t="n">
        <v>3</v>
      </c>
      <c r="D20" s="64">
        <f>TRUNC((1/$C$14)*(5*(D6^2)-((($C$14-3)/($C$14-1))*D6^2)),2)</f>
        <v/>
      </c>
      <c r="E20" s="64">
        <f>TRUNC((1/$C$14)*(5*(E6^2)-((($C$14-3)/($C$14-1))*E6^2)),2)</f>
        <v/>
      </c>
      <c r="F20" s="64">
        <f>TRUNC((1/$C$14)*(5*(F6^2)-((($C$14-3)/($C$14-1))*F6^2)),2)</f>
        <v/>
      </c>
    </row>
    <row r="21">
      <c r="A21" s="64" t="n"/>
      <c r="B21" s="64" t="n"/>
      <c r="C21" s="64" t="n"/>
      <c r="D21" s="64" t="n"/>
      <c r="E21" s="64" t="n"/>
      <c r="F21" s="64" t="n"/>
    </row>
    <row r="22">
      <c r="A22" s="64" t="n"/>
      <c r="B22" s="64" t="n"/>
      <c r="C22" s="64" t="n"/>
      <c r="D22" s="64" t="n"/>
      <c r="E22" s="64" t="n"/>
      <c r="F22" s="64" t="n"/>
    </row>
    <row r="23">
      <c r="A23" s="64" t="n"/>
      <c r="B23" s="64" t="n"/>
      <c r="C23" s="64" t="n"/>
      <c r="D23" s="64" t="n">
        <v>1</v>
      </c>
      <c r="E23" s="64" t="n">
        <v>2</v>
      </c>
      <c r="F23" s="64" t="n">
        <v>3</v>
      </c>
    </row>
    <row r="24">
      <c r="A24" s="64" t="n"/>
      <c r="B24" s="64" t="inlineStr">
        <is>
          <t>Var(Var(Cap))</t>
        </is>
      </c>
      <c r="C24" s="64" t="n">
        <v>1</v>
      </c>
      <c r="D24" s="64">
        <f>TRUNC((1/$C$14)*(5*(D10^2)-((($C$14-3)/($C$14-1))*D10^2)),2)</f>
        <v/>
      </c>
      <c r="E24" s="64">
        <f>TRUNC((1/$C$14)*(5*(E10^2)-((($C$14-3)/($C$14-1))*E10^2)),2)</f>
        <v/>
      </c>
      <c r="F24" s="64">
        <f>TRUNC((1/$C$14)*(5*(F10^2)-((($C$14-3)/($C$14-1))*F10^2)),2)</f>
        <v/>
      </c>
    </row>
    <row r="25">
      <c r="A25" s="64" t="n"/>
      <c r="B25" s="64" t="n"/>
      <c r="C25" s="64" t="n">
        <v>2</v>
      </c>
      <c r="D25" s="64">
        <f>TRUNC((1/$C$14)*(5*(D11^2)-((($C$14-3)/($C$14-1))*D11^2)),2)</f>
        <v/>
      </c>
      <c r="E25" s="64">
        <f>TRUNC((1/$C$14)*(5*(E11^2)-((($C$14-3)/($C$14-1))*E11^2)),2)</f>
        <v/>
      </c>
      <c r="F25" s="64">
        <f>TRUNC((1/$C$14)*(5*(F11^2)-((($C$14-3)/($C$14-1))*F11^2)),2)</f>
        <v/>
      </c>
    </row>
    <row r="26">
      <c r="A26" s="64" t="n"/>
      <c r="B26" s="64" t="n"/>
      <c r="C26" s="64" t="n">
        <v>3</v>
      </c>
      <c r="D26" s="64">
        <f>TRUNC((1/$C$14)*(5*(D12^2)-((($C$14-3)/($C$14-1))*D12^2)),2)</f>
        <v/>
      </c>
      <c r="E26" s="64">
        <f>TRUNC((1/$C$14)*(5*(E12^2)-((($C$14-3)/($C$14-1))*E12^2)),2)</f>
        <v/>
      </c>
      <c r="F26" s="64">
        <f>TRUNC((1/$C$14)*(5*(F12^2)-((($C$14-3)/($C$14-1))*F12^2)),2)</f>
        <v/>
      </c>
    </row>
    <row r="27">
      <c r="A27" s="64" t="n"/>
      <c r="B27" s="64" t="n"/>
      <c r="C27" s="64" t="n"/>
      <c r="D27" s="64" t="n"/>
      <c r="E27" s="64" t="n"/>
      <c r="F27" s="64" t="n"/>
    </row>
    <row r="28">
      <c r="A28" s="64" t="n"/>
      <c r="B28" s="64" t="n"/>
      <c r="C28" s="64" t="n"/>
      <c r="D28" s="64" t="n">
        <v>1</v>
      </c>
      <c r="E28" s="64" t="n">
        <v>2</v>
      </c>
      <c r="F28" s="64" t="n">
        <v>3</v>
      </c>
    </row>
    <row r="29">
      <c r="A29" s="64" t="n"/>
      <c r="B29" s="64" t="inlineStr">
        <is>
          <t>Var(soma das Var)</t>
        </is>
      </c>
      <c r="C29" s="64" t="n">
        <v>1</v>
      </c>
      <c r="D29" s="64">
        <f>TRUNC((D18+D24)*((1/$C$15)^2),2)</f>
        <v/>
      </c>
      <c r="E29" s="64">
        <f>TRUNC((E18+E24)*((1/$C$15)^2),2)</f>
        <v/>
      </c>
      <c r="F29" s="64">
        <f>TRUNC((F18+F24)*((1/$C$15)^2),2)</f>
        <v/>
      </c>
    </row>
    <row r="30">
      <c r="A30" s="64" t="n"/>
      <c r="B30" s="64" t="n"/>
      <c r="C30" s="64" t="n">
        <v>2</v>
      </c>
      <c r="D30" s="64">
        <f>TRUNC((D19+D25)*((1/$C$15)^2),2)</f>
        <v/>
      </c>
      <c r="E30" s="64">
        <f>TRUNC((E19+E25)*((1/$C$15)^2),2)</f>
        <v/>
      </c>
      <c r="F30" s="64">
        <f>TRUNC((F19+F25)*((1/$C$15)^2),2)</f>
        <v/>
      </c>
    </row>
    <row r="31">
      <c r="A31" s="64" t="n"/>
      <c r="B31" s="64" t="n"/>
      <c r="C31" s="64" t="n">
        <v>3</v>
      </c>
      <c r="D31" s="64">
        <f>TRUNC((D20+D26)*((1/$C$15)^2),2)</f>
        <v/>
      </c>
      <c r="E31" s="64">
        <f>TRUNC((E20+E26)*((1/$C$15)^2),2)</f>
        <v/>
      </c>
      <c r="F31" s="64">
        <f>TRUNC((F20+F26)*((1/$C$15)^2),2)</f>
        <v/>
      </c>
    </row>
    <row r="32">
      <c r="A32" s="64" t="n"/>
      <c r="B32" s="64" t="n"/>
      <c r="C32" s="64" t="n"/>
      <c r="D32" s="64" t="n"/>
      <c r="E32" s="64" t="n"/>
      <c r="F32" s="64" t="n"/>
    </row>
    <row r="33">
      <c r="A33" s="64" t="n"/>
      <c r="B33" s="64" t="n"/>
      <c r="C33" s="64" t="n"/>
      <c r="D33" s="64" t="n"/>
      <c r="E33" s="64" t="n"/>
      <c r="F33" s="64" t="n"/>
    </row>
    <row r="34">
      <c r="A34" s="64" t="n"/>
      <c r="B34" s="64" t="n"/>
      <c r="C34" s="64" t="n"/>
      <c r="D34" s="64" t="n">
        <v>1</v>
      </c>
      <c r="E34" s="64" t="n">
        <v>2</v>
      </c>
      <c r="F34" s="64" t="n">
        <v>3</v>
      </c>
    </row>
    <row r="35">
      <c r="A35" s="64" t="n"/>
      <c r="B35" s="64" t="n"/>
      <c r="C35" s="64" t="n">
        <v>1</v>
      </c>
      <c r="D35" s="64">
        <f>TRUNC(D29^0.5,2)</f>
        <v/>
      </c>
      <c r="E35" s="64">
        <f>TRUNC(E29^0.5,2)</f>
        <v/>
      </c>
      <c r="F35" s="64">
        <f>TRUNC(F29^0.5,2)</f>
        <v/>
      </c>
    </row>
    <row r="36">
      <c r="A36" s="64" t="n"/>
      <c r="B36" s="64" t="n"/>
      <c r="C36" s="64" t="n">
        <v>2</v>
      </c>
      <c r="D36" s="64">
        <f>TRUNC(D30^0.5,2)</f>
        <v/>
      </c>
      <c r="E36" s="64">
        <f>TRUNC(E30^0.5,2)</f>
        <v/>
      </c>
      <c r="F36" s="64">
        <f>TRUNC(F30^0.5,2)</f>
        <v/>
      </c>
    </row>
    <row r="37">
      <c r="A37" s="64" t="n"/>
      <c r="B37" s="64" t="n"/>
      <c r="C37" s="64" t="n">
        <v>3</v>
      </c>
      <c r="D37" s="64">
        <f>TRUNC(D31^0.5,2)</f>
        <v/>
      </c>
      <c r="E37" s="64">
        <f>TRUNC(E31^0.5,2)</f>
        <v/>
      </c>
      <c r="F37" s="64">
        <f>TRUNC(F31^0.5,2)</f>
        <v/>
      </c>
    </row>
    <row r="38">
      <c r="A38" s="64" t="n"/>
      <c r="B38" s="64" t="n"/>
      <c r="C38" s="64" t="n"/>
      <c r="D38" s="64" t="n"/>
      <c r="E38" s="64" t="n"/>
      <c r="F38" s="64" t="n"/>
    </row>
    <row r="39">
      <c r="A39" s="64" t="n"/>
      <c r="B39" s="64" t="n"/>
      <c r="C39" s="64" t="n"/>
      <c r="D39" s="64" t="n"/>
      <c r="E39" s="64" t="n"/>
      <c r="F39" s="64" t="n"/>
    </row>
    <row r="40">
      <c r="A40" s="64" t="n"/>
      <c r="B40" s="64" t="n"/>
      <c r="C40" s="64" t="n"/>
      <c r="D40" s="64" t="n">
        <v>1</v>
      </c>
      <c r="E40" s="64" t="n">
        <v>2</v>
      </c>
      <c r="F40" s="64" t="n">
        <v>3</v>
      </c>
    </row>
    <row r="41">
      <c r="A41" s="64" t="n"/>
      <c r="B41" s="64" t="inlineStr">
        <is>
          <t>Desvpad(Var(soma das Var))</t>
        </is>
      </c>
      <c r="C41" s="64" t="n">
        <v>1</v>
      </c>
      <c r="D41" s="24" t="n">
        <v>4277.77</v>
      </c>
      <c r="E41" s="24" t="n">
        <v>3472.13</v>
      </c>
      <c r="F41" s="24" t="n">
        <v>4613.14</v>
      </c>
    </row>
    <row r="42">
      <c r="A42" s="64" t="n"/>
      <c r="B42" s="64" t="n"/>
      <c r="C42" s="64" t="n">
        <v>2</v>
      </c>
      <c r="D42" s="24" t="n">
        <v>2964.88</v>
      </c>
      <c r="E42" s="24" t="n">
        <v>2903.21</v>
      </c>
      <c r="F42" s="24" t="n">
        <v>6033.67</v>
      </c>
    </row>
    <row r="43">
      <c r="A43" s="64" t="n"/>
      <c r="B43" s="64" t="n"/>
      <c r="C43" s="64" t="n">
        <v>3</v>
      </c>
      <c r="D43" s="24" t="n">
        <v>3655.82</v>
      </c>
      <c r="E43" s="24" t="n">
        <v>2818.21</v>
      </c>
      <c r="F43" s="24" t="n">
        <v>5710.71</v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T210"/>
  <sheetViews>
    <sheetView zoomScale="90" zoomScaleNormal="90" workbookViewId="0">
      <selection activeCell="E12" sqref="E12"/>
    </sheetView>
  </sheetViews>
  <sheetFormatPr baseColWidth="8" defaultColWidth="8.88671875" defaultRowHeight="14.4"/>
  <cols>
    <col width="11.6640625" customWidth="1" style="64" min="1" max="1"/>
    <col width="13.5546875" bestFit="1" customWidth="1" style="64" min="2" max="2"/>
    <col width="8.88671875" customWidth="1" style="64" min="3" max="3"/>
    <col width="9.6640625" customWidth="1" style="64" min="4" max="4"/>
    <col width="12.6640625" bestFit="1" customWidth="1" style="64" min="5" max="5"/>
    <col width="13.21875" bestFit="1" customWidth="1" style="64" min="6" max="7"/>
    <col width="19.33203125" bestFit="1" customWidth="1" style="64" min="8" max="8"/>
    <col width="12.6640625" bestFit="1" customWidth="1" style="64" min="9" max="9"/>
    <col width="13.21875" bestFit="1" customWidth="1" style="64" min="10" max="10"/>
    <col width="9" bestFit="1" customWidth="1" style="64" min="11" max="11"/>
    <col width="10.109375" customWidth="1" style="64" min="12" max="12"/>
    <col width="13.21875" bestFit="1" customWidth="1" style="64" min="13" max="13"/>
    <col width="12.6640625" bestFit="1" customWidth="1" style="64" min="14" max="14"/>
    <col width="13.21875" bestFit="1" customWidth="1" style="64" min="15" max="15"/>
    <col width="9.33203125" customWidth="1" style="64" min="16" max="16"/>
    <col width="12.6640625" bestFit="1" customWidth="1" style="64" min="17" max="18"/>
    <col width="8.88671875" customWidth="1" style="64" min="19" max="19"/>
    <col width="19.109375" bestFit="1" customWidth="1" style="64" min="20" max="20"/>
    <col width="8.88671875" customWidth="1" style="64" min="21" max="16384"/>
  </cols>
  <sheetData>
    <row r="4">
      <c r="C4" s="64" t="inlineStr">
        <is>
          <t>vSw</t>
        </is>
      </c>
      <c r="D4" s="64" t="n">
        <v>1</v>
      </c>
      <c r="E4" s="64" t="n">
        <v>2</v>
      </c>
      <c r="F4" s="64" t="n">
        <v>3</v>
      </c>
      <c r="G4" s="64" t="n">
        <v>4</v>
      </c>
      <c r="H4" s="64" t="n">
        <v>5</v>
      </c>
      <c r="I4" s="64" t="n">
        <v>6</v>
      </c>
      <c r="J4" s="64" t="n">
        <v>7</v>
      </c>
      <c r="K4" s="64" t="n">
        <v>8</v>
      </c>
      <c r="L4" s="64" t="n">
        <v>9</v>
      </c>
      <c r="M4" s="64" t="n">
        <v>10</v>
      </c>
      <c r="N4" s="64" t="n">
        <v>11</v>
      </c>
      <c r="O4" s="64" t="n">
        <v>12</v>
      </c>
      <c r="P4" s="64" t="n">
        <v>13</v>
      </c>
      <c r="Q4" s="64" t="n">
        <v>14</v>
      </c>
      <c r="R4" s="64" t="n">
        <v>15</v>
      </c>
      <c r="T4" s="7" t="inlineStr">
        <is>
          <t>Processamento atual</t>
        </is>
      </c>
    </row>
    <row r="5">
      <c r="A5" s="4" t="n"/>
      <c r="C5" s="64" t="n">
        <v>1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0.3603130613974531</v>
      </c>
      <c r="I5" s="24" t="n">
        <v>0.6184827738971269</v>
      </c>
      <c r="J5" s="24" t="n">
        <v>0</v>
      </c>
      <c r="K5" s="24" t="n">
        <v>0</v>
      </c>
      <c r="L5" s="24" t="n">
        <v>0</v>
      </c>
      <c r="M5" s="24" t="n">
        <v>0</v>
      </c>
      <c r="N5" s="24" t="n">
        <v>-56.04966010712087</v>
      </c>
      <c r="O5" s="24" t="n">
        <v>0</v>
      </c>
      <c r="P5" s="24" t="n">
        <v>0</v>
      </c>
      <c r="Q5" s="24" t="n">
        <v>0.6130109184512197</v>
      </c>
      <c r="R5" s="24" t="n">
        <v>0.6875318227467837</v>
      </c>
      <c r="T5" s="68" t="n">
        <v>3189795.64342</v>
      </c>
    </row>
    <row r="6">
      <c r="B6" s="64" t="inlineStr">
        <is>
          <t>MaxStockOutw</t>
        </is>
      </c>
      <c r="C6" s="64" t="n">
        <v>2</v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-36.15456150099635</v>
      </c>
      <c r="I6" s="24" t="n">
        <v>0</v>
      </c>
      <c r="J6" s="24" t="n">
        <v>-178.8290909081697</v>
      </c>
      <c r="K6" s="24" t="n">
        <v>0</v>
      </c>
      <c r="L6" s="24" t="n">
        <v>0</v>
      </c>
      <c r="M6" s="24" t="n">
        <v>0</v>
      </c>
      <c r="N6" s="24" t="n">
        <v>0</v>
      </c>
      <c r="O6" s="24" t="n">
        <v>0.6660683274018646</v>
      </c>
      <c r="P6" s="24" t="n">
        <v>0.09830888180503716</v>
      </c>
      <c r="Q6" s="24" t="n">
        <v>0</v>
      </c>
      <c r="R6" s="24" t="n">
        <v>0</v>
      </c>
    </row>
    <row r="7">
      <c r="B7" s="6">
        <f>MaxStkOutw</f>
        <v/>
      </c>
      <c r="C7" s="64" t="n">
        <v>3</v>
      </c>
      <c r="D7" s="24" t="n">
        <v>0.7889910756918967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0.7683014750191492</v>
      </c>
      <c r="J7" s="24" t="n">
        <v>0.5572437823460566</v>
      </c>
      <c r="K7" s="24" t="n">
        <v>0</v>
      </c>
      <c r="L7" s="24" t="n">
        <v>0</v>
      </c>
      <c r="M7" s="24" t="n">
        <v>0</v>
      </c>
      <c r="N7" s="24" t="n">
        <v>0.4485050967179118</v>
      </c>
      <c r="O7" s="24" t="n">
        <v>-103.1717191711068</v>
      </c>
      <c r="P7" s="24" t="n">
        <v>0</v>
      </c>
      <c r="Q7" s="24" t="n">
        <v>0</v>
      </c>
      <c r="R7" s="24" t="n">
        <v>0</v>
      </c>
    </row>
    <row r="9">
      <c r="C9" s="64" t="inlineStr">
        <is>
          <t>vSf</t>
        </is>
      </c>
      <c r="D9" s="64" t="n">
        <v>16</v>
      </c>
      <c r="E9" s="64" t="n">
        <v>17</v>
      </c>
      <c r="F9" s="64" t="n">
        <v>18</v>
      </c>
      <c r="H9" s="7" t="inlineStr">
        <is>
          <t>Processamento atual</t>
        </is>
      </c>
      <c r="L9" s="7" t="n"/>
      <c r="P9" s="7" t="n"/>
    </row>
    <row r="10">
      <c r="A10" s="4" t="n"/>
      <c r="C10" s="64" t="n">
        <v>4</v>
      </c>
      <c r="D10" s="24" t="n">
        <v>0.2102503005532841</v>
      </c>
      <c r="E10" s="24" t="n">
        <v>0.2744333255072648</v>
      </c>
      <c r="F10" s="24" t="n">
        <v>0.1715019414559162</v>
      </c>
      <c r="H10" s="64" t="n">
        <v>2135426.8991439</v>
      </c>
    </row>
    <row r="11">
      <c r="B11" s="64" t="inlineStr">
        <is>
          <t>MaxStockOutf</t>
        </is>
      </c>
      <c r="C11" s="64" t="n">
        <v>5</v>
      </c>
      <c r="D11" s="24" t="n">
        <v>0</v>
      </c>
      <c r="E11" s="24" t="n">
        <v>0.2807001725155557</v>
      </c>
      <c r="F11" s="24" t="n">
        <v>0</v>
      </c>
    </row>
    <row r="12">
      <c r="B12" s="6">
        <f>MaxStkOutf</f>
        <v/>
      </c>
      <c r="C12" s="64" t="n">
        <v>6</v>
      </c>
      <c r="D12" s="24" t="n">
        <v>8.323288216059424</v>
      </c>
      <c r="E12" s="24" t="n">
        <v>0.2386788057671211</v>
      </c>
      <c r="F12" s="24" t="n">
        <v>9.03909839997192</v>
      </c>
    </row>
    <row r="16">
      <c r="C16" s="64" t="inlineStr">
        <is>
          <t>Sd</t>
        </is>
      </c>
      <c r="D16" s="64" t="n">
        <v>19</v>
      </c>
      <c r="E16" s="64" t="n">
        <v>20</v>
      </c>
      <c r="F16" s="64" t="n">
        <v>21</v>
      </c>
      <c r="L16" s="7" t="n"/>
      <c r="P16" s="7" t="n"/>
    </row>
    <row r="17">
      <c r="A17" s="4" t="n"/>
      <c r="C17" s="64" t="n">
        <v>7</v>
      </c>
      <c r="D17" s="6" t="n">
        <v>0</v>
      </c>
      <c r="E17" s="6" t="n">
        <v>30.85850750324944</v>
      </c>
      <c r="F17" s="6" t="n">
        <v>33.24350750324944</v>
      </c>
    </row>
    <row r="18">
      <c r="B18" s="64" t="inlineStr">
        <is>
          <t>MaxStockOutd</t>
        </is>
      </c>
      <c r="C18" s="64" t="n">
        <v>8</v>
      </c>
      <c r="D18" s="6" t="n">
        <v>0</v>
      </c>
      <c r="E18" s="6" t="n">
        <v>29.19350750324944</v>
      </c>
      <c r="F18" s="6" t="n">
        <v>4.2531253469921</v>
      </c>
    </row>
    <row r="19">
      <c r="B19" s="6">
        <f>MaxStkOutd</f>
        <v/>
      </c>
    </row>
    <row r="20">
      <c r="C20" s="64" t="inlineStr">
        <is>
          <t>Sr</t>
        </is>
      </c>
      <c r="D20" s="64" t="n">
        <v>22</v>
      </c>
      <c r="E20" s="64" t="n">
        <v>23</v>
      </c>
      <c r="F20" s="64" t="n">
        <v>24</v>
      </c>
      <c r="L20" s="7" t="n"/>
      <c r="P20" s="7" t="n"/>
    </row>
    <row r="21">
      <c r="A21" s="4" t="n"/>
      <c r="B21" s="4" t="n"/>
      <c r="C21" s="64" t="n">
        <v>9</v>
      </c>
      <c r="D21" s="6" t="n">
        <v>0</v>
      </c>
      <c r="E21" s="6" t="n">
        <v>0</v>
      </c>
      <c r="F21" s="6" t="n">
        <v>0</v>
      </c>
    </row>
    <row r="22">
      <c r="C22" s="64" t="n">
        <v>10</v>
      </c>
      <c r="D22" s="6" t="n">
        <v>88.90623477597671</v>
      </c>
      <c r="E22" s="6" t="n">
        <v>91.99023477597672</v>
      </c>
      <c r="F22" s="6" t="n">
        <v>1.80976522402328</v>
      </c>
    </row>
    <row r="23">
      <c r="C23" s="64" t="n">
        <v>11</v>
      </c>
      <c r="D23" s="6" t="n">
        <v>77.06123477597671</v>
      </c>
      <c r="E23" s="6" t="n">
        <v>94.71823477597671</v>
      </c>
      <c r="F23" s="6" t="n">
        <v>0</v>
      </c>
    </row>
    <row r="24">
      <c r="C24" s="64" t="n">
        <v>12</v>
      </c>
      <c r="D24" s="6" t="n">
        <v>78.24423477597671</v>
      </c>
      <c r="E24" s="6" t="n">
        <v>81.45623477597671</v>
      </c>
      <c r="F24" s="6" t="n">
        <v>78.67523477597672</v>
      </c>
    </row>
    <row r="25">
      <c r="C25" s="64" t="n">
        <v>13</v>
      </c>
      <c r="D25" s="6" t="n">
        <v>0</v>
      </c>
      <c r="E25" s="6" t="n">
        <v>81.00023477597671</v>
      </c>
      <c r="F25" s="6" t="n">
        <v>71.41723477597671</v>
      </c>
    </row>
    <row r="26">
      <c r="C26" s="64" t="n">
        <v>14</v>
      </c>
      <c r="D26" s="6" t="n">
        <v>87.88723477597671</v>
      </c>
      <c r="E26" s="6" t="n">
        <v>85.04823477597671</v>
      </c>
      <c r="F26" s="6" t="n">
        <v>98.40723477597672</v>
      </c>
    </row>
    <row r="27">
      <c r="C27" s="64" t="n">
        <v>15</v>
      </c>
      <c r="D27" s="6" t="n">
        <v>0</v>
      </c>
      <c r="E27" s="6" t="n">
        <v>71.30123477597671</v>
      </c>
      <c r="F27" s="6" t="n">
        <v>0</v>
      </c>
    </row>
    <row r="28">
      <c r="C28" s="64" t="n">
        <v>16</v>
      </c>
      <c r="D28" s="6" t="n">
        <v>82.36623477597671</v>
      </c>
      <c r="E28" s="6" t="n">
        <v>0</v>
      </c>
      <c r="F28" s="6" t="n">
        <v>0</v>
      </c>
    </row>
    <row r="29">
      <c r="C29" s="64" t="n">
        <v>17</v>
      </c>
      <c r="D29" s="6" t="n">
        <v>96.06923477597671</v>
      </c>
      <c r="E29" s="6" t="n">
        <v>75.52623477597672</v>
      </c>
      <c r="F29" s="6" t="n">
        <v>85.08323477597672</v>
      </c>
    </row>
    <row r="30">
      <c r="C30" s="64" t="n">
        <v>18</v>
      </c>
      <c r="D30" s="6" t="n">
        <v>0</v>
      </c>
      <c r="E30" s="6" t="n">
        <v>85.50823477597672</v>
      </c>
      <c r="F30" s="6" t="n">
        <v>81.73823477597671</v>
      </c>
    </row>
    <row r="31">
      <c r="C31" s="64" t="n">
        <v>19</v>
      </c>
      <c r="D31" s="6" t="n">
        <v>61.44323477597672</v>
      </c>
      <c r="E31" s="6" t="n">
        <v>93.44223477597671</v>
      </c>
      <c r="F31" s="6" t="n">
        <v>94.46823477597671</v>
      </c>
    </row>
    <row r="32">
      <c r="C32" s="64" t="n">
        <v>20</v>
      </c>
      <c r="D32" s="6" t="n">
        <v>75.65023477597671</v>
      </c>
      <c r="E32" s="6" t="n">
        <v>62.14023477597671</v>
      </c>
      <c r="F32" s="6" t="n">
        <v>108.8632347759767</v>
      </c>
    </row>
    <row r="33">
      <c r="C33" s="64" t="n">
        <v>21</v>
      </c>
      <c r="D33" s="6" t="n">
        <v>0</v>
      </c>
      <c r="E33" s="6" t="n">
        <v>0</v>
      </c>
      <c r="F33" s="6" t="n">
        <v>78.13923477597672</v>
      </c>
    </row>
    <row r="34">
      <c r="C34" s="64" t="n">
        <v>22</v>
      </c>
      <c r="D34" s="6" t="n">
        <v>0</v>
      </c>
      <c r="E34" s="6" t="n">
        <v>0</v>
      </c>
      <c r="F34" s="6" t="n">
        <v>82.20623477597671</v>
      </c>
    </row>
    <row r="35">
      <c r="C35" s="64" t="n">
        <v>23</v>
      </c>
      <c r="D35" s="6" t="n">
        <v>74.52723477597671</v>
      </c>
      <c r="E35" s="6" t="n">
        <v>96.41623477597672</v>
      </c>
      <c r="F35" s="6" t="n">
        <v>88.95023477597671</v>
      </c>
    </row>
    <row r="36">
      <c r="C36" s="64" t="n">
        <v>24</v>
      </c>
      <c r="D36" s="6" t="n">
        <v>0</v>
      </c>
      <c r="E36" s="6" t="n">
        <v>0</v>
      </c>
      <c r="F36" s="6" t="n">
        <v>0</v>
      </c>
    </row>
    <row r="37">
      <c r="C37" s="64" t="n">
        <v>25</v>
      </c>
      <c r="D37" s="6" t="n">
        <v>73.38923477597672</v>
      </c>
      <c r="E37" s="6" t="n">
        <v>70.85123477597671</v>
      </c>
      <c r="F37" s="6" t="n">
        <v>63.93923477597671</v>
      </c>
    </row>
    <row r="38">
      <c r="C38" s="64" t="n">
        <v>26</v>
      </c>
      <c r="D38" s="6" t="n">
        <v>0</v>
      </c>
      <c r="E38" s="6" t="n">
        <v>67.37923477597671</v>
      </c>
      <c r="F38" s="6" t="n">
        <v>0</v>
      </c>
    </row>
    <row r="39">
      <c r="C39" s="64" t="n">
        <v>27</v>
      </c>
      <c r="D39" s="6" t="n">
        <v>100.2372347759767</v>
      </c>
      <c r="E39" s="6" t="n">
        <v>70.66723477597671</v>
      </c>
      <c r="F39" s="6" t="n">
        <v>79.57223477597671</v>
      </c>
    </row>
    <row r="40">
      <c r="C40" s="64" t="n">
        <v>28</v>
      </c>
      <c r="D40" s="6" t="n">
        <v>0</v>
      </c>
      <c r="E40" s="6" t="n">
        <v>95.01123477597672</v>
      </c>
      <c r="F40" s="6" t="n">
        <v>79.53023477597671</v>
      </c>
    </row>
    <row r="41">
      <c r="C41" s="64" t="n">
        <v>29</v>
      </c>
      <c r="D41" s="6" t="n">
        <v>90.93623477597671</v>
      </c>
      <c r="E41" s="6" t="n">
        <v>91.77023477597672</v>
      </c>
      <c r="F41" s="6" t="n">
        <v>0</v>
      </c>
    </row>
    <row r="42">
      <c r="C42" s="64" t="n">
        <v>30</v>
      </c>
      <c r="D42" s="6" t="n">
        <v>96.70823477597672</v>
      </c>
      <c r="E42" s="6" t="n">
        <v>60.92723477597671</v>
      </c>
      <c r="F42" s="6" t="n">
        <v>0</v>
      </c>
    </row>
    <row r="43">
      <c r="C43" s="64" t="n">
        <v>31</v>
      </c>
      <c r="D43" s="6" t="n">
        <v>0</v>
      </c>
      <c r="E43" s="6" t="n">
        <v>0</v>
      </c>
      <c r="F43" s="6" t="n">
        <v>0</v>
      </c>
    </row>
    <row r="44">
      <c r="C44" s="64" t="n">
        <v>32</v>
      </c>
      <c r="D44" s="6" t="n">
        <v>86.93523477597671</v>
      </c>
      <c r="E44" s="6" t="n">
        <v>58.32323477597672</v>
      </c>
      <c r="F44" s="6" t="n">
        <v>0</v>
      </c>
    </row>
    <row r="45">
      <c r="C45" s="64" t="n">
        <v>33</v>
      </c>
      <c r="D45" s="6" t="n">
        <v>0</v>
      </c>
      <c r="E45" s="6" t="n">
        <v>70.98723477597672</v>
      </c>
      <c r="F45" s="6" t="n">
        <v>0</v>
      </c>
    </row>
    <row r="46">
      <c r="C46" s="64" t="n">
        <v>34</v>
      </c>
      <c r="D46" s="6" t="n">
        <v>83.58923477597671</v>
      </c>
      <c r="E46" s="6" t="n">
        <v>0</v>
      </c>
      <c r="F46" s="6" t="n">
        <v>0</v>
      </c>
    </row>
    <row r="47">
      <c r="C47" s="64" t="n">
        <v>35</v>
      </c>
      <c r="D47" s="6" t="n">
        <v>14.87176522402329</v>
      </c>
      <c r="E47" s="6" t="n">
        <v>0</v>
      </c>
      <c r="F47" s="6" t="n">
        <v>110.5402347759767</v>
      </c>
    </row>
    <row r="48">
      <c r="C48" s="64" t="n">
        <v>36</v>
      </c>
      <c r="D48" s="6" t="n">
        <v>0</v>
      </c>
      <c r="E48" s="6" t="n">
        <v>72.93323477597671</v>
      </c>
      <c r="F48" s="6" t="n">
        <v>82.79423477597672</v>
      </c>
    </row>
    <row r="49">
      <c r="C49" s="64" t="n">
        <v>37</v>
      </c>
      <c r="D49" s="6" t="n">
        <v>91.99023477597672</v>
      </c>
      <c r="E49" s="6" t="n">
        <v>75.37723477597672</v>
      </c>
      <c r="F49" s="6" t="n">
        <v>86.96123477597671</v>
      </c>
    </row>
    <row r="50">
      <c r="C50" s="64" t="n">
        <v>38</v>
      </c>
      <c r="D50" s="6" t="n">
        <v>119.5412347759767</v>
      </c>
      <c r="E50" s="6" t="n">
        <v>68.40723477597672</v>
      </c>
      <c r="F50" s="6" t="n">
        <v>96.72023477597672</v>
      </c>
    </row>
    <row r="51">
      <c r="C51" s="64" t="n">
        <v>39</v>
      </c>
      <c r="D51" s="6" t="n">
        <v>103.0192347759767</v>
      </c>
      <c r="E51" s="6" t="n">
        <v>0</v>
      </c>
      <c r="F51" s="6" t="n">
        <v>80.18323477597671</v>
      </c>
    </row>
    <row r="52">
      <c r="C52" s="64" t="n">
        <v>40</v>
      </c>
      <c r="D52" s="6" t="n">
        <v>88.83023477597672</v>
      </c>
      <c r="E52" s="6" t="n">
        <v>103.2762347759767</v>
      </c>
      <c r="F52" s="6" t="n">
        <v>63.35823477597671</v>
      </c>
    </row>
    <row r="53">
      <c r="C53" s="64" t="n">
        <v>41</v>
      </c>
      <c r="D53" s="6" t="n">
        <v>0</v>
      </c>
      <c r="E53" s="6" t="n">
        <v>0</v>
      </c>
      <c r="F53" s="6" t="n">
        <v>0</v>
      </c>
    </row>
    <row r="54">
      <c r="C54" s="64" t="n">
        <v>42</v>
      </c>
      <c r="D54" s="6" t="n">
        <v>93.94823477597672</v>
      </c>
      <c r="E54" s="6" t="n">
        <v>106.4892347759767</v>
      </c>
      <c r="F54" s="6" t="n">
        <v>31.76276522402328</v>
      </c>
    </row>
    <row r="55">
      <c r="C55" s="64" t="n">
        <v>43</v>
      </c>
      <c r="D55" s="6" t="n">
        <v>106.1652347759767</v>
      </c>
      <c r="E55" s="6" t="n">
        <v>80.13623477597672</v>
      </c>
      <c r="F55" s="6" t="n">
        <v>0</v>
      </c>
    </row>
    <row r="56">
      <c r="C56" s="64" t="n">
        <v>44</v>
      </c>
      <c r="D56" s="6" t="n">
        <v>72.36323477597671</v>
      </c>
      <c r="E56" s="6" t="n">
        <v>0</v>
      </c>
      <c r="F56" s="6" t="n">
        <v>0</v>
      </c>
    </row>
    <row r="57">
      <c r="C57" s="64" t="n">
        <v>45</v>
      </c>
      <c r="D57" s="6" t="n">
        <v>0</v>
      </c>
      <c r="E57" s="6" t="n">
        <v>13.11643189068994</v>
      </c>
      <c r="F57" s="6" t="n">
        <v>90.50823477597672</v>
      </c>
    </row>
    <row r="58">
      <c r="C58" s="64" t="n">
        <v>46</v>
      </c>
      <c r="D58" s="6" t="n">
        <v>0</v>
      </c>
      <c r="E58" s="6" t="n">
        <v>0</v>
      </c>
      <c r="F58" s="6" t="n">
        <v>86.14823477597672</v>
      </c>
    </row>
    <row r="59">
      <c r="C59" s="64" t="n">
        <v>47</v>
      </c>
      <c r="D59" s="6" t="n">
        <v>0</v>
      </c>
      <c r="E59" s="6" t="n">
        <v>96.51723477597672</v>
      </c>
      <c r="F59" s="6" t="n">
        <v>0</v>
      </c>
    </row>
    <row r="60">
      <c r="C60" s="64" t="n">
        <v>48</v>
      </c>
      <c r="D60" s="6" t="n">
        <v>84.14023477597671</v>
      </c>
      <c r="E60" s="6" t="n">
        <v>79.34123477597672</v>
      </c>
      <c r="F60" s="6" t="n">
        <v>0</v>
      </c>
    </row>
    <row r="61">
      <c r="C61" s="64" t="n">
        <v>49</v>
      </c>
      <c r="D61" s="6" t="n">
        <v>93.69823477597672</v>
      </c>
      <c r="E61" s="6" t="n">
        <v>0</v>
      </c>
      <c r="F61" s="6" t="n">
        <v>84.12423477597672</v>
      </c>
    </row>
    <row r="62">
      <c r="C62" s="64" t="n">
        <v>50</v>
      </c>
      <c r="D62" s="6" t="n">
        <v>0</v>
      </c>
      <c r="E62" s="6" t="n">
        <v>0</v>
      </c>
      <c r="F62" s="6" t="n">
        <v>76.19123477597671</v>
      </c>
    </row>
    <row r="63">
      <c r="C63" s="64" t="n">
        <v>51</v>
      </c>
      <c r="D63" s="6" t="n">
        <v>96.90323477597671</v>
      </c>
      <c r="E63" s="6" t="n">
        <v>83.42123477597671</v>
      </c>
      <c r="F63" s="6" t="n">
        <v>69.78323477597671</v>
      </c>
    </row>
    <row r="64">
      <c r="C64" s="64" t="n">
        <v>52</v>
      </c>
      <c r="D64" s="6" t="n">
        <v>0</v>
      </c>
      <c r="E64" s="6" t="n">
        <v>72.91923477597672</v>
      </c>
      <c r="F64" s="6" t="n">
        <v>84.79523477597671</v>
      </c>
    </row>
    <row r="65">
      <c r="C65" s="64" t="n">
        <v>53</v>
      </c>
      <c r="D65" s="6" t="n">
        <v>78.49523477597671</v>
      </c>
      <c r="E65" s="6" t="n">
        <v>104.0352347759767</v>
      </c>
      <c r="F65" s="6" t="n">
        <v>92.37123477597672</v>
      </c>
    </row>
    <row r="66">
      <c r="C66" s="64" t="n">
        <v>54</v>
      </c>
      <c r="D66" s="6" t="n">
        <v>79.15223477597671</v>
      </c>
      <c r="E66" s="6" t="n">
        <v>95.43423477597672</v>
      </c>
      <c r="F66" s="6" t="n">
        <v>0</v>
      </c>
    </row>
    <row r="67">
      <c r="C67" s="64" t="n">
        <v>55</v>
      </c>
      <c r="D67" s="6" t="n">
        <v>0</v>
      </c>
      <c r="E67" s="6" t="n">
        <v>0</v>
      </c>
      <c r="F67" s="6" t="n">
        <v>29.24476522402328</v>
      </c>
    </row>
    <row r="68">
      <c r="C68" s="64" t="n">
        <v>56</v>
      </c>
      <c r="D68" s="6" t="n">
        <v>73.63523477597671</v>
      </c>
      <c r="E68" s="6" t="n">
        <v>0</v>
      </c>
      <c r="F68" s="6" t="n">
        <v>0</v>
      </c>
    </row>
    <row r="69">
      <c r="C69" s="64" t="n">
        <v>57</v>
      </c>
      <c r="D69" s="6" t="n">
        <v>86.98723477597672</v>
      </c>
      <c r="E69" s="6" t="n">
        <v>76.58523477597672</v>
      </c>
      <c r="F69" s="6" t="n">
        <v>84.80623477597672</v>
      </c>
    </row>
    <row r="70">
      <c r="C70" s="64" t="n">
        <v>58</v>
      </c>
      <c r="D70" s="6" t="n">
        <v>87.78223477597672</v>
      </c>
      <c r="E70" s="6" t="n">
        <v>51.82223477597671</v>
      </c>
      <c r="F70" s="6" t="n">
        <v>71.38623477597672</v>
      </c>
    </row>
    <row r="71">
      <c r="C71" s="64" t="n">
        <v>59</v>
      </c>
      <c r="D71" s="6" t="n">
        <v>0</v>
      </c>
      <c r="E71" s="6" t="n">
        <v>0</v>
      </c>
      <c r="F71" s="6" t="n">
        <v>0</v>
      </c>
    </row>
    <row r="72">
      <c r="C72" s="64" t="n">
        <v>60</v>
      </c>
      <c r="D72" s="6" t="n">
        <v>90.91223477597671</v>
      </c>
      <c r="E72" s="6" t="n">
        <v>86.57723477597672</v>
      </c>
      <c r="F72" s="6" t="n">
        <v>89.72823477597672</v>
      </c>
    </row>
    <row r="73">
      <c r="C73" s="64" t="n">
        <v>61</v>
      </c>
      <c r="D73" s="6" t="n">
        <v>87.28723477597671</v>
      </c>
      <c r="E73" s="6" t="n">
        <v>109.0482347759767</v>
      </c>
      <c r="F73" s="6" t="n">
        <v>86.36123477597671</v>
      </c>
    </row>
    <row r="74">
      <c r="C74" s="64" t="n">
        <v>62</v>
      </c>
      <c r="D74" s="6" t="n">
        <v>93.56923477597671</v>
      </c>
      <c r="E74" s="6" t="n">
        <v>0</v>
      </c>
      <c r="F74" s="6" t="n">
        <v>75.94823477597672</v>
      </c>
    </row>
    <row r="75">
      <c r="C75" s="64" t="n">
        <v>63</v>
      </c>
      <c r="D75" s="6" t="n">
        <v>88.99923477597672</v>
      </c>
      <c r="E75" s="6" t="n">
        <v>56.02623477597672</v>
      </c>
      <c r="F75" s="6" t="n">
        <v>69.57823477597671</v>
      </c>
    </row>
    <row r="76">
      <c r="C76" s="64" t="n">
        <v>64</v>
      </c>
      <c r="D76" s="6" t="n">
        <v>99.62923477597671</v>
      </c>
      <c r="E76" s="6" t="n">
        <v>67.49223477597671</v>
      </c>
      <c r="F76" s="6" t="n">
        <v>0</v>
      </c>
    </row>
    <row r="77">
      <c r="C77" s="64" t="n">
        <v>65</v>
      </c>
      <c r="D77" s="6" t="n">
        <v>100.8742347759767</v>
      </c>
      <c r="E77" s="6" t="n">
        <v>92.79523477597672</v>
      </c>
      <c r="F77" s="6" t="n">
        <v>77.02023477597672</v>
      </c>
    </row>
    <row r="78">
      <c r="C78" s="64" t="n">
        <v>66</v>
      </c>
      <c r="D78" s="6" t="n">
        <v>69.57323477597672</v>
      </c>
      <c r="E78" s="6" t="n">
        <v>105.7042347759767</v>
      </c>
      <c r="F78" s="6" t="n">
        <v>0</v>
      </c>
    </row>
    <row r="79">
      <c r="C79" s="64" t="n">
        <v>67</v>
      </c>
      <c r="D79" s="6" t="n">
        <v>0</v>
      </c>
      <c r="E79" s="6" t="n">
        <v>72.22723477597671</v>
      </c>
      <c r="F79" s="6" t="n">
        <v>6.852765224023287</v>
      </c>
    </row>
    <row r="80">
      <c r="C80" s="64" t="n">
        <v>68</v>
      </c>
      <c r="D80" s="6" t="n">
        <v>91.79923477597671</v>
      </c>
      <c r="E80" s="6" t="n">
        <v>82.30123477597671</v>
      </c>
      <c r="F80" s="6" t="n">
        <v>81.10223477597671</v>
      </c>
    </row>
    <row r="81">
      <c r="C81" s="64" t="n">
        <v>69</v>
      </c>
      <c r="D81" s="6" t="n">
        <v>86.35423477597671</v>
      </c>
      <c r="E81" s="6" t="n">
        <v>0</v>
      </c>
      <c r="F81" s="6" t="n">
        <v>72.13776522402328</v>
      </c>
    </row>
    <row r="82">
      <c r="C82" s="64" t="n">
        <v>70</v>
      </c>
      <c r="D82" s="6" t="n">
        <v>84.73923477597671</v>
      </c>
      <c r="E82" s="6" t="n">
        <v>72.71323477597672</v>
      </c>
      <c r="F82" s="6" t="n">
        <v>0</v>
      </c>
    </row>
    <row r="83">
      <c r="C83" s="64" t="n">
        <v>71</v>
      </c>
      <c r="D83" s="6" t="n">
        <v>0</v>
      </c>
      <c r="E83" s="6" t="n">
        <v>99.11323477597672</v>
      </c>
      <c r="F83" s="6" t="n">
        <v>90.83623477597672</v>
      </c>
    </row>
    <row r="84">
      <c r="C84" s="64" t="n">
        <v>72</v>
      </c>
      <c r="D84" s="6" t="n">
        <v>101.1232347759767</v>
      </c>
      <c r="E84" s="6" t="n">
        <v>0</v>
      </c>
      <c r="F84" s="6" t="n">
        <v>0</v>
      </c>
    </row>
    <row r="85">
      <c r="C85" s="64" t="n">
        <v>73</v>
      </c>
      <c r="D85" s="6" t="n">
        <v>0</v>
      </c>
      <c r="E85" s="6" t="n">
        <v>88.54723477597672</v>
      </c>
      <c r="F85" s="6" t="n">
        <v>0</v>
      </c>
    </row>
    <row r="86">
      <c r="C86" s="64" t="n">
        <v>74</v>
      </c>
      <c r="D86" s="6" t="n">
        <v>61.45776522402329</v>
      </c>
      <c r="E86" s="6" t="n">
        <v>84.95223477597672</v>
      </c>
      <c r="F86" s="6" t="n">
        <v>0</v>
      </c>
    </row>
    <row r="87">
      <c r="C87" s="64" t="n">
        <v>75</v>
      </c>
      <c r="D87" s="6" t="n">
        <v>91.59723477597672</v>
      </c>
      <c r="E87" s="6" t="n">
        <v>80.01423477597672</v>
      </c>
      <c r="F87" s="6" t="n">
        <v>86.68623477597671</v>
      </c>
    </row>
    <row r="88">
      <c r="C88" s="64" t="n">
        <v>76</v>
      </c>
      <c r="D88" s="6" t="n">
        <v>72.52423477597671</v>
      </c>
      <c r="E88" s="6" t="n">
        <v>0</v>
      </c>
      <c r="F88" s="6" t="n">
        <v>0</v>
      </c>
    </row>
    <row r="89">
      <c r="C89" s="64" t="n">
        <v>77</v>
      </c>
      <c r="D89" s="6" t="n">
        <v>104.5562347759767</v>
      </c>
      <c r="E89" s="6" t="n">
        <v>0</v>
      </c>
      <c r="F89" s="6" t="n">
        <v>81.15123477597672</v>
      </c>
    </row>
    <row r="90">
      <c r="C90" s="64" t="n">
        <v>78</v>
      </c>
      <c r="D90" s="6" t="n">
        <v>69.32023477597672</v>
      </c>
      <c r="E90" s="6" t="n">
        <v>66.63823477597671</v>
      </c>
      <c r="F90" s="6" t="n">
        <v>0</v>
      </c>
    </row>
    <row r="91">
      <c r="C91" s="64" t="n">
        <v>79</v>
      </c>
      <c r="D91" s="6" t="n">
        <v>90.67223477597672</v>
      </c>
      <c r="E91" s="6" t="n">
        <v>86.21823477597671</v>
      </c>
      <c r="F91" s="6" t="n">
        <v>78.32223477597671</v>
      </c>
    </row>
    <row r="92">
      <c r="C92" s="64" t="n">
        <v>80</v>
      </c>
      <c r="D92" s="6" t="n">
        <v>73.61223477597672</v>
      </c>
      <c r="E92" s="6" t="n">
        <v>61.64023477597671</v>
      </c>
      <c r="F92" s="6" t="n">
        <v>85.21323477597672</v>
      </c>
    </row>
    <row r="93">
      <c r="C93" s="64" t="n">
        <v>81</v>
      </c>
      <c r="D93" s="6" t="n">
        <v>0</v>
      </c>
      <c r="E93" s="6" t="n">
        <v>65.79523477597671</v>
      </c>
      <c r="F93" s="6" t="n">
        <v>80.18723477597672</v>
      </c>
    </row>
    <row r="94">
      <c r="C94" s="64" t="n">
        <v>82</v>
      </c>
      <c r="D94" s="6" t="n">
        <v>0</v>
      </c>
      <c r="E94" s="6" t="n">
        <v>6.054765224023285</v>
      </c>
      <c r="F94" s="6" t="n">
        <v>57.09276522402328</v>
      </c>
    </row>
    <row r="95">
      <c r="C95" s="64" t="n">
        <v>83</v>
      </c>
      <c r="D95" s="6" t="n">
        <v>0</v>
      </c>
      <c r="E95" s="6" t="n">
        <v>60.49976522402329</v>
      </c>
      <c r="F95" s="6" t="n">
        <v>0</v>
      </c>
    </row>
    <row r="96">
      <c r="C96" s="64" t="n">
        <v>84</v>
      </c>
      <c r="D96" s="6" t="n">
        <v>74.10923477597672</v>
      </c>
      <c r="E96" s="6" t="n">
        <v>97.95223477597672</v>
      </c>
      <c r="F96" s="6" t="n">
        <v>62.48523477597671</v>
      </c>
    </row>
    <row r="97">
      <c r="C97" s="64" t="n">
        <v>85</v>
      </c>
      <c r="D97" s="6" t="n">
        <v>74.43323477597671</v>
      </c>
      <c r="E97" s="6" t="n">
        <v>0</v>
      </c>
      <c r="F97" s="6" t="n">
        <v>0</v>
      </c>
    </row>
    <row r="98">
      <c r="C98" s="64" t="n">
        <v>86</v>
      </c>
      <c r="D98" s="6" t="n">
        <v>88.77523477597671</v>
      </c>
      <c r="E98" s="6" t="n">
        <v>82.09323477597671</v>
      </c>
      <c r="F98" s="6" t="n">
        <v>80.19523477597672</v>
      </c>
    </row>
    <row r="99">
      <c r="C99" s="64" t="n">
        <v>87</v>
      </c>
      <c r="D99" s="6" t="n">
        <v>0</v>
      </c>
      <c r="E99" s="6" t="n">
        <v>72.16123477597671</v>
      </c>
      <c r="F99" s="6" t="n">
        <v>72.82523477597671</v>
      </c>
    </row>
    <row r="100">
      <c r="C100" s="64" t="n">
        <v>88</v>
      </c>
      <c r="D100" s="6" t="n">
        <v>68.62823477597671</v>
      </c>
      <c r="E100" s="6" t="n">
        <v>100.2682347759767</v>
      </c>
      <c r="F100" s="6" t="n">
        <v>87.28023477597671</v>
      </c>
    </row>
    <row r="101">
      <c r="C101" s="64" t="n">
        <v>89</v>
      </c>
      <c r="D101" s="6" t="n">
        <v>93.45723477597672</v>
      </c>
      <c r="E101" s="6" t="n">
        <v>84.50423477597671</v>
      </c>
      <c r="F101" s="6" t="n">
        <v>97.03323477597672</v>
      </c>
    </row>
    <row r="102">
      <c r="C102" s="64" t="n">
        <v>90</v>
      </c>
      <c r="D102" s="6" t="n">
        <v>0</v>
      </c>
      <c r="E102" s="6" t="n">
        <v>84.05723477597671</v>
      </c>
      <c r="F102" s="6" t="n">
        <v>94.21423477597672</v>
      </c>
    </row>
    <row r="103">
      <c r="C103" s="64" t="n">
        <v>91</v>
      </c>
      <c r="D103" s="6" t="n">
        <v>0</v>
      </c>
      <c r="E103" s="6" t="n">
        <v>81.43923477597671</v>
      </c>
      <c r="F103" s="6" t="n">
        <v>80.00623477597671</v>
      </c>
    </row>
    <row r="104">
      <c r="C104" s="64" t="n">
        <v>92</v>
      </c>
      <c r="D104" s="6" t="n">
        <v>79.33423477597671</v>
      </c>
      <c r="E104" s="6" t="n">
        <v>0</v>
      </c>
      <c r="F104" s="6" t="n">
        <v>0</v>
      </c>
    </row>
    <row r="105">
      <c r="C105" s="64" t="n">
        <v>93</v>
      </c>
      <c r="D105" s="6" t="n">
        <v>90.40723477597672</v>
      </c>
      <c r="E105" s="6" t="n">
        <v>0</v>
      </c>
      <c r="F105" s="6" t="n">
        <v>0</v>
      </c>
    </row>
    <row r="106">
      <c r="C106" s="64" t="n">
        <v>94</v>
      </c>
      <c r="D106" s="6" t="n">
        <v>70.42123477597671</v>
      </c>
      <c r="E106" s="6" t="n">
        <v>108.5292347759767</v>
      </c>
      <c r="F106" s="6" t="n">
        <v>80.71923477597672</v>
      </c>
    </row>
    <row r="107">
      <c r="C107" s="64" t="n">
        <v>95</v>
      </c>
      <c r="D107" s="6" t="n">
        <v>0</v>
      </c>
      <c r="E107" s="6" t="n">
        <v>81.95223477597672</v>
      </c>
      <c r="F107" s="6" t="n">
        <v>0</v>
      </c>
    </row>
    <row r="108">
      <c r="C108" s="64" t="n">
        <v>96</v>
      </c>
      <c r="D108" s="6" t="n">
        <v>79.72423477597671</v>
      </c>
      <c r="E108" s="6" t="n">
        <v>76.62523477597671</v>
      </c>
      <c r="F108" s="6" t="n">
        <v>0</v>
      </c>
    </row>
    <row r="109">
      <c r="C109" s="64" t="n">
        <v>97</v>
      </c>
      <c r="D109" s="6" t="n">
        <v>101.5002347759767</v>
      </c>
      <c r="E109" s="6" t="n">
        <v>0</v>
      </c>
      <c r="F109" s="6" t="n">
        <v>98.86023477597672</v>
      </c>
    </row>
    <row r="110">
      <c r="C110" s="64" t="n">
        <v>98</v>
      </c>
      <c r="D110" s="6" t="n">
        <v>78.59923477597671</v>
      </c>
      <c r="E110" s="6" t="n">
        <v>89.64723477597671</v>
      </c>
      <c r="F110" s="6" t="n">
        <v>85.62723477597672</v>
      </c>
    </row>
    <row r="111">
      <c r="C111" s="64" t="n">
        <v>99</v>
      </c>
      <c r="D111" s="6" t="n">
        <v>83.21423477597671</v>
      </c>
      <c r="E111" s="6" t="n">
        <v>85.53423477597671</v>
      </c>
      <c r="F111" s="6" t="n">
        <v>84.06223477597672</v>
      </c>
    </row>
    <row r="112">
      <c r="C112" s="64" t="n">
        <v>100</v>
      </c>
      <c r="D112" s="6" t="n">
        <v>0</v>
      </c>
      <c r="E112" s="6" t="n">
        <v>81.64023477597671</v>
      </c>
      <c r="F112" s="6" t="n">
        <v>37.1640985573566</v>
      </c>
    </row>
    <row r="113">
      <c r="C113" s="64" t="n">
        <v>101</v>
      </c>
      <c r="D113" s="6" t="n">
        <v>95.39123477597671</v>
      </c>
      <c r="E113" s="6" t="n">
        <v>96.22923477597672</v>
      </c>
      <c r="F113" s="6" t="n">
        <v>73.70523477597672</v>
      </c>
    </row>
    <row r="114">
      <c r="C114" s="64" t="n">
        <v>102</v>
      </c>
      <c r="D114" s="6" t="n">
        <v>0</v>
      </c>
      <c r="E114" s="6" t="n">
        <v>78.50023477597671</v>
      </c>
      <c r="F114" s="6" t="n">
        <v>82.51523477597671</v>
      </c>
    </row>
    <row r="115">
      <c r="C115" s="64" t="n">
        <v>103</v>
      </c>
      <c r="D115" s="6" t="n">
        <v>0</v>
      </c>
      <c r="E115" s="6" t="n">
        <v>114.1812347759767</v>
      </c>
      <c r="F115" s="6" t="n">
        <v>0</v>
      </c>
    </row>
    <row r="116">
      <c r="C116" s="64" t="n">
        <v>104</v>
      </c>
      <c r="D116" s="6" t="n">
        <v>0</v>
      </c>
      <c r="E116" s="6" t="n">
        <v>86.83523477597672</v>
      </c>
      <c r="F116" s="6" t="n">
        <v>64.95876522402328</v>
      </c>
    </row>
    <row r="117">
      <c r="C117" s="64" t="n">
        <v>105</v>
      </c>
      <c r="D117" s="6" t="n">
        <v>89.96923477597672</v>
      </c>
      <c r="E117" s="6" t="n">
        <v>77.99623477597672</v>
      </c>
      <c r="F117" s="6" t="n">
        <v>0</v>
      </c>
    </row>
    <row r="118">
      <c r="C118" s="64" t="n">
        <v>106</v>
      </c>
      <c r="D118" s="6" t="n">
        <v>85.97123477597671</v>
      </c>
      <c r="E118" s="6" t="n">
        <v>87.20523477597672</v>
      </c>
      <c r="F118" s="6" t="n">
        <v>102.8032347759767</v>
      </c>
    </row>
    <row r="119">
      <c r="C119" s="64" t="n">
        <v>107</v>
      </c>
      <c r="D119" s="6" t="n">
        <v>0</v>
      </c>
      <c r="E119" s="6" t="n">
        <v>70.74023477597672</v>
      </c>
      <c r="F119" s="6" t="n">
        <v>67.30923477597672</v>
      </c>
    </row>
    <row r="120">
      <c r="C120" s="64" t="n">
        <v>108</v>
      </c>
      <c r="D120" s="6" t="n">
        <v>0</v>
      </c>
      <c r="E120" s="6" t="n">
        <v>110.3452347759767</v>
      </c>
      <c r="F120" s="6" t="n">
        <v>72.46923477597672</v>
      </c>
    </row>
    <row r="121">
      <c r="C121" s="64" t="n">
        <v>109</v>
      </c>
      <c r="D121" s="6" t="n">
        <v>66.49323477597672</v>
      </c>
      <c r="E121" s="6" t="n">
        <v>71.48223477597671</v>
      </c>
      <c r="F121" s="6" t="n">
        <v>96.31823477597672</v>
      </c>
    </row>
    <row r="122">
      <c r="C122" s="64" t="n">
        <v>110</v>
      </c>
      <c r="D122" s="6" t="n">
        <v>69.63423477597671</v>
      </c>
      <c r="E122" s="6" t="n">
        <v>92.12823477597672</v>
      </c>
      <c r="F122" s="6" t="n">
        <v>96.03723477597671</v>
      </c>
    </row>
    <row r="123">
      <c r="C123" s="64" t="n">
        <v>111</v>
      </c>
      <c r="D123" s="6" t="n">
        <v>107.6672347759767</v>
      </c>
      <c r="E123" s="6" t="n">
        <v>0</v>
      </c>
      <c r="F123" s="6" t="n">
        <v>85.52023477597672</v>
      </c>
    </row>
    <row r="124">
      <c r="C124" s="64" t="n">
        <v>112</v>
      </c>
      <c r="D124" s="6" t="n">
        <v>0</v>
      </c>
      <c r="E124" s="6" t="n">
        <v>88.33923477597671</v>
      </c>
      <c r="F124" s="6" t="n">
        <v>83.61823477597672</v>
      </c>
    </row>
    <row r="125">
      <c r="C125" s="64" t="n">
        <v>113</v>
      </c>
      <c r="D125" s="6" t="n">
        <v>97.48323477597671</v>
      </c>
      <c r="E125" s="6" t="n">
        <v>86.58323477597672</v>
      </c>
      <c r="F125" s="6" t="n">
        <v>76.37823477597671</v>
      </c>
    </row>
    <row r="126">
      <c r="C126" s="64" t="n">
        <v>114</v>
      </c>
      <c r="D126" s="6" t="n">
        <v>80.40323477597671</v>
      </c>
      <c r="E126" s="6" t="n">
        <v>75.90523477597671</v>
      </c>
      <c r="F126" s="6" t="n">
        <v>94.14223477597672</v>
      </c>
    </row>
    <row r="127">
      <c r="C127" s="64" t="n">
        <v>115</v>
      </c>
      <c r="D127" s="6" t="n">
        <v>75.39523477597672</v>
      </c>
      <c r="E127" s="6" t="n">
        <v>106.1622347759767</v>
      </c>
      <c r="F127" s="6" t="n">
        <v>6.526765224023279</v>
      </c>
    </row>
    <row r="128">
      <c r="C128" s="64" t="n">
        <v>116</v>
      </c>
      <c r="D128" s="6" t="n">
        <v>0</v>
      </c>
      <c r="E128" s="6" t="n">
        <v>84.87823477597671</v>
      </c>
      <c r="F128" s="6" t="n">
        <v>88.72023477597671</v>
      </c>
    </row>
    <row r="129">
      <c r="C129" s="64" t="n">
        <v>117</v>
      </c>
      <c r="D129" s="6" t="n">
        <v>0</v>
      </c>
      <c r="E129" s="6" t="n">
        <v>107.4422347759767</v>
      </c>
      <c r="F129" s="6" t="n">
        <v>21.16576522402329</v>
      </c>
    </row>
    <row r="130">
      <c r="C130" s="64" t="n">
        <v>118</v>
      </c>
      <c r="D130" s="6" t="n">
        <v>71.90923477597671</v>
      </c>
      <c r="E130" s="6" t="n">
        <v>0</v>
      </c>
      <c r="F130" s="6" t="n">
        <v>0</v>
      </c>
    </row>
    <row r="131">
      <c r="C131" s="64" t="n">
        <v>119</v>
      </c>
      <c r="D131" s="6" t="n">
        <v>0</v>
      </c>
      <c r="E131" s="6" t="n">
        <v>98.37623477597671</v>
      </c>
      <c r="F131" s="6" t="n">
        <v>79.01923477597671</v>
      </c>
    </row>
    <row r="132">
      <c r="C132" s="64" t="n">
        <v>120</v>
      </c>
      <c r="D132" s="6" t="n">
        <v>0</v>
      </c>
      <c r="E132" s="6" t="n">
        <v>73.55123477597671</v>
      </c>
      <c r="F132" s="6" t="n">
        <v>88.75423477597671</v>
      </c>
    </row>
    <row r="133">
      <c r="C133" s="64" t="n">
        <v>121</v>
      </c>
      <c r="D133" s="6" t="n">
        <v>80.87723477597672</v>
      </c>
      <c r="E133" s="6" t="n">
        <v>75.78076522402328</v>
      </c>
      <c r="F133" s="6" t="n">
        <v>70.41023477597672</v>
      </c>
    </row>
    <row r="134">
      <c r="C134" s="64" t="n">
        <v>122</v>
      </c>
      <c r="D134" s="6" t="n">
        <v>102.6092347759767</v>
      </c>
      <c r="E134" s="6" t="n">
        <v>87.09323477597671</v>
      </c>
      <c r="F134" s="6" t="n">
        <v>89.76623477597671</v>
      </c>
    </row>
    <row r="135">
      <c r="C135" s="64" t="n">
        <v>123</v>
      </c>
      <c r="D135" s="6" t="n">
        <v>89.56223477597672</v>
      </c>
      <c r="E135" s="6" t="n">
        <v>0</v>
      </c>
      <c r="F135" s="6" t="n">
        <v>13.87376522402329</v>
      </c>
    </row>
    <row r="136">
      <c r="C136" s="64" t="n">
        <v>124</v>
      </c>
      <c r="D136" s="6" t="n">
        <v>83.74023477597672</v>
      </c>
      <c r="E136" s="6" t="n">
        <v>90.53323477597672</v>
      </c>
      <c r="F136" s="6" t="n">
        <v>0</v>
      </c>
    </row>
    <row r="137">
      <c r="C137" s="64" t="n">
        <v>125</v>
      </c>
      <c r="D137" s="6" t="n">
        <v>0</v>
      </c>
      <c r="E137" s="6" t="n">
        <v>84.01423477597672</v>
      </c>
      <c r="F137" s="6" t="n">
        <v>100.3312347759767</v>
      </c>
    </row>
    <row r="138">
      <c r="C138" s="64" t="n">
        <v>126</v>
      </c>
      <c r="D138" s="6" t="n">
        <v>65.97523477597672</v>
      </c>
      <c r="E138" s="6" t="n">
        <v>71.95423477597672</v>
      </c>
      <c r="F138" s="6" t="n">
        <v>84.69923477597672</v>
      </c>
    </row>
    <row r="139">
      <c r="C139" s="64" t="n">
        <v>127</v>
      </c>
      <c r="D139" s="6" t="n">
        <v>77.76123477597672</v>
      </c>
      <c r="E139" s="6" t="n">
        <v>0</v>
      </c>
      <c r="F139" s="6" t="n">
        <v>88.02623477597672</v>
      </c>
    </row>
    <row r="140">
      <c r="C140" s="64" t="n">
        <v>128</v>
      </c>
      <c r="D140" s="6" t="n">
        <v>88.54423477597672</v>
      </c>
      <c r="E140" s="6" t="n">
        <v>77.83023477597672</v>
      </c>
      <c r="F140" s="6" t="n">
        <v>89.79023477597671</v>
      </c>
    </row>
    <row r="141">
      <c r="C141" s="64" t="n">
        <v>129</v>
      </c>
      <c r="D141" s="6" t="n">
        <v>76.53823477597672</v>
      </c>
      <c r="E141" s="6" t="n">
        <v>0</v>
      </c>
      <c r="F141" s="6" t="n">
        <v>0</v>
      </c>
    </row>
    <row r="142">
      <c r="C142" s="64" t="n">
        <v>130</v>
      </c>
      <c r="D142" s="6" t="n">
        <v>0</v>
      </c>
      <c r="E142" s="6" t="n">
        <v>96.41023477597672</v>
      </c>
      <c r="F142" s="6" t="n">
        <v>71.96623477597672</v>
      </c>
    </row>
    <row r="143">
      <c r="C143" s="64" t="n">
        <v>131</v>
      </c>
      <c r="D143" s="6" t="n">
        <v>25.52076522402329</v>
      </c>
      <c r="E143" s="6" t="n">
        <v>0</v>
      </c>
      <c r="F143" s="6" t="n">
        <v>0</v>
      </c>
    </row>
    <row r="144">
      <c r="C144" s="64" t="n">
        <v>132</v>
      </c>
      <c r="D144" s="6" t="n">
        <v>97.72923477597672</v>
      </c>
      <c r="E144" s="6" t="n">
        <v>0</v>
      </c>
      <c r="F144" s="6" t="n">
        <v>0</v>
      </c>
    </row>
    <row r="145">
      <c r="C145" s="64" t="n">
        <v>133</v>
      </c>
      <c r="D145" s="6" t="n">
        <v>71.09223477597671</v>
      </c>
      <c r="E145" s="6" t="n">
        <v>0</v>
      </c>
      <c r="F145" s="6" t="n">
        <v>0</v>
      </c>
    </row>
    <row r="146">
      <c r="C146" s="64" t="n">
        <v>134</v>
      </c>
      <c r="D146" s="6" t="n">
        <v>100.8512347759767</v>
      </c>
      <c r="E146" s="6" t="n">
        <v>0</v>
      </c>
      <c r="F146" s="6" t="n">
        <v>0</v>
      </c>
    </row>
    <row r="147">
      <c r="C147" s="64" t="n">
        <v>135</v>
      </c>
      <c r="D147" s="6" t="n">
        <v>0</v>
      </c>
      <c r="E147" s="6" t="n">
        <v>88.42023477597671</v>
      </c>
      <c r="F147" s="6" t="n">
        <v>0</v>
      </c>
    </row>
    <row r="148">
      <c r="C148" s="64" t="n">
        <v>136</v>
      </c>
      <c r="D148" s="6" t="n">
        <v>72.64323477597671</v>
      </c>
      <c r="E148" s="6" t="n">
        <v>0</v>
      </c>
      <c r="F148" s="6" t="n">
        <v>0</v>
      </c>
    </row>
    <row r="149">
      <c r="C149" s="64" t="n">
        <v>137</v>
      </c>
      <c r="D149" s="6" t="n">
        <v>74.30223477597671</v>
      </c>
      <c r="E149" s="6" t="n">
        <v>104.3952347759767</v>
      </c>
      <c r="F149" s="6" t="n">
        <v>0</v>
      </c>
    </row>
    <row r="150">
      <c r="C150" s="64" t="n">
        <v>138</v>
      </c>
      <c r="D150" s="6" t="n">
        <v>0</v>
      </c>
      <c r="E150" s="6" t="n">
        <v>0</v>
      </c>
      <c r="F150" s="6" t="n">
        <v>93.23523477597672</v>
      </c>
    </row>
    <row r="151">
      <c r="C151" s="64" t="n">
        <v>139</v>
      </c>
      <c r="D151" s="6" t="n">
        <v>0</v>
      </c>
      <c r="E151" s="6" t="n">
        <v>0</v>
      </c>
      <c r="F151" s="6" t="n">
        <v>72.09523477597671</v>
      </c>
    </row>
    <row r="152">
      <c r="C152" s="64" t="n">
        <v>140</v>
      </c>
      <c r="D152" s="6" t="n">
        <v>93.11123477597671</v>
      </c>
      <c r="E152" s="6" t="n">
        <v>82.40323477597671</v>
      </c>
      <c r="F152" s="6" t="n">
        <v>0</v>
      </c>
    </row>
    <row r="153">
      <c r="C153" s="64" t="n">
        <v>141</v>
      </c>
      <c r="D153" s="6" t="n">
        <v>89.23523477597671</v>
      </c>
      <c r="E153" s="6" t="n">
        <v>95.86623477597672</v>
      </c>
      <c r="F153" s="6" t="n">
        <v>0</v>
      </c>
    </row>
    <row r="154">
      <c r="C154" s="64" t="n">
        <v>142</v>
      </c>
      <c r="D154" s="6" t="n">
        <v>0</v>
      </c>
      <c r="E154" s="6" t="n">
        <v>19.02243189068994</v>
      </c>
      <c r="F154" s="6" t="n">
        <v>82.37323477597671</v>
      </c>
    </row>
    <row r="155">
      <c r="C155" s="64" t="n">
        <v>143</v>
      </c>
      <c r="D155" s="6" t="n">
        <v>0</v>
      </c>
      <c r="E155" s="6" t="n">
        <v>0</v>
      </c>
      <c r="F155" s="6" t="n">
        <v>84.38023477597672</v>
      </c>
    </row>
    <row r="156">
      <c r="C156" s="64" t="n">
        <v>144</v>
      </c>
      <c r="D156" s="6" t="n">
        <v>0</v>
      </c>
      <c r="E156" s="6" t="n">
        <v>0</v>
      </c>
      <c r="F156" s="6" t="n">
        <v>0</v>
      </c>
    </row>
    <row r="157">
      <c r="C157" s="64" t="n">
        <v>145</v>
      </c>
      <c r="D157" s="6" t="n">
        <v>76.42823477597672</v>
      </c>
      <c r="E157" s="6" t="n">
        <v>89.23423477597672</v>
      </c>
      <c r="F157" s="6" t="n">
        <v>65.52623477597672</v>
      </c>
    </row>
    <row r="158">
      <c r="C158" s="64" t="n">
        <v>146</v>
      </c>
      <c r="D158" s="6" t="n">
        <v>13.22943189068994</v>
      </c>
      <c r="E158" s="6" t="n">
        <v>87.43123477597672</v>
      </c>
      <c r="F158" s="6" t="n">
        <v>64.46523477597671</v>
      </c>
    </row>
    <row r="159">
      <c r="C159" s="64" t="n">
        <v>147</v>
      </c>
      <c r="D159" s="6" t="n">
        <v>0</v>
      </c>
      <c r="E159" s="6" t="n">
        <v>84.19423477597671</v>
      </c>
      <c r="F159" s="6" t="n">
        <v>0</v>
      </c>
    </row>
    <row r="160">
      <c r="C160" s="64" t="n">
        <v>148</v>
      </c>
      <c r="D160" s="6" t="n">
        <v>84.73223477597671</v>
      </c>
      <c r="E160" s="6" t="n">
        <v>83.40123477597672</v>
      </c>
      <c r="F160" s="6" t="n">
        <v>40.02376522402328</v>
      </c>
    </row>
    <row r="161">
      <c r="C161" s="64" t="n">
        <v>149</v>
      </c>
      <c r="D161" s="6" t="n">
        <v>93.12923477597671</v>
      </c>
      <c r="E161" s="6" t="n">
        <v>82.06923477597671</v>
      </c>
      <c r="F161" s="6" t="n">
        <v>77.39623477597671</v>
      </c>
    </row>
    <row r="162">
      <c r="C162" s="64" t="n">
        <v>150</v>
      </c>
      <c r="D162" s="6" t="n">
        <v>0</v>
      </c>
      <c r="E162" s="6" t="n">
        <v>82.07523477597671</v>
      </c>
      <c r="F162" s="6" t="n">
        <v>86.20223477597672</v>
      </c>
    </row>
    <row r="163">
      <c r="C163" s="64" t="n">
        <v>151</v>
      </c>
      <c r="D163" s="6" t="n">
        <v>79.04423477597672</v>
      </c>
      <c r="E163" s="6" t="n">
        <v>96.38623477597672</v>
      </c>
      <c r="F163" s="6" t="n">
        <v>70.30023477597672</v>
      </c>
    </row>
    <row r="164">
      <c r="C164" s="64" t="n">
        <v>152</v>
      </c>
      <c r="D164" s="6" t="n">
        <v>107.0762347759767</v>
      </c>
      <c r="E164" s="6" t="n">
        <v>0</v>
      </c>
      <c r="F164" s="6" t="n">
        <v>0</v>
      </c>
    </row>
    <row r="165">
      <c r="C165" s="64" t="n">
        <v>153</v>
      </c>
      <c r="D165" s="6" t="n">
        <v>94.71023477597672</v>
      </c>
      <c r="E165" s="6" t="n">
        <v>80.74323477597672</v>
      </c>
      <c r="F165" s="6" t="n">
        <v>0</v>
      </c>
    </row>
    <row r="166">
      <c r="C166" s="64" t="n">
        <v>154</v>
      </c>
      <c r="D166" s="6" t="n">
        <v>0</v>
      </c>
      <c r="E166" s="6" t="n">
        <v>0</v>
      </c>
      <c r="F166" s="6" t="n">
        <v>62.77723477597671</v>
      </c>
    </row>
    <row r="167">
      <c r="C167" s="64" t="n">
        <v>155</v>
      </c>
      <c r="D167" s="6" t="n">
        <v>85.68523477597671</v>
      </c>
      <c r="E167" s="6" t="n">
        <v>0</v>
      </c>
      <c r="F167" s="6" t="n">
        <v>0</v>
      </c>
    </row>
    <row r="168">
      <c r="C168" s="64" t="n">
        <v>156</v>
      </c>
      <c r="D168" s="6" t="n">
        <v>0</v>
      </c>
      <c r="E168" s="6" t="n">
        <v>0</v>
      </c>
      <c r="F168" s="6" t="n">
        <v>66.31223477597672</v>
      </c>
    </row>
    <row r="169">
      <c r="C169" s="64" t="n">
        <v>157</v>
      </c>
      <c r="D169" s="6" t="n">
        <v>112.6542347759767</v>
      </c>
      <c r="E169" s="6" t="n">
        <v>104.9652347759767</v>
      </c>
      <c r="F169" s="6" t="n">
        <v>91.81623477597671</v>
      </c>
    </row>
    <row r="170">
      <c r="C170" s="64" t="n">
        <v>158</v>
      </c>
      <c r="D170" s="6" t="n">
        <v>0</v>
      </c>
      <c r="E170" s="6" t="n">
        <v>0</v>
      </c>
      <c r="F170" s="6" t="n">
        <v>0</v>
      </c>
    </row>
    <row r="171">
      <c r="C171" s="64" t="n">
        <v>159</v>
      </c>
      <c r="D171" s="6" t="n">
        <v>85.99123477597671</v>
      </c>
      <c r="E171" s="6" t="n">
        <v>0</v>
      </c>
      <c r="F171" s="6" t="n">
        <v>95.82323477597672</v>
      </c>
    </row>
    <row r="172">
      <c r="C172" s="64" t="n">
        <v>160</v>
      </c>
      <c r="D172" s="6" t="n">
        <v>0</v>
      </c>
      <c r="E172" s="6" t="n">
        <v>0</v>
      </c>
      <c r="F172" s="6" t="n">
        <v>0</v>
      </c>
    </row>
    <row r="173">
      <c r="C173" s="64" t="n">
        <v>161</v>
      </c>
      <c r="D173" s="6" t="n">
        <v>0</v>
      </c>
      <c r="E173" s="6" t="n">
        <v>0</v>
      </c>
      <c r="F173" s="6" t="n">
        <v>104.8322347759767</v>
      </c>
    </row>
    <row r="174">
      <c r="C174" s="64" t="n">
        <v>162</v>
      </c>
      <c r="D174" s="6" t="n">
        <v>91.11623477597672</v>
      </c>
      <c r="E174" s="6" t="n">
        <v>0</v>
      </c>
      <c r="F174" s="6" t="n">
        <v>93.75123477597671</v>
      </c>
    </row>
    <row r="175">
      <c r="C175" s="64" t="n">
        <v>163</v>
      </c>
      <c r="D175" s="6" t="n">
        <v>98.07023477597672</v>
      </c>
      <c r="E175" s="6" t="n">
        <v>84.10923477597672</v>
      </c>
      <c r="F175" s="6" t="n">
        <v>75.02823477597671</v>
      </c>
    </row>
    <row r="176">
      <c r="C176" s="64" t="n">
        <v>164</v>
      </c>
      <c r="D176" s="6" t="n">
        <v>0</v>
      </c>
      <c r="E176" s="6" t="n">
        <v>0</v>
      </c>
      <c r="F176" s="6" t="n">
        <v>75.77323477597672</v>
      </c>
    </row>
    <row r="177">
      <c r="C177" s="64" t="n">
        <v>165</v>
      </c>
      <c r="D177" s="6" t="n">
        <v>71.05323477597672</v>
      </c>
      <c r="E177" s="6" t="n">
        <v>66.38923477597672</v>
      </c>
      <c r="F177" s="6" t="n">
        <v>0</v>
      </c>
    </row>
    <row r="178">
      <c r="C178" s="64" t="n">
        <v>166</v>
      </c>
      <c r="D178" s="6" t="n">
        <v>99.64423477597671</v>
      </c>
      <c r="E178" s="6" t="n">
        <v>84.04323477597671</v>
      </c>
      <c r="F178" s="6" t="n">
        <v>0</v>
      </c>
    </row>
    <row r="179">
      <c r="C179" s="64" t="n">
        <v>167</v>
      </c>
      <c r="D179" s="6" t="n">
        <v>0</v>
      </c>
      <c r="E179" s="6" t="n">
        <v>75.07323477597672</v>
      </c>
      <c r="F179" s="6" t="n">
        <v>0</v>
      </c>
    </row>
    <row r="180">
      <c r="C180" s="64" t="n">
        <v>168</v>
      </c>
      <c r="D180" s="6" t="n">
        <v>86.20123477597672</v>
      </c>
      <c r="E180" s="6" t="n">
        <v>88.20023477597671</v>
      </c>
      <c r="F180" s="6" t="n">
        <v>0</v>
      </c>
    </row>
    <row r="181">
      <c r="C181" s="64" t="n">
        <v>169</v>
      </c>
      <c r="D181" s="6" t="n">
        <v>0</v>
      </c>
      <c r="E181" s="6" t="n">
        <v>0</v>
      </c>
      <c r="F181" s="6" t="n">
        <v>76.33323477597672</v>
      </c>
    </row>
    <row r="182">
      <c r="C182" s="64" t="n">
        <v>170</v>
      </c>
      <c r="D182" s="6" t="n">
        <v>91.90123477597672</v>
      </c>
      <c r="E182" s="6" t="n">
        <v>13.12209855735662</v>
      </c>
      <c r="F182" s="6" t="n">
        <v>103.3872347759767</v>
      </c>
    </row>
    <row r="183">
      <c r="C183" s="64" t="n">
        <v>171</v>
      </c>
      <c r="D183" s="6" t="n">
        <v>62.76276522402328</v>
      </c>
      <c r="E183" s="6" t="n">
        <v>88.10123477597671</v>
      </c>
      <c r="F183" s="6" t="n">
        <v>119.9372347759767</v>
      </c>
    </row>
    <row r="184">
      <c r="C184" s="64" t="n">
        <v>172</v>
      </c>
      <c r="D184" s="6" t="n">
        <v>87.46223477597671</v>
      </c>
      <c r="E184" s="6" t="n">
        <v>78.92623477597671</v>
      </c>
      <c r="F184" s="6" t="n">
        <v>92.74723477597672</v>
      </c>
    </row>
    <row r="185">
      <c r="C185" s="64" t="n">
        <v>173</v>
      </c>
      <c r="D185" s="6" t="n">
        <v>76.49923477597672</v>
      </c>
      <c r="E185" s="6" t="n">
        <v>72.32523477597671</v>
      </c>
      <c r="F185" s="6" t="n">
        <v>99.96323477597672</v>
      </c>
    </row>
    <row r="186">
      <c r="C186" s="64" t="n">
        <v>174</v>
      </c>
      <c r="D186" s="6" t="n">
        <v>0</v>
      </c>
      <c r="E186" s="6" t="n">
        <v>0</v>
      </c>
      <c r="F186" s="6" t="n">
        <v>0</v>
      </c>
    </row>
    <row r="187">
      <c r="C187" s="64" t="n">
        <v>175</v>
      </c>
      <c r="D187" s="6" t="n">
        <v>87.23123477597672</v>
      </c>
      <c r="E187" s="6" t="n">
        <v>0</v>
      </c>
      <c r="F187" s="6" t="n">
        <v>70.15223477597671</v>
      </c>
    </row>
    <row r="188">
      <c r="C188" s="64" t="n">
        <v>176</v>
      </c>
      <c r="D188" s="6" t="n">
        <v>95.94223477597671</v>
      </c>
      <c r="E188" s="6" t="n">
        <v>0</v>
      </c>
      <c r="F188" s="6" t="n">
        <v>0</v>
      </c>
    </row>
    <row r="189">
      <c r="C189" s="64" t="n">
        <v>177</v>
      </c>
      <c r="D189" s="6" t="n">
        <v>74.49823477597671</v>
      </c>
      <c r="E189" s="6" t="n">
        <v>111.5192347759767</v>
      </c>
      <c r="F189" s="6" t="n">
        <v>106.6522347759767</v>
      </c>
    </row>
    <row r="190">
      <c r="C190" s="64" t="n">
        <v>178</v>
      </c>
      <c r="D190" s="6" t="n">
        <v>79.55523477597671</v>
      </c>
      <c r="E190" s="6" t="n">
        <v>0</v>
      </c>
      <c r="F190" s="6" t="n">
        <v>0</v>
      </c>
    </row>
    <row r="191">
      <c r="C191" s="64" t="n">
        <v>179</v>
      </c>
      <c r="D191" s="6" t="n">
        <v>81.77323477597672</v>
      </c>
      <c r="E191" s="6" t="n">
        <v>90.82123477597672</v>
      </c>
      <c r="F191" s="6" t="n">
        <v>91.24323477597672</v>
      </c>
    </row>
    <row r="192">
      <c r="C192" s="64" t="n">
        <v>180</v>
      </c>
      <c r="D192" s="6" t="n">
        <v>81.79523477597671</v>
      </c>
      <c r="E192" s="6" t="n">
        <v>89.14823477597672</v>
      </c>
      <c r="F192" s="6" t="n">
        <v>0</v>
      </c>
    </row>
    <row r="193">
      <c r="C193" s="64" t="n">
        <v>181</v>
      </c>
      <c r="D193" s="6" t="n">
        <v>0</v>
      </c>
      <c r="E193" s="6" t="n">
        <v>0</v>
      </c>
      <c r="F193" s="6" t="n">
        <v>85.18223477597671</v>
      </c>
    </row>
    <row r="194">
      <c r="C194" s="64" t="n">
        <v>182</v>
      </c>
      <c r="D194" s="6" t="n">
        <v>0</v>
      </c>
      <c r="E194" s="6" t="n">
        <v>0</v>
      </c>
      <c r="F194" s="6" t="n">
        <v>0</v>
      </c>
    </row>
    <row r="195">
      <c r="C195" s="64" t="n">
        <v>183</v>
      </c>
      <c r="D195" s="6" t="n">
        <v>0</v>
      </c>
      <c r="E195" s="6" t="n">
        <v>64.54523477597671</v>
      </c>
      <c r="F195" s="6" t="n">
        <v>82.03023477597671</v>
      </c>
    </row>
    <row r="196">
      <c r="C196" s="64" t="n">
        <v>184</v>
      </c>
      <c r="D196" s="6" t="n">
        <v>70.82623477597672</v>
      </c>
      <c r="E196" s="6" t="n">
        <v>0</v>
      </c>
      <c r="F196" s="6" t="n">
        <v>97.03623477597672</v>
      </c>
    </row>
    <row r="197">
      <c r="C197" s="64" t="n">
        <v>185</v>
      </c>
      <c r="D197" s="6" t="n">
        <v>0</v>
      </c>
      <c r="E197" s="6" t="n">
        <v>96.92223477597672</v>
      </c>
      <c r="F197" s="6" t="n">
        <v>74.62723477597672</v>
      </c>
    </row>
    <row r="198">
      <c r="C198" s="64" t="n">
        <v>186</v>
      </c>
      <c r="D198" s="6" t="n">
        <v>68.33823477597672</v>
      </c>
      <c r="E198" s="6" t="n">
        <v>0</v>
      </c>
      <c r="F198" s="6" t="n">
        <v>0</v>
      </c>
    </row>
    <row r="199">
      <c r="C199" s="64" t="n">
        <v>187</v>
      </c>
      <c r="D199" s="6" t="n">
        <v>81.80423477597671</v>
      </c>
      <c r="E199" s="6" t="n">
        <v>87.41023477597672</v>
      </c>
      <c r="F199" s="6" t="n">
        <v>83.09423477597672</v>
      </c>
    </row>
    <row r="200">
      <c r="C200" s="64" t="n">
        <v>188</v>
      </c>
      <c r="D200" s="6" t="n">
        <v>64.66823477597671</v>
      </c>
      <c r="E200" s="6" t="n">
        <v>0</v>
      </c>
      <c r="F200" s="6" t="n">
        <v>86.07023477597672</v>
      </c>
    </row>
    <row r="201">
      <c r="C201" s="64" t="n">
        <v>189</v>
      </c>
      <c r="D201" s="6" t="n">
        <v>0</v>
      </c>
      <c r="E201" s="6" t="n">
        <v>0</v>
      </c>
      <c r="F201" s="6" t="n">
        <v>0</v>
      </c>
    </row>
    <row r="202">
      <c r="C202" s="64" t="n">
        <v>190</v>
      </c>
      <c r="D202" s="6" t="n">
        <v>96.68323477597671</v>
      </c>
      <c r="E202" s="6" t="n">
        <v>79.85323477597672</v>
      </c>
      <c r="F202" s="6" t="n">
        <v>85.76923477597671</v>
      </c>
    </row>
    <row r="203">
      <c r="C203" s="64" t="n">
        <v>191</v>
      </c>
      <c r="D203" s="6" t="n">
        <v>0</v>
      </c>
      <c r="E203" s="6" t="n">
        <v>0</v>
      </c>
      <c r="F203" s="6" t="n">
        <v>4.244765224023283</v>
      </c>
    </row>
    <row r="204">
      <c r="C204" s="64" t="n">
        <v>192</v>
      </c>
      <c r="D204" s="6" t="n">
        <v>0</v>
      </c>
      <c r="E204" s="6" t="n">
        <v>62.45123477597672</v>
      </c>
      <c r="F204" s="6" t="n">
        <v>0</v>
      </c>
    </row>
    <row r="205">
      <c r="C205" s="64" t="n">
        <v>193</v>
      </c>
      <c r="D205" s="6" t="n">
        <v>0</v>
      </c>
      <c r="E205" s="6" t="n">
        <v>91.63123477597672</v>
      </c>
      <c r="F205" s="6" t="n">
        <v>84.68823477597671</v>
      </c>
    </row>
    <row r="206">
      <c r="C206" s="64" t="n">
        <v>194</v>
      </c>
      <c r="D206" s="6" t="n">
        <v>91.92523477597672</v>
      </c>
      <c r="E206" s="6" t="n">
        <v>70.04423477597672</v>
      </c>
      <c r="F206" s="6" t="n">
        <v>83.93923477597671</v>
      </c>
    </row>
    <row r="207">
      <c r="C207" s="64" t="n">
        <v>195</v>
      </c>
      <c r="D207" s="6" t="n">
        <v>0</v>
      </c>
      <c r="E207" s="6" t="n">
        <v>0</v>
      </c>
      <c r="F207" s="6" t="n">
        <v>62.84323477597671</v>
      </c>
    </row>
    <row r="208">
      <c r="C208" s="64" t="n">
        <v>196</v>
      </c>
      <c r="D208" s="6" t="n">
        <v>92.36023477597672</v>
      </c>
      <c r="E208" s="6" t="n">
        <v>80.49323477597672</v>
      </c>
      <c r="F208" s="6" t="n">
        <v>101.6752347759767</v>
      </c>
    </row>
    <row r="209">
      <c r="C209" s="64" t="n">
        <v>197</v>
      </c>
      <c r="D209" s="6" t="n">
        <v>85.64423477597671</v>
      </c>
      <c r="E209" s="6" t="n">
        <v>0</v>
      </c>
      <c r="F209" s="6" t="n">
        <v>0</v>
      </c>
    </row>
    <row r="210">
      <c r="C210" s="64" t="n">
        <v>198</v>
      </c>
      <c r="D210" s="6" t="n">
        <v>0</v>
      </c>
      <c r="E210" s="6" t="n">
        <v>0</v>
      </c>
      <c r="F210" s="6" t="n">
        <v>91.32923477597672</v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BY213"/>
  <sheetViews>
    <sheetView topLeftCell="AN1" zoomScale="90" zoomScaleNormal="90" workbookViewId="0">
      <selection activeCell="AV13" sqref="AV13"/>
    </sheetView>
  </sheetViews>
  <sheetFormatPr baseColWidth="8" defaultColWidth="8.88671875" defaultRowHeight="14.4"/>
  <cols>
    <col width="9.44140625" customWidth="1" style="2" min="1" max="1"/>
    <col width="10.5546875" customWidth="1" style="2" min="2" max="2"/>
    <col width="11.6640625" customWidth="1" style="2" min="3" max="3"/>
    <col width="11.5546875" customWidth="1" style="2" min="4" max="4"/>
    <col width="9.44140625" customWidth="1" style="2" min="5" max="5"/>
    <col width="8.88671875" customWidth="1" style="2" min="6" max="11"/>
    <col width="9.88671875" bestFit="1" customWidth="1" style="2" min="12" max="12"/>
    <col width="9.6640625" bestFit="1" customWidth="1" style="2" min="13" max="13"/>
    <col width="11.21875" bestFit="1" customWidth="1" style="2" min="14" max="14"/>
    <col width="8.88671875" customWidth="1" style="2" min="15" max="21"/>
    <col width="8.33203125" customWidth="1" style="2" min="22" max="22"/>
    <col width="9.5546875" bestFit="1" customWidth="1" style="2" min="23" max="23"/>
    <col width="9.88671875" bestFit="1" customWidth="1" style="2" min="24" max="24"/>
    <col width="9.5546875" customWidth="1" style="2" min="25" max="44"/>
    <col width="8.88671875" customWidth="1" style="2" min="45" max="45"/>
    <col width="9" bestFit="1" customWidth="1" style="2" min="46" max="61"/>
    <col width="8.88671875" customWidth="1" style="2" min="62" max="16384"/>
  </cols>
  <sheetData>
    <row r="3">
      <c r="D3" s="61" t="inlineStr">
        <is>
          <t>CÁLCULOS PARA A GERAÇÃO DOS DADOS DA DEMANDA</t>
        </is>
      </c>
      <c r="X3" s="61" t="n"/>
      <c r="Y3" s="61" t="n"/>
      <c r="Z3" s="61" t="n"/>
      <c r="AA3" s="61" t="n"/>
      <c r="AB3" s="61" t="n"/>
      <c r="AC3" s="61" t="n"/>
      <c r="AD3" s="61" t="n"/>
      <c r="AE3" s="61" t="n"/>
      <c r="AF3" s="61" t="n"/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U3" s="2" t="inlineStr">
        <is>
          <t>máximo</t>
        </is>
      </c>
      <c r="AV3" s="2">
        <f>MAX(SuppliersDem)</f>
        <v/>
      </c>
      <c r="AX3" s="2" t="inlineStr">
        <is>
          <t>mínimo</t>
        </is>
      </c>
      <c r="AY3" s="2">
        <f>MIN(SuppliersDem)</f>
        <v/>
      </c>
    </row>
    <row r="4">
      <c r="A4" s="2" t="inlineStr">
        <is>
          <t>Mínimo</t>
        </is>
      </c>
      <c r="B4" s="2" t="inlineStr">
        <is>
          <t>Máximo</t>
        </is>
      </c>
      <c r="H4" s="17" t="n">
        <v>1</v>
      </c>
      <c r="I4" s="17" t="n">
        <v>2</v>
      </c>
      <c r="J4" s="17" t="n">
        <v>3</v>
      </c>
      <c r="K4" s="17" t="n">
        <v>4</v>
      </c>
      <c r="L4" s="17" t="n">
        <v>5</v>
      </c>
      <c r="M4" s="17" t="n">
        <v>6</v>
      </c>
      <c r="N4" s="17" t="n">
        <v>7</v>
      </c>
      <c r="O4" s="17" t="n">
        <v>8</v>
      </c>
      <c r="P4" s="17" t="n">
        <v>9</v>
      </c>
      <c r="Q4" s="17" t="n">
        <v>10</v>
      </c>
      <c r="R4" s="17" t="n">
        <v>11</v>
      </c>
      <c r="S4" s="17" t="n">
        <v>12</v>
      </c>
      <c r="T4" s="17" t="n">
        <v>13</v>
      </c>
      <c r="U4" s="17" t="n">
        <v>14</v>
      </c>
      <c r="V4" s="17" t="n">
        <v>15</v>
      </c>
      <c r="X4" s="2" t="inlineStr">
        <is>
          <t>Soma</t>
        </is>
      </c>
      <c r="AB4" s="17" t="n">
        <v>1</v>
      </c>
      <c r="AC4" s="17" t="n">
        <v>2</v>
      </c>
      <c r="AD4" s="17" t="n">
        <v>3</v>
      </c>
      <c r="AE4" s="17" t="n">
        <v>4</v>
      </c>
      <c r="AF4" s="17" t="n">
        <v>5</v>
      </c>
      <c r="AG4" s="17" t="n">
        <v>6</v>
      </c>
      <c r="AH4" s="17" t="n">
        <v>7</v>
      </c>
      <c r="AI4" s="17" t="n">
        <v>8</v>
      </c>
      <c r="AJ4" s="17" t="n">
        <v>9</v>
      </c>
      <c r="AK4" s="17" t="n">
        <v>10</v>
      </c>
      <c r="AL4" s="17" t="n">
        <v>11</v>
      </c>
      <c r="AM4" s="17" t="n">
        <v>12</v>
      </c>
      <c r="AN4" s="17" t="n">
        <v>13</v>
      </c>
      <c r="AO4" s="17" t="n">
        <v>14</v>
      </c>
      <c r="AP4" s="17" t="n">
        <v>15</v>
      </c>
      <c r="AU4" s="17" t="n">
        <v>1</v>
      </c>
      <c r="AV4" s="17" t="n">
        <v>2</v>
      </c>
      <c r="AW4" s="17" t="n">
        <v>3</v>
      </c>
      <c r="AX4" s="17" t="n">
        <v>4</v>
      </c>
      <c r="AY4" s="17" t="n">
        <v>5</v>
      </c>
      <c r="AZ4" s="17" t="n">
        <v>6</v>
      </c>
      <c r="BA4" s="17" t="n">
        <v>7</v>
      </c>
      <c r="BB4" s="17" t="n">
        <v>8</v>
      </c>
      <c r="BC4" s="17" t="n">
        <v>9</v>
      </c>
      <c r="BD4" s="17" t="n">
        <v>10</v>
      </c>
      <c r="BE4" s="17" t="n">
        <v>11</v>
      </c>
      <c r="BF4" s="17" t="n">
        <v>12</v>
      </c>
      <c r="BG4" s="17" t="n">
        <v>13</v>
      </c>
      <c r="BH4" s="17" t="n">
        <v>14</v>
      </c>
      <c r="BI4" s="17" t="n">
        <v>15</v>
      </c>
    </row>
    <row r="5">
      <c r="A5" s="2">
        <f>MIN(H5:V7)</f>
        <v/>
      </c>
      <c r="B5" s="2">
        <f>MAX(H5:V7)</f>
        <v/>
      </c>
      <c r="C5" s="2" t="inlineStr">
        <is>
          <t>prod/dia</t>
        </is>
      </c>
      <c r="D5" s="2" t="inlineStr">
        <is>
          <t>Avarege</t>
        </is>
      </c>
      <c r="E5" s="2">
        <f>(M24/3)/15</f>
        <v/>
      </c>
      <c r="F5" s="2" t="inlineStr">
        <is>
          <t>Dw</t>
        </is>
      </c>
      <c r="G5" s="17" t="n">
        <v>1</v>
      </c>
      <c r="H5" s="2">
        <f>TRUNC((_xlfn.NORM.INV((RAND()),$E$5,$E$6)),2)</f>
        <v/>
      </c>
      <c r="I5" s="2">
        <f>TRUNC((_xlfn.NORM.INV((RAND()),$E$5,$E$6)),2)</f>
        <v/>
      </c>
      <c r="J5" s="2">
        <f>TRUNC((_xlfn.NORM.INV((RAND()),$E$5,$E$6)),2)</f>
        <v/>
      </c>
      <c r="K5" s="2">
        <f>TRUNC((_xlfn.NORM.INV((RAND()),$E$5,$E$6)),2)</f>
        <v/>
      </c>
      <c r="L5" s="2">
        <f>TRUNC((_xlfn.NORM.INV((RAND()),$E$5,$E$6)),2)</f>
        <v/>
      </c>
      <c r="M5" s="2">
        <f>TRUNC((_xlfn.NORM.INV((RAND()),$E$5,$E$6)),2)</f>
        <v/>
      </c>
      <c r="N5" s="2">
        <f>TRUNC((_xlfn.NORM.INV((RAND()),$E$5,$E$6)),2)</f>
        <v/>
      </c>
      <c r="O5" s="2">
        <f>TRUNC((_xlfn.NORM.INV((RAND()),$E$5,$E$6)),2)</f>
        <v/>
      </c>
      <c r="P5" s="2">
        <f>TRUNC((_xlfn.NORM.INV((RAND()),$E$5,$E$6)),2)</f>
        <v/>
      </c>
      <c r="Q5" s="2">
        <f>TRUNC((_xlfn.NORM.INV((RAND()),$E$5,$E$6)),2)</f>
        <v/>
      </c>
      <c r="R5" s="2">
        <f>TRUNC((_xlfn.NORM.INV((RAND()),$E$5,$E$6)),2)</f>
        <v/>
      </c>
      <c r="S5" s="2">
        <f>TRUNC((_xlfn.NORM.INV((RAND()),$E$5,$E$6)),2)</f>
        <v/>
      </c>
      <c r="T5" s="2">
        <f>TRUNC((_xlfn.NORM.INV((RAND()),$E$5,$E$6)),2)</f>
        <v/>
      </c>
      <c r="U5" s="2">
        <f>TRUNC((_xlfn.NORM.INV((RAND()),$E$5,$E$6)),2)</f>
        <v/>
      </c>
      <c r="V5" s="2">
        <f>TRUNC((_xlfn.NORM.INV((RAND()),$E$5,$E$6)),2)</f>
        <v/>
      </c>
      <c r="X5" s="3">
        <f>SUM(H5:V7)</f>
        <v/>
      </c>
      <c r="Y5" s="3" t="n"/>
      <c r="Z5" s="2" t="inlineStr">
        <is>
          <t>Dw</t>
        </is>
      </c>
      <c r="AA5" s="17" t="n">
        <v>1</v>
      </c>
      <c r="AB5" s="3">
        <f>IF(H5&lt;0,0,H5)</f>
        <v/>
      </c>
      <c r="AC5" s="3">
        <f>IF(I5&lt;0,0,I5)</f>
        <v/>
      </c>
      <c r="AD5" s="3">
        <f>IF(J5&lt;0,0,J5)</f>
        <v/>
      </c>
      <c r="AE5" s="3">
        <f>IF(K5&lt;0,0,K5)</f>
        <v/>
      </c>
      <c r="AF5" s="3">
        <f>IF(L5&lt;0,0,L5)</f>
        <v/>
      </c>
      <c r="AG5" s="3">
        <f>IF(M5&lt;0,0,M5)</f>
        <v/>
      </c>
      <c r="AH5" s="3">
        <f>IF(N5&lt;0,0,N5)</f>
        <v/>
      </c>
      <c r="AI5" s="3">
        <f>IF(O5&lt;0,0,O5)</f>
        <v/>
      </c>
      <c r="AJ5" s="3">
        <f>IF(P5&lt;0,0,P5)</f>
        <v/>
      </c>
      <c r="AK5" s="3">
        <f>IF(Q5&lt;0,0,Q5)</f>
        <v/>
      </c>
      <c r="AL5" s="3">
        <f>IF(R5&lt;0,0,R5)</f>
        <v/>
      </c>
      <c r="AM5" s="3">
        <f>IF(S5&lt;0,0,S5)</f>
        <v/>
      </c>
      <c r="AN5" s="3">
        <f>IF(T5&lt;0,0,T5)</f>
        <v/>
      </c>
      <c r="AO5" s="3">
        <f>IF(U5&lt;0,0,U5)</f>
        <v/>
      </c>
      <c r="AP5" s="3">
        <f>IF(V5&lt;0,0,V5)</f>
        <v/>
      </c>
      <c r="AQ5" s="3" t="n"/>
      <c r="AR5" s="3" t="n"/>
      <c r="AS5" s="2" t="inlineStr">
        <is>
          <t>Dw</t>
        </is>
      </c>
      <c r="AT5" s="17" t="n">
        <v>1</v>
      </c>
      <c r="AU5" s="23" t="n">
        <v>231.5</v>
      </c>
      <c r="AV5" s="23" t="n">
        <v>297.34</v>
      </c>
      <c r="AW5" s="23" t="n">
        <v>217.82</v>
      </c>
      <c r="AX5" s="23" t="n">
        <v>222.62</v>
      </c>
      <c r="AY5" s="23" t="n">
        <v>453.86</v>
      </c>
      <c r="AZ5" s="23" t="n">
        <v>315.98</v>
      </c>
      <c r="BA5" s="23" t="n">
        <v>216.18</v>
      </c>
      <c r="BB5" s="23" t="n">
        <v>463.97</v>
      </c>
      <c r="BC5" s="23" t="n">
        <v>404.65</v>
      </c>
      <c r="BD5" s="23" t="n">
        <v>334.69</v>
      </c>
      <c r="BE5" s="23" t="n">
        <v>440.61</v>
      </c>
      <c r="BF5" s="23" t="n">
        <v>225.39</v>
      </c>
      <c r="BG5" s="23" t="n">
        <v>314.98</v>
      </c>
      <c r="BH5" s="23" t="n">
        <v>305.23</v>
      </c>
      <c r="BI5" s="23" t="n">
        <v>541.84</v>
      </c>
      <c r="BK5" s="2" t="n">
        <v>361.01</v>
      </c>
      <c r="BL5" s="2" t="n">
        <v>440.66</v>
      </c>
      <c r="BM5" s="2" t="n">
        <v>451.17</v>
      </c>
      <c r="BN5" s="2" t="n">
        <v>402.32</v>
      </c>
      <c r="BO5" s="2" t="n">
        <v>281.5</v>
      </c>
      <c r="BP5" s="2" t="n">
        <v>339.37</v>
      </c>
      <c r="BQ5" s="2" t="n">
        <v>303.46</v>
      </c>
      <c r="BR5" s="2" t="n">
        <v>314.95</v>
      </c>
      <c r="BS5" s="2" t="n">
        <v>281.92</v>
      </c>
      <c r="BT5" s="2" t="n">
        <v>203.48</v>
      </c>
      <c r="BU5" s="2" t="n">
        <v>353.54</v>
      </c>
      <c r="BV5" s="2" t="n">
        <v>351.74</v>
      </c>
      <c r="BW5" s="2" t="n">
        <v>377.81</v>
      </c>
      <c r="BX5" s="2" t="n">
        <v>356.35</v>
      </c>
      <c r="BY5" s="2" t="n">
        <v>311.94</v>
      </c>
    </row>
    <row r="6">
      <c r="D6" s="2" t="inlineStr">
        <is>
          <t>Std Devition</t>
        </is>
      </c>
      <c r="E6" s="2">
        <f>E5*0.2</f>
        <v/>
      </c>
      <c r="G6" s="17" t="n">
        <v>2</v>
      </c>
      <c r="H6" s="2">
        <f>TRUNC((_xlfn.NORM.INV((RAND()),$E$5,$E$6)),2)</f>
        <v/>
      </c>
      <c r="I6" s="2">
        <f>TRUNC((_xlfn.NORM.INV((RAND()),$E$5,$E$6)),2)</f>
        <v/>
      </c>
      <c r="J6" s="2">
        <f>TRUNC((_xlfn.NORM.INV((RAND()),$E$5,$E$6)),2)</f>
        <v/>
      </c>
      <c r="K6" s="2">
        <f>TRUNC((_xlfn.NORM.INV((RAND()),$E$5,$E$6)),2)</f>
        <v/>
      </c>
      <c r="L6" s="2">
        <f>TRUNC((_xlfn.NORM.INV((RAND()),$E$5,$E$6)),2)</f>
        <v/>
      </c>
      <c r="M6" s="2">
        <f>TRUNC((_xlfn.NORM.INV((RAND()),$E$5,$E$6)),2)</f>
        <v/>
      </c>
      <c r="N6" s="2">
        <f>TRUNC((_xlfn.NORM.INV((RAND()),$E$5,$E$6)),2)</f>
        <v/>
      </c>
      <c r="O6" s="2">
        <f>TRUNC((_xlfn.NORM.INV((RAND()),$E$5,$E$6)),2)</f>
        <v/>
      </c>
      <c r="P6" s="2">
        <f>TRUNC((_xlfn.NORM.INV((RAND()),$E$5,$E$6)),2)</f>
        <v/>
      </c>
      <c r="Q6" s="2">
        <f>TRUNC((_xlfn.NORM.INV((RAND()),$E$5,$E$6)),2)</f>
        <v/>
      </c>
      <c r="R6" s="2">
        <f>TRUNC((_xlfn.NORM.INV((RAND()),$E$5,$E$6)),2)</f>
        <v/>
      </c>
      <c r="S6" s="2">
        <f>TRUNC((_xlfn.NORM.INV((RAND()),$E$5,$E$6)),2)</f>
        <v/>
      </c>
      <c r="T6" s="2">
        <f>TRUNC((_xlfn.NORM.INV((RAND()),$E$5,$E$6)),2)</f>
        <v/>
      </c>
      <c r="U6" s="2">
        <f>TRUNC((_xlfn.NORM.INV((RAND()),$E$5,$E$6)),2)</f>
        <v/>
      </c>
      <c r="V6" s="2">
        <f>TRUNC((_xlfn.NORM.INV((RAND()),$E$5,$E$6)),2)</f>
        <v/>
      </c>
      <c r="AA6" s="17" t="n">
        <v>2</v>
      </c>
      <c r="AB6" s="3">
        <f>IF(H6&lt;0,0,H6)</f>
        <v/>
      </c>
      <c r="AC6" s="3">
        <f>IF(I6&lt;0,0,I6)</f>
        <v/>
      </c>
      <c r="AD6" s="3">
        <f>IF(J6&lt;0,0,J6)</f>
        <v/>
      </c>
      <c r="AE6" s="3">
        <f>IF(K6&lt;0,0,K6)</f>
        <v/>
      </c>
      <c r="AF6" s="3">
        <f>IF(L6&lt;0,0,L6)</f>
        <v/>
      </c>
      <c r="AG6" s="3">
        <f>IF(M6&lt;0,0,M6)</f>
        <v/>
      </c>
      <c r="AH6" s="3">
        <f>IF(N6&lt;0,0,N6)</f>
        <v/>
      </c>
      <c r="AI6" s="3">
        <f>IF(O6&lt;0,0,O6)</f>
        <v/>
      </c>
      <c r="AJ6" s="3">
        <f>IF(P6&lt;0,0,P6)</f>
        <v/>
      </c>
      <c r="AK6" s="3">
        <f>IF(Q6&lt;0,0,Q6)</f>
        <v/>
      </c>
      <c r="AL6" s="3">
        <f>IF(R6&lt;0,0,R6)</f>
        <v/>
      </c>
      <c r="AM6" s="3">
        <f>IF(S6&lt;0,0,S6)</f>
        <v/>
      </c>
      <c r="AN6" s="3">
        <f>IF(T6&lt;0,0,T6)</f>
        <v/>
      </c>
      <c r="AO6" s="3">
        <f>IF(U6&lt;0,0,U6)</f>
        <v/>
      </c>
      <c r="AP6" s="3">
        <f>IF(V6&lt;0,0,V6)</f>
        <v/>
      </c>
      <c r="AT6" s="17" t="n">
        <v>2</v>
      </c>
      <c r="AU6" s="23" t="n">
        <v>358.95</v>
      </c>
      <c r="AV6" s="23" t="n">
        <v>308.97</v>
      </c>
      <c r="AW6" s="23" t="n">
        <v>264.61</v>
      </c>
      <c r="AX6" s="23" t="n">
        <v>343.62</v>
      </c>
      <c r="AY6" s="23" t="n">
        <v>399.3</v>
      </c>
      <c r="AZ6" s="23" t="n">
        <v>433.24</v>
      </c>
      <c r="BA6" s="23" t="n">
        <v>310.82</v>
      </c>
      <c r="BB6" s="23" t="n">
        <v>234.15</v>
      </c>
      <c r="BC6" s="23" t="n">
        <v>302.73</v>
      </c>
      <c r="BD6" s="23" t="n">
        <v>304.23</v>
      </c>
      <c r="BE6" s="23" t="n">
        <v>278.95</v>
      </c>
      <c r="BF6" s="23" t="n">
        <v>403.93</v>
      </c>
      <c r="BG6" s="23" t="n">
        <v>327.87</v>
      </c>
      <c r="BH6" s="23" t="n">
        <v>462.67</v>
      </c>
      <c r="BI6" s="23" t="n">
        <v>445.18</v>
      </c>
      <c r="BK6" s="2" t="n">
        <v>385.45</v>
      </c>
      <c r="BL6" s="2" t="n">
        <v>425.64</v>
      </c>
      <c r="BM6" s="2" t="n">
        <v>333.38</v>
      </c>
      <c r="BN6" s="2" t="n">
        <v>353.53</v>
      </c>
      <c r="BO6" s="2" t="n">
        <v>376.65</v>
      </c>
      <c r="BP6" s="2" t="n">
        <v>369.96</v>
      </c>
      <c r="BQ6" s="2" t="n">
        <v>423.76</v>
      </c>
      <c r="BR6" s="2" t="n">
        <v>314.98</v>
      </c>
      <c r="BS6" s="2" t="n">
        <v>294.6</v>
      </c>
      <c r="BT6" s="2" t="n">
        <v>331.27</v>
      </c>
      <c r="BU6" s="2" t="n">
        <v>411.45</v>
      </c>
      <c r="BV6" s="2" t="n">
        <v>493.53</v>
      </c>
      <c r="BW6" s="2" t="n">
        <v>280.38</v>
      </c>
      <c r="BX6" s="2" t="n">
        <v>371.76</v>
      </c>
      <c r="BY6" s="2" t="n">
        <v>218.81</v>
      </c>
    </row>
    <row r="7">
      <c r="G7" s="17" t="n">
        <v>3</v>
      </c>
      <c r="H7" s="2">
        <f>TRUNC((_xlfn.NORM.INV((RAND()),$E$5,$E$6)),2)</f>
        <v/>
      </c>
      <c r="I7" s="2">
        <f>TRUNC((_xlfn.NORM.INV((RAND()),$E$5,$E$6)),2)</f>
        <v/>
      </c>
      <c r="J7" s="2">
        <f>TRUNC((_xlfn.NORM.INV((RAND()),$E$5,$E$6)),2)</f>
        <v/>
      </c>
      <c r="K7" s="2">
        <f>TRUNC((_xlfn.NORM.INV((RAND()),$E$5,$E$6)),2)</f>
        <v/>
      </c>
      <c r="L7" s="2">
        <f>TRUNC((_xlfn.NORM.INV((RAND()),$E$5,$E$6)),2)</f>
        <v/>
      </c>
      <c r="M7" s="2">
        <f>TRUNC((_xlfn.NORM.INV((RAND()),$E$5,$E$6)),2)</f>
        <v/>
      </c>
      <c r="N7" s="2">
        <f>TRUNC((_xlfn.NORM.INV((RAND()),$E$5,$E$6)),2)</f>
        <v/>
      </c>
      <c r="O7" s="2">
        <f>TRUNC((_xlfn.NORM.INV((RAND()),$E$5,$E$6)),2)</f>
        <v/>
      </c>
      <c r="P7" s="2">
        <f>TRUNC((_xlfn.NORM.INV((RAND()),$E$5,$E$6)),2)</f>
        <v/>
      </c>
      <c r="Q7" s="2">
        <f>TRUNC((_xlfn.NORM.INV((RAND()),$E$5,$E$6)),2)</f>
        <v/>
      </c>
      <c r="R7" s="2">
        <f>TRUNC((_xlfn.NORM.INV((RAND()),$E$5,$E$6)),2)</f>
        <v/>
      </c>
      <c r="S7" s="2">
        <f>TRUNC((_xlfn.NORM.INV((RAND()),$E$5,$E$6)),2)</f>
        <v/>
      </c>
      <c r="T7" s="2">
        <f>TRUNC((_xlfn.NORM.INV((RAND()),$E$5,$E$6)),2)</f>
        <v/>
      </c>
      <c r="U7" s="2">
        <f>TRUNC((_xlfn.NORM.INV((RAND()),$E$5,$E$6)),2)</f>
        <v/>
      </c>
      <c r="V7" s="2">
        <f>TRUNC((_xlfn.NORM.INV((RAND()),$E$5,$E$6)),2)</f>
        <v/>
      </c>
      <c r="AA7" s="17" t="n">
        <v>3</v>
      </c>
      <c r="AB7" s="3">
        <f>IF(H7&lt;0,0,H7)</f>
        <v/>
      </c>
      <c r="AC7" s="3">
        <f>IF(I7&lt;0,0,I7)</f>
        <v/>
      </c>
      <c r="AD7" s="3">
        <f>IF(J7&lt;0,0,J7)</f>
        <v/>
      </c>
      <c r="AE7" s="3">
        <f>IF(K7&lt;0,0,K7)</f>
        <v/>
      </c>
      <c r="AF7" s="3">
        <f>IF(L7&lt;0,0,L7)</f>
        <v/>
      </c>
      <c r="AG7" s="3">
        <f>IF(M7&lt;0,0,M7)</f>
        <v/>
      </c>
      <c r="AH7" s="3">
        <f>IF(N7&lt;0,0,N7)</f>
        <v/>
      </c>
      <c r="AI7" s="3">
        <f>IF(O7&lt;0,0,O7)</f>
        <v/>
      </c>
      <c r="AJ7" s="3">
        <f>IF(P7&lt;0,0,P7)</f>
        <v/>
      </c>
      <c r="AK7" s="3">
        <f>IF(Q7&lt;0,0,Q7)</f>
        <v/>
      </c>
      <c r="AL7" s="3">
        <f>IF(R7&lt;0,0,R7)</f>
        <v/>
      </c>
      <c r="AM7" s="3">
        <f>IF(S7&lt;0,0,S7)</f>
        <v/>
      </c>
      <c r="AN7" s="3">
        <f>IF(T7&lt;0,0,T7)</f>
        <v/>
      </c>
      <c r="AO7" s="3">
        <f>IF(U7&lt;0,0,U7)</f>
        <v/>
      </c>
      <c r="AP7" s="3">
        <f>IF(V7&lt;0,0,V7)</f>
        <v/>
      </c>
      <c r="AT7" s="17" t="n">
        <v>3</v>
      </c>
      <c r="AU7" s="23" t="n">
        <v>492.88</v>
      </c>
      <c r="AV7" s="23" t="n">
        <v>260.36</v>
      </c>
      <c r="AW7" s="23" t="n">
        <v>232.33</v>
      </c>
      <c r="AX7" s="23" t="n">
        <v>514.3200000000001</v>
      </c>
      <c r="AY7" s="23" t="n">
        <v>271.63</v>
      </c>
      <c r="AZ7" s="23" t="n">
        <v>506.16</v>
      </c>
      <c r="BA7" s="23" t="n">
        <v>393.21</v>
      </c>
      <c r="BB7" s="23" t="n">
        <v>346.58</v>
      </c>
      <c r="BC7" s="23" t="n">
        <v>267.82</v>
      </c>
      <c r="BD7" s="23" t="n">
        <v>272.81</v>
      </c>
      <c r="BE7" s="23" t="n">
        <v>372.8</v>
      </c>
      <c r="BF7" s="23" t="n">
        <v>326.64</v>
      </c>
      <c r="BG7" s="23" t="n">
        <v>338.03</v>
      </c>
      <c r="BH7" s="23" t="n">
        <v>348.46</v>
      </c>
      <c r="BI7" s="23" t="n">
        <v>405.85</v>
      </c>
      <c r="BK7" s="2" t="n">
        <v>338.48</v>
      </c>
      <c r="BL7" s="2" t="n">
        <v>437.06</v>
      </c>
      <c r="BM7" s="2" t="n">
        <v>362.32</v>
      </c>
      <c r="BN7" s="2" t="n">
        <v>289.55</v>
      </c>
      <c r="BO7" s="2" t="n">
        <v>382.33</v>
      </c>
      <c r="BP7" s="2" t="n">
        <v>360.74</v>
      </c>
      <c r="BQ7" s="2" t="n">
        <v>472.64</v>
      </c>
      <c r="BR7" s="2" t="n">
        <v>368.89</v>
      </c>
      <c r="BS7" s="2" t="n">
        <v>340.48</v>
      </c>
      <c r="BT7" s="2" t="n">
        <v>262.16</v>
      </c>
      <c r="BU7" s="2" t="n">
        <v>294.05</v>
      </c>
      <c r="BV7" s="2" t="n">
        <v>342.07</v>
      </c>
      <c r="BW7" s="2" t="n">
        <v>326.48</v>
      </c>
      <c r="BX7" s="2" t="n">
        <v>287.92</v>
      </c>
      <c r="BY7" s="2" t="n">
        <v>496.34</v>
      </c>
    </row>
    <row r="9">
      <c r="AU9" s="2" t="inlineStr">
        <is>
          <t>máximo</t>
        </is>
      </c>
      <c r="AV9" s="2">
        <f>MAX(FactoriesDem)</f>
        <v/>
      </c>
      <c r="AX9" s="2" t="inlineStr">
        <is>
          <t>mínimo</t>
        </is>
      </c>
      <c r="AY9" s="2">
        <f>MIN(FactoriesDem)</f>
        <v/>
      </c>
    </row>
    <row r="10">
      <c r="H10" s="17" t="n">
        <v>16</v>
      </c>
      <c r="I10" s="17" t="n">
        <v>17</v>
      </c>
      <c r="J10" s="17" t="n">
        <v>18</v>
      </c>
      <c r="L10" s="2" t="inlineStr">
        <is>
          <t>Soma</t>
        </is>
      </c>
      <c r="U10" s="22" t="n"/>
      <c r="AB10" s="17" t="n">
        <v>16</v>
      </c>
      <c r="AC10" s="17" t="n">
        <v>17</v>
      </c>
      <c r="AD10" s="17" t="n">
        <v>18</v>
      </c>
      <c r="AU10" s="17" t="n">
        <v>16</v>
      </c>
      <c r="AV10" s="17" t="n">
        <v>17</v>
      </c>
      <c r="AW10" s="17" t="n">
        <v>18</v>
      </c>
    </row>
    <row r="11">
      <c r="A11" s="2">
        <f>MIN(H11:J15)</f>
        <v/>
      </c>
      <c r="B11" s="2">
        <f>MAX(H11:J15)</f>
        <v/>
      </c>
      <c r="C11" s="2" t="inlineStr">
        <is>
          <t>prod/dia</t>
        </is>
      </c>
      <c r="D11" s="2" t="inlineStr">
        <is>
          <t>Avarege</t>
        </is>
      </c>
      <c r="E11" s="2">
        <f>M24/9</f>
        <v/>
      </c>
      <c r="F11" s="2" t="inlineStr">
        <is>
          <t>df</t>
        </is>
      </c>
      <c r="G11" s="17" t="n">
        <v>4</v>
      </c>
      <c r="H11" s="2">
        <f>TRUNC((_xlfn.NORM.INV((RAND()),$E$11,$E$12)),2)</f>
        <v/>
      </c>
      <c r="I11" s="2">
        <f>TRUNC((_xlfn.NORM.INV((RAND()),$E$11,$E$12)),2)</f>
        <v/>
      </c>
      <c r="J11" s="2">
        <f>TRUNC((_xlfn.NORM.INV((RAND()),$E$11,$E$12)),2)</f>
        <v/>
      </c>
      <c r="L11" s="3">
        <f>SUM(H11:J13)</f>
        <v/>
      </c>
      <c r="Z11" s="2" t="inlineStr">
        <is>
          <t>df</t>
        </is>
      </c>
      <c r="AA11" s="17" t="n">
        <v>4</v>
      </c>
      <c r="AB11" s="3">
        <f>IF(H11&lt;0,0,H11)</f>
        <v/>
      </c>
      <c r="AC11" s="3">
        <f>IF(I11&lt;0,0,I11)</f>
        <v/>
      </c>
      <c r="AD11" s="3">
        <f>IF(J11&lt;0,0,J11)</f>
        <v/>
      </c>
      <c r="AS11" s="2" t="inlineStr">
        <is>
          <t>df</t>
        </is>
      </c>
      <c r="AT11" s="17" t="n">
        <v>4</v>
      </c>
      <c r="AU11" s="9" t="n">
        <v>1894.6</v>
      </c>
      <c r="AV11" s="9" t="n">
        <v>1607.87</v>
      </c>
      <c r="AW11" s="9" t="n">
        <v>1829.53</v>
      </c>
    </row>
    <row r="12">
      <c r="D12" s="2" t="inlineStr">
        <is>
          <t>Std Devition</t>
        </is>
      </c>
      <c r="E12" s="2">
        <f>E11*0.2</f>
        <v/>
      </c>
      <c r="G12" s="17" t="n">
        <v>5</v>
      </c>
      <c r="H12" s="2">
        <f>TRUNC((_xlfn.NORM.INV((RAND()),$E$11,$E$12)),2)</f>
        <v/>
      </c>
      <c r="I12" s="2">
        <f>TRUNC((_xlfn.NORM.INV((RAND()),$E$11,$E$12)),2)</f>
        <v/>
      </c>
      <c r="J12" s="2">
        <f>TRUNC((_xlfn.NORM.INV((RAND()),$E$11,$E$12)),2)</f>
        <v/>
      </c>
      <c r="AA12" s="17" t="n">
        <v>5</v>
      </c>
      <c r="AB12" s="3">
        <f>IF(H12&lt;0,0,H12)</f>
        <v/>
      </c>
      <c r="AC12" s="3">
        <f>IF(I12&lt;0,0,I12)</f>
        <v/>
      </c>
      <c r="AD12" s="3">
        <f>IF(J12&lt;0,0,J12)</f>
        <v/>
      </c>
      <c r="AT12" s="17" t="n">
        <v>5</v>
      </c>
      <c r="AU12" s="9" t="n">
        <v>1303.06</v>
      </c>
      <c r="AV12" s="9" t="n">
        <v>1484.38</v>
      </c>
      <c r="AW12" s="9" t="n">
        <v>1783.87</v>
      </c>
    </row>
    <row r="13">
      <c r="G13" s="17" t="n">
        <v>6</v>
      </c>
      <c r="H13" s="2">
        <f>TRUNC((_xlfn.NORM.INV((RAND()),$E$11,$E$12)),2)</f>
        <v/>
      </c>
      <c r="I13" s="2">
        <f>TRUNC((_xlfn.NORM.INV((RAND()),$E$11,$E$12)),2)</f>
        <v/>
      </c>
      <c r="J13" s="2">
        <f>TRUNC((_xlfn.NORM.INV((RAND()),$E$11,$E$12)),2)</f>
        <v/>
      </c>
      <c r="AA13" s="17" t="n">
        <v>6</v>
      </c>
      <c r="AB13" s="3">
        <f>IF(H13&lt;0,0,H13)</f>
        <v/>
      </c>
      <c r="AC13" s="3">
        <f>IF(I13&lt;0,0,I13)</f>
        <v/>
      </c>
      <c r="AD13" s="3">
        <f>IF(J13&lt;0,0,J13)</f>
        <v/>
      </c>
      <c r="AT13" s="17" t="n">
        <v>6</v>
      </c>
      <c r="AU13" s="9" t="n">
        <v>1377.91</v>
      </c>
      <c r="AV13" s="9" t="n">
        <v>1520.56</v>
      </c>
      <c r="AW13" s="9" t="n">
        <v>1301.6</v>
      </c>
    </row>
    <row r="14">
      <c r="AT14" s="17" t="n"/>
    </row>
    <row r="15">
      <c r="AT15" s="17" t="n"/>
    </row>
    <row r="17">
      <c r="AU17" s="2" t="inlineStr">
        <is>
          <t>máximo</t>
        </is>
      </c>
      <c r="AV17" s="2">
        <f>MAX(DistributorsDem)</f>
        <v/>
      </c>
      <c r="AX17" s="2" t="inlineStr">
        <is>
          <t>mínimo</t>
        </is>
      </c>
      <c r="AY17" s="2">
        <f>MIN(DistributorsDem)</f>
        <v/>
      </c>
    </row>
    <row r="18">
      <c r="H18" s="17" t="n">
        <v>19</v>
      </c>
      <c r="I18" s="17" t="n">
        <v>20</v>
      </c>
      <c r="J18" s="17" t="n">
        <v>21</v>
      </c>
      <c r="L18" s="2" t="inlineStr">
        <is>
          <t>Soma</t>
        </is>
      </c>
      <c r="AB18" s="17" t="n">
        <v>19</v>
      </c>
      <c r="AC18" s="17" t="n">
        <v>20</v>
      </c>
      <c r="AD18" s="17" t="n">
        <v>21</v>
      </c>
      <c r="AU18" s="17" t="n">
        <v>19</v>
      </c>
      <c r="AV18" s="17" t="n">
        <v>20</v>
      </c>
      <c r="AW18" s="17" t="n">
        <v>21</v>
      </c>
    </row>
    <row r="19">
      <c r="A19" s="2">
        <f>MIN(H19:J20)</f>
        <v/>
      </c>
      <c r="B19" s="2">
        <f>MAX(H19:J20)</f>
        <v/>
      </c>
      <c r="C19" s="2" t="inlineStr">
        <is>
          <t>prod/dia</t>
        </is>
      </c>
      <c r="D19" s="2" t="inlineStr">
        <is>
          <t>Avarege</t>
        </is>
      </c>
      <c r="E19" s="2">
        <f>M24/6</f>
        <v/>
      </c>
      <c r="F19" s="2" t="inlineStr">
        <is>
          <t>dd</t>
        </is>
      </c>
      <c r="G19" s="17" t="n">
        <v>7</v>
      </c>
      <c r="H19" s="2">
        <f>TRUNC((_xlfn.NORM.INV((RAND()),$E$19,$E$20)),2)</f>
        <v/>
      </c>
      <c r="I19" s="2">
        <f>TRUNC((_xlfn.NORM.INV((RAND()),$E$19,$E$20)),2)</f>
        <v/>
      </c>
      <c r="J19" s="2">
        <f>TRUNC((_xlfn.NORM.INV((RAND()),$E$19,$E$20)),2)</f>
        <v/>
      </c>
      <c r="L19" s="3">
        <f>SUM(H19:J20)</f>
        <v/>
      </c>
      <c r="Z19" s="2" t="inlineStr">
        <is>
          <t>dd</t>
        </is>
      </c>
      <c r="AA19" s="17" t="n">
        <v>7</v>
      </c>
      <c r="AB19" s="3">
        <f>IF(H19&lt;0,0,H19)</f>
        <v/>
      </c>
      <c r="AC19" s="3">
        <f>IF(I19&lt;0,0,I19)</f>
        <v/>
      </c>
      <c r="AD19" s="3">
        <f>IF(J19&lt;0,0,J19)</f>
        <v/>
      </c>
      <c r="AS19" s="2" t="inlineStr">
        <is>
          <t>dd</t>
        </is>
      </c>
      <c r="AT19" s="17" t="n">
        <v>7</v>
      </c>
      <c r="AU19" s="9" t="n">
        <v>3023.48</v>
      </c>
      <c r="AV19" s="9" t="n">
        <v>2834</v>
      </c>
      <c r="AW19" s="9" t="n">
        <v>1344.56</v>
      </c>
    </row>
    <row r="20">
      <c r="D20" s="2" t="inlineStr">
        <is>
          <t>Std Devition</t>
        </is>
      </c>
      <c r="E20" s="2">
        <f>E19*0.2</f>
        <v/>
      </c>
      <c r="G20" s="17" t="n">
        <v>8</v>
      </c>
      <c r="H20" s="2">
        <f>TRUNC((_xlfn.NORM.INV((RAND()),$E$19,$E$20)),2)</f>
        <v/>
      </c>
      <c r="I20" s="2">
        <f>TRUNC((_xlfn.NORM.INV((RAND()),$E$19,$E$20)),2)</f>
        <v/>
      </c>
      <c r="J20" s="2">
        <f>TRUNC((_xlfn.NORM.INV((RAND()),$E$19,$E$20)),2)</f>
        <v/>
      </c>
      <c r="AA20" s="17" t="n">
        <v>8</v>
      </c>
      <c r="AB20" s="3">
        <f>IF(H20&lt;0,0,H20)</f>
        <v/>
      </c>
      <c r="AC20" s="3">
        <f>IF(I20&lt;0,0,I20)</f>
        <v/>
      </c>
      <c r="AD20" s="3">
        <f>IF(J20&lt;0,0,J20)</f>
        <v/>
      </c>
      <c r="AT20" s="17" t="n">
        <v>8</v>
      </c>
      <c r="AU20" s="9" t="n">
        <v>2552.14</v>
      </c>
      <c r="AV20" s="9" t="n">
        <v>3550.35</v>
      </c>
      <c r="AW20" s="9" t="n">
        <v>2159.77</v>
      </c>
    </row>
    <row r="22">
      <c r="AU22" s="2" t="inlineStr">
        <is>
          <t>máximo</t>
        </is>
      </c>
      <c r="AV22" s="2">
        <f>MAX(RetailersDem)</f>
        <v/>
      </c>
      <c r="AX22" s="2" t="inlineStr">
        <is>
          <t>mínimo</t>
        </is>
      </c>
      <c r="AY22" s="2">
        <f>MIN(RetailersDem)</f>
        <v/>
      </c>
    </row>
    <row r="23">
      <c r="H23" s="17" t="n">
        <v>22</v>
      </c>
      <c r="I23" s="17" t="n">
        <v>23</v>
      </c>
      <c r="J23" s="17" t="n">
        <v>24</v>
      </c>
      <c r="L23" s="2" t="inlineStr">
        <is>
          <t>Soma</t>
        </is>
      </c>
      <c r="U23" s="22" t="n"/>
      <c r="AB23" s="17" t="n">
        <v>22</v>
      </c>
      <c r="AC23" s="17" t="n">
        <v>23</v>
      </c>
      <c r="AD23" s="17" t="n">
        <v>24</v>
      </c>
      <c r="AU23" s="17" t="n">
        <v>22</v>
      </c>
      <c r="AV23" s="17" t="n">
        <v>23</v>
      </c>
      <c r="AW23" s="17" t="n">
        <v>24</v>
      </c>
    </row>
    <row r="24">
      <c r="A24" s="2">
        <f>MIN(H24:J213)</f>
        <v/>
      </c>
      <c r="B24" s="2">
        <f>MAX(H24:J213)</f>
        <v/>
      </c>
      <c r="C24" s="2" t="inlineStr">
        <is>
          <t>prod/dia</t>
        </is>
      </c>
      <c r="D24" s="2" t="inlineStr">
        <is>
          <t>Avarege</t>
        </is>
      </c>
      <c r="E24" s="2">
        <f>(M24/570)</f>
        <v/>
      </c>
      <c r="F24" s="2" t="inlineStr">
        <is>
          <t>dr</t>
        </is>
      </c>
      <c r="G24" s="17" t="n">
        <v>9</v>
      </c>
      <c r="H24" s="2">
        <f>TRUNC((_xlfn.NORM.INV((RAND()),$E$24,$E$25)),2)</f>
        <v/>
      </c>
      <c r="I24" s="2">
        <f>TRUNC((_xlfn.NORM.INV((RAND()),$E$24,$E$25)),2)</f>
        <v/>
      </c>
      <c r="J24" s="2">
        <f>TRUNC((_xlfn.NORM.INV((RAND()),$E$24,$E$25)),2)</f>
        <v/>
      </c>
      <c r="L24" s="3">
        <f>SUM(H24:J213)</f>
        <v/>
      </c>
      <c r="M24" s="20">
        <f>TRUNC(N24/365)</f>
        <v/>
      </c>
      <c r="N24" s="20" t="n">
        <v>5500000</v>
      </c>
      <c r="Z24" s="2" t="inlineStr">
        <is>
          <t>dr</t>
        </is>
      </c>
      <c r="AA24" s="17" t="n">
        <v>9</v>
      </c>
      <c r="AB24" s="3">
        <f>IF(H24&lt;0,0,H24)</f>
        <v/>
      </c>
      <c r="AC24" s="3">
        <f>IF(I24&lt;0,0,I24)</f>
        <v/>
      </c>
      <c r="AD24" s="3">
        <f>IF(J24&lt;0,0,J24)</f>
        <v/>
      </c>
      <c r="AS24" s="2" t="inlineStr">
        <is>
          <t>dr</t>
        </is>
      </c>
      <c r="AT24" s="17" t="n">
        <v>9</v>
      </c>
      <c r="AU24" s="9" t="n">
        <v>29.02</v>
      </c>
      <c r="AV24" s="9" t="n">
        <v>33.29</v>
      </c>
      <c r="AW24" s="9" t="n">
        <v>22.61</v>
      </c>
    </row>
    <row r="25">
      <c r="D25" s="2" t="inlineStr">
        <is>
          <t>Std Devition</t>
        </is>
      </c>
      <c r="E25" s="2">
        <f>E24*0.2</f>
        <v/>
      </c>
      <c r="G25" s="17" t="n">
        <v>10</v>
      </c>
      <c r="H25" s="2">
        <f>TRUNC((_xlfn.NORM.INV((RAND()),$E$24,$E$25)),2)</f>
        <v/>
      </c>
      <c r="I25" s="2">
        <f>TRUNC((_xlfn.NORM.INV((RAND()),$E$24,$E$25)),2)</f>
        <v/>
      </c>
      <c r="J25" s="2">
        <f>TRUNC((_xlfn.NORM.INV((RAND()),$E$24,$E$25)),2)</f>
        <v/>
      </c>
      <c r="AA25" s="17" t="n">
        <v>10</v>
      </c>
      <c r="AB25" s="3">
        <f>IF(H25&lt;0,0,H25)</f>
        <v/>
      </c>
      <c r="AC25" s="3">
        <f>IF(I25&lt;0,0,I25)</f>
        <v/>
      </c>
      <c r="AD25" s="3">
        <f>IF(J25&lt;0,0,J25)</f>
        <v/>
      </c>
      <c r="AT25" s="17" t="n">
        <v>10</v>
      </c>
      <c r="AU25" s="9" t="n">
        <v>24.59</v>
      </c>
      <c r="AV25" s="9" t="n">
        <v>22.04</v>
      </c>
      <c r="AW25" s="9" t="n">
        <v>30.58</v>
      </c>
    </row>
    <row r="26">
      <c r="G26" s="17" t="n">
        <v>11</v>
      </c>
      <c r="H26" s="2">
        <f>TRUNC((_xlfn.NORM.INV((RAND()),$E$24,$E$25)),2)</f>
        <v/>
      </c>
      <c r="I26" s="2">
        <f>TRUNC((_xlfn.NORM.INV((RAND()),$E$24,$E$25)),2)</f>
        <v/>
      </c>
      <c r="J26" s="2">
        <f>TRUNC((_xlfn.NORM.INV((RAND()),$E$24,$E$25)),2)</f>
        <v/>
      </c>
      <c r="AA26" s="17" t="n">
        <v>11</v>
      </c>
      <c r="AB26" s="3">
        <f>IF(H26&lt;0,0,H26)</f>
        <v/>
      </c>
      <c r="AC26" s="3">
        <f>IF(I26&lt;0,0,I26)</f>
        <v/>
      </c>
      <c r="AD26" s="3">
        <f>IF(J26&lt;0,0,J26)</f>
        <v/>
      </c>
      <c r="AT26" s="17" t="n">
        <v>11</v>
      </c>
      <c r="AU26" s="9" t="n">
        <v>19.89</v>
      </c>
      <c r="AV26" s="9" t="n">
        <v>21.46</v>
      </c>
      <c r="AW26" s="9" t="n">
        <v>28.67</v>
      </c>
    </row>
    <row r="27">
      <c r="G27" s="17" t="n">
        <v>12</v>
      </c>
      <c r="H27" s="2">
        <f>TRUNC((_xlfn.NORM.INV((RAND()),$E$24,$E$25)),2)</f>
        <v/>
      </c>
      <c r="I27" s="2">
        <f>TRUNC((_xlfn.NORM.INV((RAND()),$E$24,$E$25)),2)</f>
        <v/>
      </c>
      <c r="J27" s="2">
        <f>TRUNC((_xlfn.NORM.INV((RAND()),$E$24,$E$25)),2)</f>
        <v/>
      </c>
      <c r="AA27" s="17" t="n">
        <v>12</v>
      </c>
      <c r="AB27" s="3">
        <f>IF(H27&lt;0,0,H27)</f>
        <v/>
      </c>
      <c r="AC27" s="3">
        <f>IF(I27&lt;0,0,I27)</f>
        <v/>
      </c>
      <c r="AD27" s="3">
        <f>IF(J27&lt;0,0,J27)</f>
        <v/>
      </c>
      <c r="AT27" s="17" t="n">
        <v>12</v>
      </c>
      <c r="AU27" s="9" t="n">
        <v>30.66</v>
      </c>
      <c r="AV27" s="9" t="n">
        <v>29</v>
      </c>
      <c r="AW27" s="9" t="n">
        <v>33.54</v>
      </c>
    </row>
    <row r="28">
      <c r="G28" s="17" t="n">
        <v>13</v>
      </c>
      <c r="H28" s="2">
        <f>TRUNC((_xlfn.NORM.INV((RAND()),$E$24,$E$25)),2)</f>
        <v/>
      </c>
      <c r="I28" s="2">
        <f>TRUNC((_xlfn.NORM.INV((RAND()),$E$24,$E$25)),2)</f>
        <v/>
      </c>
      <c r="J28" s="2">
        <f>TRUNC((_xlfn.NORM.INV((RAND()),$E$24,$E$25)),2)</f>
        <v/>
      </c>
      <c r="AA28" s="17" t="n">
        <v>13</v>
      </c>
      <c r="AB28" s="3">
        <f>IF(H28&lt;0,0,H28)</f>
        <v/>
      </c>
      <c r="AC28" s="3">
        <f>IF(I28&lt;0,0,I28)</f>
        <v/>
      </c>
      <c r="AD28" s="3">
        <f>IF(J28&lt;0,0,J28)</f>
        <v/>
      </c>
      <c r="AT28" s="17" t="n">
        <v>13</v>
      </c>
      <c r="AU28" s="9" t="n">
        <v>28.98</v>
      </c>
      <c r="AV28" s="9" t="n">
        <v>28.2</v>
      </c>
      <c r="AW28" s="9" t="n">
        <v>28.9</v>
      </c>
    </row>
    <row r="29">
      <c r="G29" s="17" t="n">
        <v>14</v>
      </c>
      <c r="H29" s="2">
        <f>TRUNC((_xlfn.NORM.INV((RAND()),$E$24,$E$25)),2)</f>
        <v/>
      </c>
      <c r="I29" s="2">
        <f>TRUNC((_xlfn.NORM.INV((RAND()),$E$24,$E$25)),2)</f>
        <v/>
      </c>
      <c r="J29" s="2">
        <f>TRUNC((_xlfn.NORM.INV((RAND()),$E$24,$E$25)),2)</f>
        <v/>
      </c>
      <c r="AA29" s="17" t="n">
        <v>14</v>
      </c>
      <c r="AB29" s="3">
        <f>IF(H29&lt;0,0,H29)</f>
        <v/>
      </c>
      <c r="AC29" s="3">
        <f>IF(I29&lt;0,0,I29)</f>
        <v/>
      </c>
      <c r="AD29" s="3">
        <f>IF(J29&lt;0,0,J29)</f>
        <v/>
      </c>
      <c r="AT29" s="17" t="n">
        <v>14</v>
      </c>
      <c r="AU29" s="9" t="n">
        <v>28.47</v>
      </c>
      <c r="AV29" s="9" t="n">
        <v>28.79</v>
      </c>
      <c r="AW29" s="9" t="n">
        <v>17.89</v>
      </c>
    </row>
    <row r="30">
      <c r="G30" s="17" t="n">
        <v>15</v>
      </c>
      <c r="H30" s="2">
        <f>TRUNC((_xlfn.NORM.INV((RAND()),$E$24,$E$25)),2)</f>
        <v/>
      </c>
      <c r="I30" s="2">
        <f>TRUNC((_xlfn.NORM.INV((RAND()),$E$24,$E$25)),2)</f>
        <v/>
      </c>
      <c r="J30" s="2">
        <f>TRUNC((_xlfn.NORM.INV((RAND()),$E$24,$E$25)),2)</f>
        <v/>
      </c>
      <c r="AA30" s="17" t="n">
        <v>15</v>
      </c>
      <c r="AB30" s="3">
        <f>IF(H30&lt;0,0,H30)</f>
        <v/>
      </c>
      <c r="AC30" s="3">
        <f>IF(I30&lt;0,0,I30)</f>
        <v/>
      </c>
      <c r="AD30" s="3">
        <f>IF(J30&lt;0,0,J30)</f>
        <v/>
      </c>
      <c r="AT30" s="17" t="n">
        <v>15</v>
      </c>
      <c r="AU30" s="9" t="n">
        <v>28.37</v>
      </c>
      <c r="AV30" s="9" t="n">
        <v>26.62</v>
      </c>
      <c r="AW30" s="9" t="n">
        <v>25.87</v>
      </c>
    </row>
    <row r="31">
      <c r="G31" s="17" t="n">
        <v>16</v>
      </c>
      <c r="H31" s="2">
        <f>TRUNC((_xlfn.NORM.INV((RAND()),$E$24,$E$25)),2)</f>
        <v/>
      </c>
      <c r="I31" s="2">
        <f>TRUNC((_xlfn.NORM.INV((RAND()),$E$24,$E$25)),2)</f>
        <v/>
      </c>
      <c r="J31" s="2">
        <f>TRUNC((_xlfn.NORM.INV((RAND()),$E$24,$E$25)),2)</f>
        <v/>
      </c>
      <c r="AA31" s="17" t="n">
        <v>16</v>
      </c>
      <c r="AB31" s="3">
        <f>IF(H31&lt;0,0,H31)</f>
        <v/>
      </c>
      <c r="AC31" s="3">
        <f>IF(I31&lt;0,0,I31)</f>
        <v/>
      </c>
      <c r="AD31" s="3">
        <f>IF(J31&lt;0,0,J31)</f>
        <v/>
      </c>
      <c r="AT31" s="17" t="n">
        <v>16</v>
      </c>
      <c r="AU31" s="9" t="n">
        <v>18.59</v>
      </c>
      <c r="AV31" s="9" t="n">
        <v>26.92</v>
      </c>
      <c r="AW31" s="9" t="n">
        <v>39.39</v>
      </c>
    </row>
    <row r="32">
      <c r="G32" s="17" t="n">
        <v>17</v>
      </c>
      <c r="H32" s="2">
        <f>TRUNC((_xlfn.NORM.INV((RAND()),$E$24,$E$25)),2)</f>
        <v/>
      </c>
      <c r="I32" s="2">
        <f>TRUNC((_xlfn.NORM.INV((RAND()),$E$24,$E$25)),2)</f>
        <v/>
      </c>
      <c r="J32" s="2">
        <f>TRUNC((_xlfn.NORM.INV((RAND()),$E$24,$E$25)),2)</f>
        <v/>
      </c>
      <c r="AA32" s="17" t="n">
        <v>17</v>
      </c>
      <c r="AB32" s="3">
        <f>IF(H32&lt;0,0,H32)</f>
        <v/>
      </c>
      <c r="AC32" s="3">
        <f>IF(I32&lt;0,0,I32)</f>
        <v/>
      </c>
      <c r="AD32" s="3">
        <f>IF(J32&lt;0,0,J32)</f>
        <v/>
      </c>
      <c r="AT32" s="17" t="n">
        <v>17</v>
      </c>
      <c r="AU32" s="9" t="n">
        <v>20.38</v>
      </c>
      <c r="AV32" s="9" t="n">
        <v>21.01</v>
      </c>
      <c r="AW32" s="9" t="n">
        <v>31.36</v>
      </c>
    </row>
    <row r="33">
      <c r="G33" s="17" t="n">
        <v>18</v>
      </c>
      <c r="H33" s="2">
        <f>TRUNC((_xlfn.NORM.INV((RAND()),$E$24,$E$25)),2)</f>
        <v/>
      </c>
      <c r="I33" s="2">
        <f>TRUNC((_xlfn.NORM.INV((RAND()),$E$24,$E$25)),2)</f>
        <v/>
      </c>
      <c r="J33" s="2">
        <f>TRUNC((_xlfn.NORM.INV((RAND()),$E$24,$E$25)),2)</f>
        <v/>
      </c>
      <c r="AA33" s="17" t="n">
        <v>18</v>
      </c>
      <c r="AB33" s="3">
        <f>IF(H33&lt;0,0,H33)</f>
        <v/>
      </c>
      <c r="AC33" s="3">
        <f>IF(I33&lt;0,0,I33)</f>
        <v/>
      </c>
      <c r="AD33" s="3">
        <f>IF(J33&lt;0,0,J33)</f>
        <v/>
      </c>
      <c r="AT33" s="17" t="n">
        <v>18</v>
      </c>
      <c r="AU33" s="9" t="n">
        <v>24.96</v>
      </c>
      <c r="AV33" s="9" t="n">
        <v>25.72</v>
      </c>
      <c r="AW33" s="9" t="n">
        <v>10.03</v>
      </c>
    </row>
    <row r="34">
      <c r="G34" s="17" t="n">
        <v>19</v>
      </c>
      <c r="H34" s="2">
        <f>TRUNC((_xlfn.NORM.INV((RAND()),$E$24,$E$25)),2)</f>
        <v/>
      </c>
      <c r="I34" s="2">
        <f>TRUNC((_xlfn.NORM.INV((RAND()),$E$24,$E$25)),2)</f>
        <v/>
      </c>
      <c r="J34" s="2">
        <f>TRUNC((_xlfn.NORM.INV((RAND()),$E$24,$E$25)),2)</f>
        <v/>
      </c>
      <c r="AA34" s="17" t="n">
        <v>19</v>
      </c>
      <c r="AB34" s="3">
        <f>IF(H34&lt;0,0,H34)</f>
        <v/>
      </c>
      <c r="AC34" s="3">
        <f>IF(I34&lt;0,0,I34)</f>
        <v/>
      </c>
      <c r="AD34" s="3">
        <f>IF(J34&lt;0,0,J34)</f>
        <v/>
      </c>
      <c r="AT34" s="17" t="n">
        <v>19</v>
      </c>
      <c r="AU34" s="9" t="n">
        <v>30.41</v>
      </c>
      <c r="AV34" s="9" t="n">
        <v>27.79</v>
      </c>
      <c r="AW34" s="9" t="n">
        <v>36.61</v>
      </c>
    </row>
    <row r="35">
      <c r="G35" s="17" t="n">
        <v>20</v>
      </c>
      <c r="H35" s="2">
        <f>TRUNC((_xlfn.NORM.INV((RAND()),$E$24,$E$25)),2)</f>
        <v/>
      </c>
      <c r="I35" s="2">
        <f>TRUNC((_xlfn.NORM.INV((RAND()),$E$24,$E$25)),2)</f>
        <v/>
      </c>
      <c r="J35" s="2">
        <f>TRUNC((_xlfn.NORM.INV((RAND()),$E$24,$E$25)),2)</f>
        <v/>
      </c>
      <c r="AA35" s="17" t="n">
        <v>20</v>
      </c>
      <c r="AB35" s="3">
        <f>IF(H35&lt;0,0,H35)</f>
        <v/>
      </c>
      <c r="AC35" s="3">
        <f>IF(I35&lt;0,0,I35)</f>
        <v/>
      </c>
      <c r="AD35" s="3">
        <f>IF(J35&lt;0,0,J35)</f>
        <v/>
      </c>
      <c r="AT35" s="17" t="n">
        <v>20</v>
      </c>
      <c r="AU35" s="9" t="n">
        <v>24.68</v>
      </c>
      <c r="AV35" s="9" t="n">
        <v>13.47</v>
      </c>
      <c r="AW35" s="9" t="n">
        <v>25.93</v>
      </c>
    </row>
    <row r="36">
      <c r="G36" s="17" t="n">
        <v>21</v>
      </c>
      <c r="H36" s="2">
        <f>TRUNC((_xlfn.NORM.INV((RAND()),$E$24,$E$25)),2)</f>
        <v/>
      </c>
      <c r="I36" s="2">
        <f>TRUNC((_xlfn.NORM.INV((RAND()),$E$24,$E$25)),2)</f>
        <v/>
      </c>
      <c r="J36" s="2">
        <f>TRUNC((_xlfn.NORM.INV((RAND()),$E$24,$E$25)),2)</f>
        <v/>
      </c>
      <c r="AA36" s="17" t="n">
        <v>21</v>
      </c>
      <c r="AB36" s="3">
        <f>IF(H36&lt;0,0,H36)</f>
        <v/>
      </c>
      <c r="AC36" s="3">
        <f>IF(I36&lt;0,0,I36)</f>
        <v/>
      </c>
      <c r="AD36" s="3">
        <f>IF(J36&lt;0,0,J36)</f>
        <v/>
      </c>
      <c r="AT36" s="17" t="n">
        <v>21</v>
      </c>
      <c r="AU36" s="9" t="n">
        <v>25.48</v>
      </c>
      <c r="AV36" s="9" t="n">
        <v>20.12</v>
      </c>
      <c r="AW36" s="9" t="n">
        <v>25.5</v>
      </c>
    </row>
    <row r="37">
      <c r="G37" s="17" t="n">
        <v>22</v>
      </c>
      <c r="H37" s="2">
        <f>TRUNC((_xlfn.NORM.INV((RAND()),$E$24,$E$25)),2)</f>
        <v/>
      </c>
      <c r="I37" s="2">
        <f>TRUNC((_xlfn.NORM.INV((RAND()),$E$24,$E$25)),2)</f>
        <v/>
      </c>
      <c r="J37" s="2">
        <f>TRUNC((_xlfn.NORM.INV((RAND()),$E$24,$E$25)),2)</f>
        <v/>
      </c>
      <c r="AA37" s="17" t="n">
        <v>22</v>
      </c>
      <c r="AB37" s="3">
        <f>IF(H37&lt;0,0,H37)</f>
        <v/>
      </c>
      <c r="AC37" s="3">
        <f>IF(I37&lt;0,0,I37)</f>
        <v/>
      </c>
      <c r="AD37" s="3">
        <f>IF(J37&lt;0,0,J37)</f>
        <v/>
      </c>
      <c r="AT37" s="17" t="n">
        <v>22</v>
      </c>
      <c r="AU37" s="9" t="n">
        <v>35.44</v>
      </c>
      <c r="AV37" s="9" t="n">
        <v>19.51</v>
      </c>
      <c r="AW37" s="9" t="n">
        <v>34.99</v>
      </c>
    </row>
    <row r="38">
      <c r="G38" s="17" t="n">
        <v>23</v>
      </c>
      <c r="H38" s="2">
        <f>TRUNC((_xlfn.NORM.INV((RAND()),$E$24,$E$25)),2)</f>
        <v/>
      </c>
      <c r="I38" s="2">
        <f>TRUNC((_xlfn.NORM.INV((RAND()),$E$24,$E$25)),2)</f>
        <v/>
      </c>
      <c r="J38" s="2">
        <f>TRUNC((_xlfn.NORM.INV((RAND()),$E$24,$E$25)),2)</f>
        <v/>
      </c>
      <c r="AA38" s="17" t="n">
        <v>23</v>
      </c>
      <c r="AB38" s="3">
        <f>IF(H38&lt;0,0,H38)</f>
        <v/>
      </c>
      <c r="AC38" s="3">
        <f>IF(I38&lt;0,0,I38)</f>
        <v/>
      </c>
      <c r="AD38" s="3">
        <f>IF(J38&lt;0,0,J38)</f>
        <v/>
      </c>
      <c r="AT38" s="17" t="n">
        <v>23</v>
      </c>
      <c r="AU38" s="9" t="n">
        <v>18.97</v>
      </c>
      <c r="AV38" s="9" t="n">
        <v>31.48</v>
      </c>
      <c r="AW38" s="9" t="n">
        <v>25.65</v>
      </c>
    </row>
    <row r="39">
      <c r="G39" s="17" t="n">
        <v>24</v>
      </c>
      <c r="H39" s="2">
        <f>TRUNC((_xlfn.NORM.INV((RAND()),$E$24,$E$25)),2)</f>
        <v/>
      </c>
      <c r="I39" s="2">
        <f>TRUNC((_xlfn.NORM.INV((RAND()),$E$24,$E$25)),2)</f>
        <v/>
      </c>
      <c r="J39" s="2">
        <f>TRUNC((_xlfn.NORM.INV((RAND()),$E$24,$E$25)),2)</f>
        <v/>
      </c>
      <c r="AA39" s="17" t="n">
        <v>24</v>
      </c>
      <c r="AB39" s="3">
        <f>IF(H39&lt;0,0,H39)</f>
        <v/>
      </c>
      <c r="AC39" s="3">
        <f>IF(I39&lt;0,0,I39)</f>
        <v/>
      </c>
      <c r="AD39" s="3">
        <f>IF(J39&lt;0,0,J39)</f>
        <v/>
      </c>
      <c r="AT39" s="17" t="n">
        <v>24</v>
      </c>
      <c r="AU39" s="9" t="n">
        <v>19.04</v>
      </c>
      <c r="AV39" s="9" t="n">
        <v>31.84</v>
      </c>
      <c r="AW39" s="9" t="n">
        <v>28.45</v>
      </c>
    </row>
    <row r="40">
      <c r="G40" s="17" t="n">
        <v>25</v>
      </c>
      <c r="H40" s="2">
        <f>TRUNC((_xlfn.NORM.INV((RAND()),$E$24,$E$25)),2)</f>
        <v/>
      </c>
      <c r="I40" s="2">
        <f>TRUNC((_xlfn.NORM.INV((RAND()),$E$24,$E$25)),2)</f>
        <v/>
      </c>
      <c r="J40" s="2">
        <f>TRUNC((_xlfn.NORM.INV((RAND()),$E$24,$E$25)),2)</f>
        <v/>
      </c>
      <c r="AA40" s="17" t="n">
        <v>25</v>
      </c>
      <c r="AB40" s="3">
        <f>IF(H40&lt;0,0,H40)</f>
        <v/>
      </c>
      <c r="AC40" s="3">
        <f>IF(I40&lt;0,0,I40)</f>
        <v/>
      </c>
      <c r="AD40" s="3">
        <f>IF(J40&lt;0,0,J40)</f>
        <v/>
      </c>
      <c r="AT40" s="17" t="n">
        <v>25</v>
      </c>
      <c r="AU40" s="9" t="n">
        <v>23.52</v>
      </c>
      <c r="AV40" s="9" t="n">
        <v>23.45</v>
      </c>
      <c r="AW40" s="9" t="n">
        <v>28.41</v>
      </c>
    </row>
    <row r="41">
      <c r="G41" s="17" t="n">
        <v>26</v>
      </c>
      <c r="H41" s="2">
        <f>TRUNC((_xlfn.NORM.INV((RAND()),$E$24,$E$25)),2)</f>
        <v/>
      </c>
      <c r="I41" s="2">
        <f>TRUNC((_xlfn.NORM.INV((RAND()),$E$24,$E$25)),2)</f>
        <v/>
      </c>
      <c r="J41" s="2">
        <f>TRUNC((_xlfn.NORM.INV((RAND()),$E$24,$E$25)),2)</f>
        <v/>
      </c>
      <c r="AA41" s="17" t="n">
        <v>26</v>
      </c>
      <c r="AB41" s="3">
        <f>IF(H41&lt;0,0,H41)</f>
        <v/>
      </c>
      <c r="AC41" s="3">
        <f>IF(I41&lt;0,0,I41)</f>
        <v/>
      </c>
      <c r="AD41" s="3">
        <f>IF(J41&lt;0,0,J41)</f>
        <v/>
      </c>
      <c r="AT41" s="17" t="n">
        <v>26</v>
      </c>
      <c r="AU41" s="9" t="n">
        <v>21.36</v>
      </c>
      <c r="AV41" s="9" t="n">
        <v>35.63</v>
      </c>
      <c r="AW41" s="9" t="n">
        <v>30.31</v>
      </c>
    </row>
    <row r="42">
      <c r="G42" s="17" t="n">
        <v>27</v>
      </c>
      <c r="H42" s="2">
        <f>TRUNC((_xlfn.NORM.INV((RAND()),$E$24,$E$25)),2)</f>
        <v/>
      </c>
      <c r="I42" s="2">
        <f>TRUNC((_xlfn.NORM.INV((RAND()),$E$24,$E$25)),2)</f>
        <v/>
      </c>
      <c r="J42" s="2">
        <f>TRUNC((_xlfn.NORM.INV((RAND()),$E$24,$E$25)),2)</f>
        <v/>
      </c>
      <c r="AA42" s="17" t="n">
        <v>27</v>
      </c>
      <c r="AB42" s="3">
        <f>IF(H42&lt;0,0,H42)</f>
        <v/>
      </c>
      <c r="AC42" s="3">
        <f>IF(I42&lt;0,0,I42)</f>
        <v/>
      </c>
      <c r="AD42" s="3">
        <f>IF(J42&lt;0,0,J42)</f>
        <v/>
      </c>
      <c r="AT42" s="17" t="n">
        <v>27</v>
      </c>
      <c r="AU42" s="9" t="n">
        <v>37.55</v>
      </c>
      <c r="AV42" s="9" t="n">
        <v>22.32</v>
      </c>
      <c r="AW42" s="9" t="n">
        <v>31.37</v>
      </c>
    </row>
    <row r="43">
      <c r="G43" s="17" t="n">
        <v>28</v>
      </c>
      <c r="H43" s="2">
        <f>TRUNC((_xlfn.NORM.INV((RAND()),$E$24,$E$25)),2)</f>
        <v/>
      </c>
      <c r="I43" s="2">
        <f>TRUNC((_xlfn.NORM.INV((RAND()),$E$24,$E$25)),2)</f>
        <v/>
      </c>
      <c r="J43" s="2">
        <f>TRUNC((_xlfn.NORM.INV((RAND()),$E$24,$E$25)),2)</f>
        <v/>
      </c>
      <c r="AA43" s="17" t="n">
        <v>28</v>
      </c>
      <c r="AB43" s="3">
        <f>IF(H43&lt;0,0,H43)</f>
        <v/>
      </c>
      <c r="AC43" s="3">
        <f>IF(I43&lt;0,0,I43)</f>
        <v/>
      </c>
      <c r="AD43" s="3">
        <f>IF(J43&lt;0,0,J43)</f>
        <v/>
      </c>
      <c r="AT43" s="17" t="n">
        <v>28</v>
      </c>
      <c r="AU43" s="9" t="n">
        <v>33.09</v>
      </c>
      <c r="AV43" s="9" t="n">
        <v>34.92</v>
      </c>
      <c r="AW43" s="9" t="n">
        <v>28.8</v>
      </c>
    </row>
    <row r="44">
      <c r="G44" s="17" t="n">
        <v>29</v>
      </c>
      <c r="H44" s="2">
        <f>TRUNC((_xlfn.NORM.INV((RAND()),$E$24,$E$25)),2)</f>
        <v/>
      </c>
      <c r="I44" s="2">
        <f>TRUNC((_xlfn.NORM.INV((RAND()),$E$24,$E$25)),2)</f>
        <v/>
      </c>
      <c r="J44" s="2">
        <f>TRUNC((_xlfn.NORM.INV((RAND()),$E$24,$E$25)),2)</f>
        <v/>
      </c>
      <c r="AA44" s="17" t="n">
        <v>29</v>
      </c>
      <c r="AB44" s="3">
        <f>IF(H44&lt;0,0,H44)</f>
        <v/>
      </c>
      <c r="AC44" s="3">
        <f>IF(I44&lt;0,0,I44)</f>
        <v/>
      </c>
      <c r="AD44" s="3">
        <f>IF(J44&lt;0,0,J44)</f>
        <v/>
      </c>
      <c r="AT44" s="17" t="n">
        <v>29</v>
      </c>
      <c r="AU44" s="9" t="n">
        <v>28.77</v>
      </c>
      <c r="AV44" s="9" t="n">
        <v>31.01</v>
      </c>
      <c r="AW44" s="9" t="n">
        <v>28.39</v>
      </c>
    </row>
    <row r="45">
      <c r="G45" s="17" t="n">
        <v>30</v>
      </c>
      <c r="H45" s="2">
        <f>TRUNC((_xlfn.NORM.INV((RAND()),$E$24,$E$25)),2)</f>
        <v/>
      </c>
      <c r="I45" s="2">
        <f>TRUNC((_xlfn.NORM.INV((RAND()),$E$24,$E$25)),2)</f>
        <v/>
      </c>
      <c r="J45" s="2">
        <f>TRUNC((_xlfn.NORM.INV((RAND()),$E$24,$E$25)),2)</f>
        <v/>
      </c>
      <c r="AA45" s="17" t="n">
        <v>30</v>
      </c>
      <c r="AB45" s="3">
        <f>IF(H45&lt;0,0,H45)</f>
        <v/>
      </c>
      <c r="AC45" s="3">
        <f>IF(I45&lt;0,0,I45)</f>
        <v/>
      </c>
      <c r="AD45" s="3">
        <f>IF(J45&lt;0,0,J45)</f>
        <v/>
      </c>
      <c r="AT45" s="17" t="n">
        <v>30</v>
      </c>
      <c r="AU45" s="9" t="n">
        <v>25.93</v>
      </c>
      <c r="AV45" s="9" t="n">
        <v>23.95</v>
      </c>
      <c r="AW45" s="9" t="n">
        <v>34.79</v>
      </c>
    </row>
    <row r="46">
      <c r="G46" s="17" t="n">
        <v>31</v>
      </c>
      <c r="H46" s="2">
        <f>TRUNC((_xlfn.NORM.INV((RAND()),$E$24,$E$25)),2)</f>
        <v/>
      </c>
      <c r="I46" s="2">
        <f>TRUNC((_xlfn.NORM.INV((RAND()),$E$24,$E$25)),2)</f>
        <v/>
      </c>
      <c r="J46" s="2">
        <f>TRUNC((_xlfn.NORM.INV((RAND()),$E$24,$E$25)),2)</f>
        <v/>
      </c>
      <c r="AA46" s="17" t="n">
        <v>31</v>
      </c>
      <c r="AB46" s="3">
        <f>IF(H46&lt;0,0,H46)</f>
        <v/>
      </c>
      <c r="AC46" s="3">
        <f>IF(I46&lt;0,0,I46)</f>
        <v/>
      </c>
      <c r="AD46" s="3">
        <f>IF(J46&lt;0,0,J46)</f>
        <v/>
      </c>
      <c r="AT46" s="17" t="n">
        <v>31</v>
      </c>
      <c r="AU46" s="9" t="n">
        <v>31.37</v>
      </c>
      <c r="AV46" s="9" t="n">
        <v>13.3</v>
      </c>
      <c r="AW46" s="9" t="n">
        <v>32.09</v>
      </c>
    </row>
    <row r="47">
      <c r="G47" s="17" t="n">
        <v>32</v>
      </c>
      <c r="H47" s="2">
        <f>TRUNC((_xlfn.NORM.INV((RAND()),$E$24,$E$25)),2)</f>
        <v/>
      </c>
      <c r="I47" s="2">
        <f>TRUNC((_xlfn.NORM.INV((RAND()),$E$24,$E$25)),2)</f>
        <v/>
      </c>
      <c r="J47" s="2">
        <f>TRUNC((_xlfn.NORM.INV((RAND()),$E$24,$E$25)),2)</f>
        <v/>
      </c>
      <c r="AA47" s="17" t="n">
        <v>32</v>
      </c>
      <c r="AB47" s="3">
        <f>IF(H47&lt;0,0,H47)</f>
        <v/>
      </c>
      <c r="AC47" s="3">
        <f>IF(I47&lt;0,0,I47)</f>
        <v/>
      </c>
      <c r="AD47" s="3">
        <f>IF(J47&lt;0,0,J47)</f>
        <v/>
      </c>
      <c r="AT47" s="17" t="n">
        <v>32</v>
      </c>
      <c r="AU47" s="9" t="n">
        <v>26.5</v>
      </c>
      <c r="AV47" s="9" t="n">
        <v>30.68</v>
      </c>
      <c r="AW47" s="9" t="n">
        <v>27.57</v>
      </c>
    </row>
    <row r="48">
      <c r="G48" s="17" t="n">
        <v>33</v>
      </c>
      <c r="H48" s="2">
        <f>TRUNC((_xlfn.NORM.INV((RAND()),$E$24,$E$25)),2)</f>
        <v/>
      </c>
      <c r="I48" s="2">
        <f>TRUNC((_xlfn.NORM.INV((RAND()),$E$24,$E$25)),2)</f>
        <v/>
      </c>
      <c r="J48" s="2">
        <f>TRUNC((_xlfn.NORM.INV((RAND()),$E$24,$E$25)),2)</f>
        <v/>
      </c>
      <c r="AA48" s="17" t="n">
        <v>33</v>
      </c>
      <c r="AB48" s="3">
        <f>IF(H48&lt;0,0,H48)</f>
        <v/>
      </c>
      <c r="AC48" s="3">
        <f>IF(I48&lt;0,0,I48)</f>
        <v/>
      </c>
      <c r="AD48" s="3">
        <f>IF(J48&lt;0,0,J48)</f>
        <v/>
      </c>
      <c r="AT48" s="17" t="n">
        <v>33</v>
      </c>
      <c r="AU48" s="9" t="n">
        <v>19.27</v>
      </c>
      <c r="AV48" s="9" t="n">
        <v>32.46</v>
      </c>
      <c r="AW48" s="9" t="n">
        <v>24.49</v>
      </c>
    </row>
    <row r="49">
      <c r="G49" s="17" t="n">
        <v>34</v>
      </c>
      <c r="H49" s="2">
        <f>TRUNC((_xlfn.NORM.INV((RAND()),$E$24,$E$25)),2)</f>
        <v/>
      </c>
      <c r="I49" s="2">
        <f>TRUNC((_xlfn.NORM.INV((RAND()),$E$24,$E$25)),2)</f>
        <v/>
      </c>
      <c r="J49" s="2">
        <f>TRUNC((_xlfn.NORM.INV((RAND()),$E$24,$E$25)),2)</f>
        <v/>
      </c>
      <c r="AA49" s="17" t="n">
        <v>34</v>
      </c>
      <c r="AB49" s="3">
        <f>IF(H49&lt;0,0,H49)</f>
        <v/>
      </c>
      <c r="AC49" s="3">
        <f>IF(I49&lt;0,0,I49)</f>
        <v/>
      </c>
      <c r="AD49" s="3">
        <f>IF(J49&lt;0,0,J49)</f>
        <v/>
      </c>
      <c r="AT49" s="17" t="n">
        <v>34</v>
      </c>
      <c r="AU49" s="9" t="n">
        <v>28.45</v>
      </c>
      <c r="AV49" s="9" t="n">
        <v>15.42</v>
      </c>
      <c r="AW49" s="9" t="n">
        <v>30.07</v>
      </c>
    </row>
    <row r="50">
      <c r="G50" s="17" t="n">
        <v>35</v>
      </c>
      <c r="H50" s="2">
        <f>TRUNC((_xlfn.NORM.INV((RAND()),$E$24,$E$25)),2)</f>
        <v/>
      </c>
      <c r="I50" s="2">
        <f>TRUNC((_xlfn.NORM.INV((RAND()),$E$24,$E$25)),2)</f>
        <v/>
      </c>
      <c r="J50" s="2">
        <f>TRUNC((_xlfn.NORM.INV((RAND()),$E$24,$E$25)),2)</f>
        <v/>
      </c>
      <c r="AA50" s="17" t="n">
        <v>35</v>
      </c>
      <c r="AB50" s="3">
        <f>IF(H50&lt;0,0,H50)</f>
        <v/>
      </c>
      <c r="AC50" s="3">
        <f>IF(I50&lt;0,0,I50)</f>
        <v/>
      </c>
      <c r="AD50" s="3">
        <f>IF(J50&lt;0,0,J50)</f>
        <v/>
      </c>
      <c r="AT50" s="17" t="n">
        <v>35</v>
      </c>
      <c r="AU50" s="9" t="n">
        <v>22.24</v>
      </c>
      <c r="AV50" s="9" t="n">
        <v>27.31</v>
      </c>
      <c r="AW50" s="9" t="n">
        <v>24.08</v>
      </c>
    </row>
    <row r="51">
      <c r="G51" s="17" t="n">
        <v>36</v>
      </c>
      <c r="H51" s="2">
        <f>TRUNC((_xlfn.NORM.INV((RAND()),$E$24,$E$25)),2)</f>
        <v/>
      </c>
      <c r="I51" s="2">
        <f>TRUNC((_xlfn.NORM.INV((RAND()),$E$24,$E$25)),2)</f>
        <v/>
      </c>
      <c r="J51" s="2">
        <f>TRUNC((_xlfn.NORM.INV((RAND()),$E$24,$E$25)),2)</f>
        <v/>
      </c>
      <c r="AA51" s="17" t="n">
        <v>36</v>
      </c>
      <c r="AB51" s="3">
        <f>IF(H51&lt;0,0,H51)</f>
        <v/>
      </c>
      <c r="AC51" s="3">
        <f>IF(I51&lt;0,0,I51)</f>
        <v/>
      </c>
      <c r="AD51" s="3">
        <f>IF(J51&lt;0,0,J51)</f>
        <v/>
      </c>
      <c r="AT51" s="17" t="n">
        <v>36</v>
      </c>
      <c r="AU51" s="9" t="n">
        <v>30.59</v>
      </c>
      <c r="AV51" s="9" t="n">
        <v>27.8</v>
      </c>
      <c r="AW51" s="9" t="n">
        <v>26.29</v>
      </c>
    </row>
    <row r="52">
      <c r="G52" s="17" t="n">
        <v>37</v>
      </c>
      <c r="H52" s="2">
        <f>TRUNC((_xlfn.NORM.INV((RAND()),$E$24,$E$25)),2)</f>
        <v/>
      </c>
      <c r="I52" s="2">
        <f>TRUNC((_xlfn.NORM.INV((RAND()),$E$24,$E$25)),2)</f>
        <v/>
      </c>
      <c r="J52" s="2">
        <f>TRUNC((_xlfn.NORM.INV((RAND()),$E$24,$E$25)),2)</f>
        <v/>
      </c>
      <c r="AA52" s="17" t="n">
        <v>37</v>
      </c>
      <c r="AB52" s="3">
        <f>IF(H52&lt;0,0,H52)</f>
        <v/>
      </c>
      <c r="AC52" s="3">
        <f>IF(I52&lt;0,0,I52)</f>
        <v/>
      </c>
      <c r="AD52" s="3">
        <f>IF(J52&lt;0,0,J52)</f>
        <v/>
      </c>
      <c r="AT52" s="17" t="n">
        <v>37</v>
      </c>
      <c r="AU52" s="9" t="n">
        <v>20.7</v>
      </c>
      <c r="AV52" s="9" t="n">
        <v>21.85</v>
      </c>
      <c r="AW52" s="9" t="n">
        <v>20.17</v>
      </c>
    </row>
    <row r="53">
      <c r="G53" s="17" t="n">
        <v>38</v>
      </c>
      <c r="H53" s="2">
        <f>TRUNC((_xlfn.NORM.INV((RAND()),$E$24,$E$25)),2)</f>
        <v/>
      </c>
      <c r="I53" s="2">
        <f>TRUNC((_xlfn.NORM.INV((RAND()),$E$24,$E$25)),2)</f>
        <v/>
      </c>
      <c r="J53" s="2">
        <f>TRUNC((_xlfn.NORM.INV((RAND()),$E$24,$E$25)),2)</f>
        <v/>
      </c>
      <c r="AA53" s="17" t="n">
        <v>38</v>
      </c>
      <c r="AB53" s="3">
        <f>IF(H53&lt;0,0,H53)</f>
        <v/>
      </c>
      <c r="AC53" s="3">
        <f>IF(I53&lt;0,0,I53)</f>
        <v/>
      </c>
      <c r="AD53" s="3">
        <f>IF(J53&lt;0,0,J53)</f>
        <v/>
      </c>
      <c r="AT53" s="17" t="n">
        <v>38</v>
      </c>
      <c r="AU53" s="9" t="n">
        <v>28.84</v>
      </c>
      <c r="AV53" s="9" t="n">
        <v>35.42</v>
      </c>
      <c r="AW53" s="9" t="n">
        <v>28.15</v>
      </c>
    </row>
    <row r="54">
      <c r="G54" s="17" t="n">
        <v>39</v>
      </c>
      <c r="H54" s="2">
        <f>TRUNC((_xlfn.NORM.INV((RAND()),$E$24,$E$25)),2)</f>
        <v/>
      </c>
      <c r="I54" s="2">
        <f>TRUNC((_xlfn.NORM.INV((RAND()),$E$24,$E$25)),2)</f>
        <v/>
      </c>
      <c r="J54" s="2">
        <f>TRUNC((_xlfn.NORM.INV((RAND()),$E$24,$E$25)),2)</f>
        <v/>
      </c>
      <c r="AA54" s="17" t="n">
        <v>39</v>
      </c>
      <c r="AB54" s="3">
        <f>IF(H54&lt;0,0,H54)</f>
        <v/>
      </c>
      <c r="AC54" s="3">
        <f>IF(I54&lt;0,0,I54)</f>
        <v/>
      </c>
      <c r="AD54" s="3">
        <f>IF(J54&lt;0,0,J54)</f>
        <v/>
      </c>
      <c r="AT54" s="17" t="n">
        <v>39</v>
      </c>
      <c r="AU54" s="9" t="n">
        <v>31.18</v>
      </c>
      <c r="AV54" s="9" t="n">
        <v>25.91</v>
      </c>
      <c r="AW54" s="9" t="n">
        <v>28.49</v>
      </c>
    </row>
    <row r="55">
      <c r="G55" s="17" t="n">
        <v>40</v>
      </c>
      <c r="H55" s="2">
        <f>TRUNC((_xlfn.NORM.INV((RAND()),$E$24,$E$25)),2)</f>
        <v/>
      </c>
      <c r="I55" s="2">
        <f>TRUNC((_xlfn.NORM.INV((RAND()),$E$24,$E$25)),2)</f>
        <v/>
      </c>
      <c r="J55" s="2">
        <f>TRUNC((_xlfn.NORM.INV((RAND()),$E$24,$E$25)),2)</f>
        <v/>
      </c>
      <c r="AA55" s="17" t="n">
        <v>40</v>
      </c>
      <c r="AB55" s="3">
        <f>IF(H55&lt;0,0,H55)</f>
        <v/>
      </c>
      <c r="AC55" s="3">
        <f>IF(I55&lt;0,0,I55)</f>
        <v/>
      </c>
      <c r="AD55" s="3">
        <f>IF(J55&lt;0,0,J55)</f>
        <v/>
      </c>
      <c r="AT55" s="17" t="n">
        <v>40</v>
      </c>
      <c r="AU55" s="9" t="n">
        <v>31.87</v>
      </c>
      <c r="AV55" s="9" t="n">
        <v>24.05</v>
      </c>
      <c r="AW55" s="9" t="n">
        <v>28.08</v>
      </c>
    </row>
    <row r="56">
      <c r="G56" s="17" t="n">
        <v>41</v>
      </c>
      <c r="H56" s="2">
        <f>TRUNC((_xlfn.NORM.INV((RAND()),$E$24,$E$25)),2)</f>
        <v/>
      </c>
      <c r="I56" s="2">
        <f>TRUNC((_xlfn.NORM.INV((RAND()),$E$24,$E$25)),2)</f>
        <v/>
      </c>
      <c r="J56" s="2">
        <f>TRUNC((_xlfn.NORM.INV((RAND()),$E$24,$E$25)),2)</f>
        <v/>
      </c>
      <c r="AA56" s="17" t="n">
        <v>41</v>
      </c>
      <c r="AB56" s="3">
        <f>IF(H56&lt;0,0,H56)</f>
        <v/>
      </c>
      <c r="AC56" s="3">
        <f>IF(I56&lt;0,0,I56)</f>
        <v/>
      </c>
      <c r="AD56" s="3">
        <f>IF(J56&lt;0,0,J56)</f>
        <v/>
      </c>
      <c r="AT56" s="17" t="n">
        <v>41</v>
      </c>
      <c r="AU56" s="9" t="n">
        <v>18.11</v>
      </c>
      <c r="AV56" s="9" t="n">
        <v>25.66</v>
      </c>
      <c r="AW56" s="9" t="n">
        <v>23.66</v>
      </c>
    </row>
    <row r="57">
      <c r="G57" s="17" t="n">
        <v>42</v>
      </c>
      <c r="H57" s="2">
        <f>TRUNC((_xlfn.NORM.INV((RAND()),$E$24,$E$25)),2)</f>
        <v/>
      </c>
      <c r="I57" s="2">
        <f>TRUNC((_xlfn.NORM.INV((RAND()),$E$24,$E$25)),2)</f>
        <v/>
      </c>
      <c r="J57" s="2">
        <f>TRUNC((_xlfn.NORM.INV((RAND()),$E$24,$E$25)),2)</f>
        <v/>
      </c>
      <c r="AA57" s="17" t="n">
        <v>42</v>
      </c>
      <c r="AB57" s="3">
        <f>IF(H57&lt;0,0,H57)</f>
        <v/>
      </c>
      <c r="AC57" s="3">
        <f>IF(I57&lt;0,0,I57)</f>
        <v/>
      </c>
      <c r="AD57" s="3">
        <f>IF(J57&lt;0,0,J57)</f>
        <v/>
      </c>
      <c r="AT57" s="17" t="n">
        <v>42</v>
      </c>
      <c r="AU57" s="9" t="n">
        <v>23.76</v>
      </c>
      <c r="AV57" s="9" t="n">
        <v>28.87</v>
      </c>
      <c r="AW57" s="9" t="n">
        <v>23</v>
      </c>
    </row>
    <row r="58">
      <c r="G58" s="17" t="n">
        <v>43</v>
      </c>
      <c r="H58" s="2">
        <f>TRUNC((_xlfn.NORM.INV((RAND()),$E$24,$E$25)),2)</f>
        <v/>
      </c>
      <c r="I58" s="2">
        <f>TRUNC((_xlfn.NORM.INV((RAND()),$E$24,$E$25)),2)</f>
        <v/>
      </c>
      <c r="J58" s="2">
        <f>TRUNC((_xlfn.NORM.INV((RAND()),$E$24,$E$25)),2)</f>
        <v/>
      </c>
      <c r="AA58" s="17" t="n">
        <v>43</v>
      </c>
      <c r="AB58" s="3">
        <f>IF(H58&lt;0,0,H58)</f>
        <v/>
      </c>
      <c r="AC58" s="3">
        <f>IF(I58&lt;0,0,I58)</f>
        <v/>
      </c>
      <c r="AD58" s="3">
        <f>IF(J58&lt;0,0,J58)</f>
        <v/>
      </c>
      <c r="AT58" s="17" t="n">
        <v>43</v>
      </c>
      <c r="AU58" s="9" t="n">
        <v>26.04</v>
      </c>
      <c r="AV58" s="9" t="n">
        <v>23.26</v>
      </c>
      <c r="AW58" s="9" t="n">
        <v>26.7</v>
      </c>
    </row>
    <row r="59">
      <c r="G59" s="17" t="n">
        <v>44</v>
      </c>
      <c r="H59" s="2">
        <f>TRUNC((_xlfn.NORM.INV((RAND()),$E$24,$E$25)),2)</f>
        <v/>
      </c>
      <c r="I59" s="2">
        <f>TRUNC((_xlfn.NORM.INV((RAND()),$E$24,$E$25)),2)</f>
        <v/>
      </c>
      <c r="J59" s="2">
        <f>TRUNC((_xlfn.NORM.INV((RAND()),$E$24,$E$25)),2)</f>
        <v/>
      </c>
      <c r="AA59" s="17" t="n">
        <v>44</v>
      </c>
      <c r="AB59" s="3">
        <f>IF(H59&lt;0,0,H59)</f>
        <v/>
      </c>
      <c r="AC59" s="3">
        <f>IF(I59&lt;0,0,I59)</f>
        <v/>
      </c>
      <c r="AD59" s="3">
        <f>IF(J59&lt;0,0,J59)</f>
        <v/>
      </c>
      <c r="AT59" s="17" t="n">
        <v>44</v>
      </c>
      <c r="AU59" s="9" t="n">
        <v>29.65</v>
      </c>
      <c r="AV59" s="9" t="n">
        <v>19.3</v>
      </c>
      <c r="AW59" s="9" t="n">
        <v>26.33</v>
      </c>
    </row>
    <row r="60">
      <c r="G60" s="17" t="n">
        <v>45</v>
      </c>
      <c r="H60" s="2">
        <f>TRUNC((_xlfn.NORM.INV((RAND()),$E$24,$E$25)),2)</f>
        <v/>
      </c>
      <c r="I60" s="2">
        <f>TRUNC((_xlfn.NORM.INV((RAND()),$E$24,$E$25)),2)</f>
        <v/>
      </c>
      <c r="J60" s="2">
        <f>TRUNC((_xlfn.NORM.INV((RAND()),$E$24,$E$25)),2)</f>
        <v/>
      </c>
      <c r="AA60" s="17" t="n">
        <v>45</v>
      </c>
      <c r="AB60" s="3">
        <f>IF(H60&lt;0,0,H60)</f>
        <v/>
      </c>
      <c r="AC60" s="3">
        <f>IF(I60&lt;0,0,I60)</f>
        <v/>
      </c>
      <c r="AD60" s="3">
        <f>IF(J60&lt;0,0,J60)</f>
        <v/>
      </c>
      <c r="AT60" s="17" t="n">
        <v>45</v>
      </c>
      <c r="AU60" s="9" t="n">
        <v>36.42</v>
      </c>
      <c r="AV60" s="9" t="n">
        <v>24.41</v>
      </c>
      <c r="AW60" s="9" t="n">
        <v>27.04</v>
      </c>
    </row>
    <row r="61">
      <c r="G61" s="17" t="n">
        <v>46</v>
      </c>
      <c r="H61" s="2">
        <f>TRUNC((_xlfn.NORM.INV((RAND()),$E$24,$E$25)),2)</f>
        <v/>
      </c>
      <c r="I61" s="2">
        <f>TRUNC((_xlfn.NORM.INV((RAND()),$E$24,$E$25)),2)</f>
        <v/>
      </c>
      <c r="J61" s="2">
        <f>TRUNC((_xlfn.NORM.INV((RAND()),$E$24,$E$25)),2)</f>
        <v/>
      </c>
      <c r="AA61" s="17" t="n">
        <v>46</v>
      </c>
      <c r="AB61" s="3">
        <f>IF(H61&lt;0,0,H61)</f>
        <v/>
      </c>
      <c r="AC61" s="3">
        <f>IF(I61&lt;0,0,I61)</f>
        <v/>
      </c>
      <c r="AD61" s="3">
        <f>IF(J61&lt;0,0,J61)</f>
        <v/>
      </c>
      <c r="AT61" s="17" t="n">
        <v>46</v>
      </c>
      <c r="AU61" s="9" t="n">
        <v>26.62</v>
      </c>
      <c r="AV61" s="9" t="n">
        <v>27.92</v>
      </c>
      <c r="AW61" s="9" t="n">
        <v>32.67</v>
      </c>
    </row>
    <row r="62">
      <c r="G62" s="17" t="n">
        <v>47</v>
      </c>
      <c r="H62" s="2">
        <f>TRUNC((_xlfn.NORM.INV((RAND()),$E$24,$E$25)),2)</f>
        <v/>
      </c>
      <c r="I62" s="2">
        <f>TRUNC((_xlfn.NORM.INV((RAND()),$E$24,$E$25)),2)</f>
        <v/>
      </c>
      <c r="J62" s="2">
        <f>TRUNC((_xlfn.NORM.INV((RAND()),$E$24,$E$25)),2)</f>
        <v/>
      </c>
      <c r="AA62" s="17" t="n">
        <v>47</v>
      </c>
      <c r="AB62" s="3">
        <f>IF(H62&lt;0,0,H62)</f>
        <v/>
      </c>
      <c r="AC62" s="3">
        <f>IF(I62&lt;0,0,I62)</f>
        <v/>
      </c>
      <c r="AD62" s="3">
        <f>IF(J62&lt;0,0,J62)</f>
        <v/>
      </c>
      <c r="AT62" s="17" t="n">
        <v>47</v>
      </c>
      <c r="AU62" s="9" t="n">
        <v>21.42</v>
      </c>
      <c r="AV62" s="9" t="n">
        <v>27.13</v>
      </c>
      <c r="AW62" s="9" t="n">
        <v>19.87</v>
      </c>
    </row>
    <row r="63">
      <c r="G63" s="17" t="n">
        <v>48</v>
      </c>
      <c r="H63" s="2">
        <f>TRUNC((_xlfn.NORM.INV((RAND()),$E$24,$E$25)),2)</f>
        <v/>
      </c>
      <c r="I63" s="2">
        <f>TRUNC((_xlfn.NORM.INV((RAND()),$E$24,$E$25)),2)</f>
        <v/>
      </c>
      <c r="J63" s="2">
        <f>TRUNC((_xlfn.NORM.INV((RAND()),$E$24,$E$25)),2)</f>
        <v/>
      </c>
      <c r="AA63" s="17" t="n">
        <v>48</v>
      </c>
      <c r="AB63" s="3">
        <f>IF(H63&lt;0,0,H63)</f>
        <v/>
      </c>
      <c r="AC63" s="3">
        <f>IF(I63&lt;0,0,I63)</f>
        <v/>
      </c>
      <c r="AD63" s="3">
        <f>IF(J63&lt;0,0,J63)</f>
        <v/>
      </c>
      <c r="AT63" s="17" t="n">
        <v>48</v>
      </c>
      <c r="AU63" s="9" t="n">
        <v>26.56</v>
      </c>
      <c r="AV63" s="9" t="n">
        <v>30.12</v>
      </c>
      <c r="AW63" s="9" t="n">
        <v>25.08</v>
      </c>
    </row>
    <row r="64">
      <c r="G64" s="17" t="n">
        <v>49</v>
      </c>
      <c r="H64" s="2">
        <f>TRUNC((_xlfn.NORM.INV((RAND()),$E$24,$E$25)),2)</f>
        <v/>
      </c>
      <c r="I64" s="2">
        <f>TRUNC((_xlfn.NORM.INV((RAND()),$E$24,$E$25)),2)</f>
        <v/>
      </c>
      <c r="J64" s="2">
        <f>TRUNC((_xlfn.NORM.INV((RAND()),$E$24,$E$25)),2)</f>
        <v/>
      </c>
      <c r="AA64" s="17" t="n">
        <v>49</v>
      </c>
      <c r="AB64" s="3">
        <f>IF(H64&lt;0,0,H64)</f>
        <v/>
      </c>
      <c r="AC64" s="3">
        <f>IF(I64&lt;0,0,I64)</f>
        <v/>
      </c>
      <c r="AD64" s="3">
        <f>IF(J64&lt;0,0,J64)</f>
        <v/>
      </c>
      <c r="AT64" s="17" t="n">
        <v>49</v>
      </c>
      <c r="AU64" s="9" t="n">
        <v>29.87</v>
      </c>
      <c r="AV64" s="9" t="n">
        <v>30.22</v>
      </c>
      <c r="AW64" s="9" t="n">
        <v>28.52</v>
      </c>
    </row>
    <row r="65">
      <c r="G65" s="17" t="n">
        <v>50</v>
      </c>
      <c r="H65" s="2">
        <f>TRUNC((_xlfn.NORM.INV((RAND()),$E$24,$E$25)),2)</f>
        <v/>
      </c>
      <c r="I65" s="2">
        <f>TRUNC((_xlfn.NORM.INV((RAND()),$E$24,$E$25)),2)</f>
        <v/>
      </c>
      <c r="J65" s="2">
        <f>TRUNC((_xlfn.NORM.INV((RAND()),$E$24,$E$25)),2)</f>
        <v/>
      </c>
      <c r="AA65" s="17" t="n">
        <v>50</v>
      </c>
      <c r="AB65" s="3">
        <f>IF(H65&lt;0,0,H65)</f>
        <v/>
      </c>
      <c r="AC65" s="3">
        <f>IF(I65&lt;0,0,I65)</f>
        <v/>
      </c>
      <c r="AD65" s="3">
        <f>IF(J65&lt;0,0,J65)</f>
        <v/>
      </c>
      <c r="AT65" s="17" t="n">
        <v>50</v>
      </c>
      <c r="AU65" s="9" t="n">
        <v>25.76</v>
      </c>
      <c r="AV65" s="9" t="n">
        <v>27.06</v>
      </c>
      <c r="AW65" s="9" t="n">
        <v>23.62</v>
      </c>
    </row>
    <row r="66">
      <c r="G66" s="17" t="n">
        <v>51</v>
      </c>
      <c r="H66" s="2">
        <f>TRUNC((_xlfn.NORM.INV((RAND()),$E$24,$E$25)),2)</f>
        <v/>
      </c>
      <c r="I66" s="2">
        <f>TRUNC((_xlfn.NORM.INV((RAND()),$E$24,$E$25)),2)</f>
        <v/>
      </c>
      <c r="J66" s="2">
        <f>TRUNC((_xlfn.NORM.INV((RAND()),$E$24,$E$25)),2)</f>
        <v/>
      </c>
      <c r="AA66" s="17" t="n">
        <v>51</v>
      </c>
      <c r="AB66" s="3">
        <f>IF(H66&lt;0,0,H66)</f>
        <v/>
      </c>
      <c r="AC66" s="3">
        <f>IF(I66&lt;0,0,I66)</f>
        <v/>
      </c>
      <c r="AD66" s="3">
        <f>IF(J66&lt;0,0,J66)</f>
        <v/>
      </c>
      <c r="AT66" s="17" t="n">
        <v>51</v>
      </c>
      <c r="AU66" s="9" t="n">
        <v>20.45</v>
      </c>
      <c r="AV66" s="9" t="n">
        <v>36.11</v>
      </c>
      <c r="AW66" s="9" t="n">
        <v>30.29</v>
      </c>
    </row>
    <row r="67">
      <c r="G67" s="17" t="n">
        <v>52</v>
      </c>
      <c r="H67" s="2">
        <f>TRUNC((_xlfn.NORM.INV((RAND()),$E$24,$E$25)),2)</f>
        <v/>
      </c>
      <c r="I67" s="2">
        <f>TRUNC((_xlfn.NORM.INV((RAND()),$E$24,$E$25)),2)</f>
        <v/>
      </c>
      <c r="J67" s="2">
        <f>TRUNC((_xlfn.NORM.INV((RAND()),$E$24,$E$25)),2)</f>
        <v/>
      </c>
      <c r="AA67" s="17" t="n">
        <v>52</v>
      </c>
      <c r="AB67" s="3">
        <f>IF(H67&lt;0,0,H67)</f>
        <v/>
      </c>
      <c r="AC67" s="3">
        <f>IF(I67&lt;0,0,I67)</f>
        <v/>
      </c>
      <c r="AD67" s="3">
        <f>IF(J67&lt;0,0,J67)</f>
        <v/>
      </c>
      <c r="AT67" s="17" t="n">
        <v>52</v>
      </c>
      <c r="AU67" s="9" t="n">
        <v>23.45</v>
      </c>
      <c r="AV67" s="9" t="n">
        <v>27.59</v>
      </c>
      <c r="AW67" s="9" t="n">
        <v>24.7</v>
      </c>
    </row>
    <row r="68">
      <c r="G68" s="17" t="n">
        <v>53</v>
      </c>
      <c r="H68" s="2">
        <f>TRUNC((_xlfn.NORM.INV((RAND()),$E$24,$E$25)),2)</f>
        <v/>
      </c>
      <c r="I68" s="2">
        <f>TRUNC((_xlfn.NORM.INV((RAND()),$E$24,$E$25)),2)</f>
        <v/>
      </c>
      <c r="J68" s="2">
        <f>TRUNC((_xlfn.NORM.INV((RAND()),$E$24,$E$25)),2)</f>
        <v/>
      </c>
      <c r="AA68" s="17" t="n">
        <v>53</v>
      </c>
      <c r="AB68" s="3">
        <f>IF(H68&lt;0,0,H68)</f>
        <v/>
      </c>
      <c r="AC68" s="3">
        <f>IF(I68&lt;0,0,I68)</f>
        <v/>
      </c>
      <c r="AD68" s="3">
        <f>IF(J68&lt;0,0,J68)</f>
        <v/>
      </c>
      <c r="AT68" s="17" t="n">
        <v>53</v>
      </c>
      <c r="AU68" s="9" t="n">
        <v>26.13</v>
      </c>
      <c r="AV68" s="9" t="n">
        <v>23.48</v>
      </c>
      <c r="AW68" s="9" t="n">
        <v>31.4</v>
      </c>
    </row>
    <row r="69">
      <c r="G69" s="17" t="n">
        <v>54</v>
      </c>
      <c r="H69" s="2">
        <f>TRUNC((_xlfn.NORM.INV((RAND()),$E$24,$E$25)),2)</f>
        <v/>
      </c>
      <c r="I69" s="2">
        <f>TRUNC((_xlfn.NORM.INV((RAND()),$E$24,$E$25)),2)</f>
        <v/>
      </c>
      <c r="J69" s="2">
        <f>TRUNC((_xlfn.NORM.INV((RAND()),$E$24,$E$25)),2)</f>
        <v/>
      </c>
      <c r="AA69" s="17" t="n">
        <v>54</v>
      </c>
      <c r="AB69" s="3">
        <f>IF(H69&lt;0,0,H69)</f>
        <v/>
      </c>
      <c r="AC69" s="3">
        <f>IF(I69&lt;0,0,I69)</f>
        <v/>
      </c>
      <c r="AD69" s="3">
        <f>IF(J69&lt;0,0,J69)</f>
        <v/>
      </c>
      <c r="AT69" s="17" t="n">
        <v>54</v>
      </c>
      <c r="AU69" s="9" t="n">
        <v>14.14</v>
      </c>
      <c r="AV69" s="9" t="n">
        <v>39.28</v>
      </c>
      <c r="AW69" s="9" t="n">
        <v>21.44</v>
      </c>
    </row>
    <row r="70">
      <c r="G70" s="17" t="n">
        <v>55</v>
      </c>
      <c r="H70" s="2">
        <f>TRUNC((_xlfn.NORM.INV((RAND()),$E$24,$E$25)),2)</f>
        <v/>
      </c>
      <c r="I70" s="2">
        <f>TRUNC((_xlfn.NORM.INV((RAND()),$E$24,$E$25)),2)</f>
        <v/>
      </c>
      <c r="J70" s="2">
        <f>TRUNC((_xlfn.NORM.INV((RAND()),$E$24,$E$25)),2)</f>
        <v/>
      </c>
      <c r="AA70" s="17" t="n">
        <v>55</v>
      </c>
      <c r="AB70" s="3">
        <f>IF(H70&lt;0,0,H70)</f>
        <v/>
      </c>
      <c r="AC70" s="3">
        <f>IF(I70&lt;0,0,I70)</f>
        <v/>
      </c>
      <c r="AD70" s="3">
        <f>IF(J70&lt;0,0,J70)</f>
        <v/>
      </c>
      <c r="AT70" s="17" t="n">
        <v>55</v>
      </c>
      <c r="AU70" s="9" t="n">
        <v>31.7</v>
      </c>
      <c r="AV70" s="9" t="n">
        <v>23.81</v>
      </c>
      <c r="AW70" s="9" t="n">
        <v>28.64</v>
      </c>
    </row>
    <row r="71">
      <c r="G71" s="17" t="n">
        <v>56</v>
      </c>
      <c r="H71" s="2">
        <f>TRUNC((_xlfn.NORM.INV((RAND()),$E$24,$E$25)),2)</f>
        <v/>
      </c>
      <c r="I71" s="2">
        <f>TRUNC((_xlfn.NORM.INV((RAND()),$E$24,$E$25)),2)</f>
        <v/>
      </c>
      <c r="J71" s="2">
        <f>TRUNC((_xlfn.NORM.INV((RAND()),$E$24,$E$25)),2)</f>
        <v/>
      </c>
      <c r="AA71" s="17" t="n">
        <v>56</v>
      </c>
      <c r="AB71" s="3">
        <f>IF(H71&lt;0,0,H71)</f>
        <v/>
      </c>
      <c r="AC71" s="3">
        <f>IF(I71&lt;0,0,I71)</f>
        <v/>
      </c>
      <c r="AD71" s="3">
        <f>IF(J71&lt;0,0,J71)</f>
        <v/>
      </c>
      <c r="AT71" s="17" t="n">
        <v>56</v>
      </c>
      <c r="AU71" s="9" t="n">
        <v>27.91</v>
      </c>
      <c r="AV71" s="9" t="n">
        <v>31.01</v>
      </c>
      <c r="AW71" s="9" t="n">
        <v>14.62</v>
      </c>
    </row>
    <row r="72">
      <c r="G72" s="17" t="n">
        <v>57</v>
      </c>
      <c r="H72" s="2">
        <f>TRUNC((_xlfn.NORM.INV((RAND()),$E$24,$E$25)),2)</f>
        <v/>
      </c>
      <c r="I72" s="2">
        <f>TRUNC((_xlfn.NORM.INV((RAND()),$E$24,$E$25)),2)</f>
        <v/>
      </c>
      <c r="J72" s="2">
        <f>TRUNC((_xlfn.NORM.INV((RAND()),$E$24,$E$25)),2)</f>
        <v/>
      </c>
      <c r="AA72" s="17" t="n">
        <v>57</v>
      </c>
      <c r="AB72" s="3">
        <f>IF(H72&lt;0,0,H72)</f>
        <v/>
      </c>
      <c r="AC72" s="3">
        <f>IF(I72&lt;0,0,I72)</f>
        <v/>
      </c>
      <c r="AD72" s="3">
        <f>IF(J72&lt;0,0,J72)</f>
        <v/>
      </c>
      <c r="AT72" s="17" t="n">
        <v>57</v>
      </c>
      <c r="AU72" s="9" t="n">
        <v>28.72</v>
      </c>
      <c r="AV72" s="9" t="n">
        <v>32.07</v>
      </c>
      <c r="AW72" s="9" t="n">
        <v>24.81</v>
      </c>
    </row>
    <row r="73">
      <c r="G73" s="17" t="n">
        <v>58</v>
      </c>
      <c r="H73" s="2">
        <f>TRUNC((_xlfn.NORM.INV((RAND()),$E$24,$E$25)),2)</f>
        <v/>
      </c>
      <c r="I73" s="2">
        <f>TRUNC((_xlfn.NORM.INV((RAND()),$E$24,$E$25)),2)</f>
        <v/>
      </c>
      <c r="J73" s="2">
        <f>TRUNC((_xlfn.NORM.INV((RAND()),$E$24,$E$25)),2)</f>
        <v/>
      </c>
      <c r="AA73" s="17" t="n">
        <v>58</v>
      </c>
      <c r="AB73" s="3">
        <f>IF(H73&lt;0,0,H73)</f>
        <v/>
      </c>
      <c r="AC73" s="3">
        <f>IF(I73&lt;0,0,I73)</f>
        <v/>
      </c>
      <c r="AD73" s="3">
        <f>IF(J73&lt;0,0,J73)</f>
        <v/>
      </c>
      <c r="AT73" s="17" t="n">
        <v>58</v>
      </c>
      <c r="AU73" s="9" t="n">
        <v>21.62</v>
      </c>
      <c r="AV73" s="9" t="n">
        <v>23.36</v>
      </c>
      <c r="AW73" s="9" t="n">
        <v>25.62</v>
      </c>
    </row>
    <row r="74">
      <c r="G74" s="17" t="n">
        <v>59</v>
      </c>
      <c r="H74" s="2">
        <f>TRUNC((_xlfn.NORM.INV((RAND()),$E$24,$E$25)),2)</f>
        <v/>
      </c>
      <c r="I74" s="2">
        <f>TRUNC((_xlfn.NORM.INV((RAND()),$E$24,$E$25)),2)</f>
        <v/>
      </c>
      <c r="J74" s="2">
        <f>TRUNC((_xlfn.NORM.INV((RAND()),$E$24,$E$25)),2)</f>
        <v/>
      </c>
      <c r="AA74" s="17" t="n">
        <v>59</v>
      </c>
      <c r="AB74" s="3">
        <f>IF(H74&lt;0,0,H74)</f>
        <v/>
      </c>
      <c r="AC74" s="3">
        <f>IF(I74&lt;0,0,I74)</f>
        <v/>
      </c>
      <c r="AD74" s="3">
        <f>IF(J74&lt;0,0,J74)</f>
        <v/>
      </c>
      <c r="AT74" s="17" t="n">
        <v>59</v>
      </c>
      <c r="AU74" s="9" t="n">
        <v>34.02</v>
      </c>
      <c r="AV74" s="9" t="n">
        <v>29.85</v>
      </c>
      <c r="AW74" s="9" t="n">
        <v>32.56</v>
      </c>
    </row>
    <row r="75">
      <c r="G75" s="17" t="n">
        <v>60</v>
      </c>
      <c r="H75" s="2">
        <f>TRUNC((_xlfn.NORM.INV((RAND()),$E$24,$E$25)),2)</f>
        <v/>
      </c>
      <c r="I75" s="2">
        <f>TRUNC((_xlfn.NORM.INV((RAND()),$E$24,$E$25)),2)</f>
        <v/>
      </c>
      <c r="J75" s="2">
        <f>TRUNC((_xlfn.NORM.INV((RAND()),$E$24,$E$25)),2)</f>
        <v/>
      </c>
      <c r="AA75" s="17" t="n">
        <v>60</v>
      </c>
      <c r="AB75" s="3">
        <f>IF(H75&lt;0,0,H75)</f>
        <v/>
      </c>
      <c r="AC75" s="3">
        <f>IF(I75&lt;0,0,I75)</f>
        <v/>
      </c>
      <c r="AD75" s="3">
        <f>IF(J75&lt;0,0,J75)</f>
        <v/>
      </c>
      <c r="AT75" s="17" t="n">
        <v>60</v>
      </c>
      <c r="AU75" s="9" t="n">
        <v>19.37</v>
      </c>
      <c r="AV75" s="9" t="n">
        <v>21.95</v>
      </c>
      <c r="AW75" s="9" t="n">
        <v>29.25</v>
      </c>
    </row>
    <row r="76">
      <c r="G76" s="17" t="n">
        <v>61</v>
      </c>
      <c r="H76" s="2">
        <f>TRUNC((_xlfn.NORM.INV((RAND()),$E$24,$E$25)),2)</f>
        <v/>
      </c>
      <c r="I76" s="2">
        <f>TRUNC((_xlfn.NORM.INV((RAND()),$E$24,$E$25)),2)</f>
        <v/>
      </c>
      <c r="J76" s="2">
        <f>TRUNC((_xlfn.NORM.INV((RAND()),$E$24,$E$25)),2)</f>
        <v/>
      </c>
      <c r="AA76" s="17" t="n">
        <v>61</v>
      </c>
      <c r="AB76" s="3">
        <f>IF(H76&lt;0,0,H76)</f>
        <v/>
      </c>
      <c r="AC76" s="3">
        <f>IF(I76&lt;0,0,I76)</f>
        <v/>
      </c>
      <c r="AD76" s="3">
        <f>IF(J76&lt;0,0,J76)</f>
        <v/>
      </c>
      <c r="AT76" s="17" t="n">
        <v>61</v>
      </c>
      <c r="AU76" s="9" t="n">
        <v>23.1</v>
      </c>
      <c r="AV76" s="9" t="n">
        <v>18.04</v>
      </c>
      <c r="AW76" s="9" t="n">
        <v>24.39</v>
      </c>
    </row>
    <row r="77">
      <c r="G77" s="17" t="n">
        <v>62</v>
      </c>
      <c r="H77" s="2">
        <f>TRUNC((_xlfn.NORM.INV((RAND()),$E$24,$E$25)),2)</f>
        <v/>
      </c>
      <c r="I77" s="2">
        <f>TRUNC((_xlfn.NORM.INV((RAND()),$E$24,$E$25)),2)</f>
        <v/>
      </c>
      <c r="J77" s="2">
        <f>TRUNC((_xlfn.NORM.INV((RAND()),$E$24,$E$25)),2)</f>
        <v/>
      </c>
      <c r="AA77" s="17" t="n">
        <v>62</v>
      </c>
      <c r="AB77" s="3">
        <f>IF(H77&lt;0,0,H77)</f>
        <v/>
      </c>
      <c r="AC77" s="3">
        <f>IF(I77&lt;0,0,I77)</f>
        <v/>
      </c>
      <c r="AD77" s="3">
        <f>IF(J77&lt;0,0,J77)</f>
        <v/>
      </c>
      <c r="AT77" s="17" t="n">
        <v>62</v>
      </c>
      <c r="AU77" s="9" t="n">
        <v>19.7</v>
      </c>
      <c r="AV77" s="9" t="n">
        <v>21.42</v>
      </c>
      <c r="AW77" s="9" t="n">
        <v>30.17</v>
      </c>
    </row>
    <row r="78">
      <c r="G78" s="17" t="n">
        <v>63</v>
      </c>
      <c r="H78" s="2">
        <f>TRUNC((_xlfn.NORM.INV((RAND()),$E$24,$E$25)),2)</f>
        <v/>
      </c>
      <c r="I78" s="2">
        <f>TRUNC((_xlfn.NORM.INV((RAND()),$E$24,$E$25)),2)</f>
        <v/>
      </c>
      <c r="J78" s="2">
        <f>TRUNC((_xlfn.NORM.INV((RAND()),$E$24,$E$25)),2)</f>
        <v/>
      </c>
      <c r="AA78" s="17" t="n">
        <v>63</v>
      </c>
      <c r="AB78" s="3">
        <f>IF(H78&lt;0,0,H78)</f>
        <v/>
      </c>
      <c r="AC78" s="3">
        <f>IF(I78&lt;0,0,I78)</f>
        <v/>
      </c>
      <c r="AD78" s="3">
        <f>IF(J78&lt;0,0,J78)</f>
        <v/>
      </c>
      <c r="AT78" s="17" t="n">
        <v>63</v>
      </c>
      <c r="AU78" s="9" t="n">
        <v>26.54</v>
      </c>
      <c r="AV78" s="9" t="n">
        <v>30.07</v>
      </c>
      <c r="AW78" s="9" t="n">
        <v>18.62</v>
      </c>
    </row>
    <row r="79">
      <c r="G79" s="17" t="n">
        <v>64</v>
      </c>
      <c r="H79" s="2">
        <f>TRUNC((_xlfn.NORM.INV((RAND()),$E$24,$E$25)),2)</f>
        <v/>
      </c>
      <c r="I79" s="2">
        <f>TRUNC((_xlfn.NORM.INV((RAND()),$E$24,$E$25)),2)</f>
        <v/>
      </c>
      <c r="J79" s="2">
        <f>TRUNC((_xlfn.NORM.INV((RAND()),$E$24,$E$25)),2)</f>
        <v/>
      </c>
      <c r="AA79" s="17" t="n">
        <v>64</v>
      </c>
      <c r="AB79" s="3">
        <f>IF(H79&lt;0,0,H79)</f>
        <v/>
      </c>
      <c r="AC79" s="3">
        <f>IF(I79&lt;0,0,I79)</f>
        <v/>
      </c>
      <c r="AD79" s="3">
        <f>IF(J79&lt;0,0,J79)</f>
        <v/>
      </c>
      <c r="AT79" s="17" t="n">
        <v>64</v>
      </c>
      <c r="AU79" s="9" t="n">
        <v>18.64</v>
      </c>
      <c r="AV79" s="9" t="n">
        <v>31.19</v>
      </c>
      <c r="AW79" s="9" t="n">
        <v>25.26</v>
      </c>
    </row>
    <row r="80">
      <c r="G80" s="17" t="n">
        <v>65</v>
      </c>
      <c r="H80" s="2">
        <f>TRUNC((_xlfn.NORM.INV((RAND()),$E$24,$E$25)),2)</f>
        <v/>
      </c>
      <c r="I80" s="2">
        <f>TRUNC((_xlfn.NORM.INV((RAND()),$E$24,$E$25)),2)</f>
        <v/>
      </c>
      <c r="J80" s="2">
        <f>TRUNC((_xlfn.NORM.INV((RAND()),$E$24,$E$25)),2)</f>
        <v/>
      </c>
      <c r="AA80" s="17" t="n">
        <v>65</v>
      </c>
      <c r="AB80" s="3">
        <f>IF(H80&lt;0,0,H80)</f>
        <v/>
      </c>
      <c r="AC80" s="3">
        <f>IF(I80&lt;0,0,I80)</f>
        <v/>
      </c>
      <c r="AD80" s="3">
        <f>IF(J80&lt;0,0,J80)</f>
        <v/>
      </c>
      <c r="AT80" s="17" t="n">
        <v>65</v>
      </c>
      <c r="AU80" s="9" t="n">
        <v>31.91</v>
      </c>
      <c r="AV80" s="9" t="n">
        <v>31.19</v>
      </c>
      <c r="AW80" s="9" t="n">
        <v>17.51</v>
      </c>
    </row>
    <row r="81">
      <c r="G81" s="17" t="n">
        <v>66</v>
      </c>
      <c r="H81" s="2">
        <f>TRUNC((_xlfn.NORM.INV((RAND()),$E$24,$E$25)),2)</f>
        <v/>
      </c>
      <c r="I81" s="2">
        <f>TRUNC((_xlfn.NORM.INV((RAND()),$E$24,$E$25)),2)</f>
        <v/>
      </c>
      <c r="J81" s="2">
        <f>TRUNC((_xlfn.NORM.INV((RAND()),$E$24,$E$25)),2)</f>
        <v/>
      </c>
      <c r="AA81" s="17" t="n">
        <v>66</v>
      </c>
      <c r="AB81" s="3">
        <f>IF(H81&lt;0,0,H81)</f>
        <v/>
      </c>
      <c r="AC81" s="3">
        <f>IF(I81&lt;0,0,I81)</f>
        <v/>
      </c>
      <c r="AD81" s="3">
        <f>IF(J81&lt;0,0,J81)</f>
        <v/>
      </c>
      <c r="AT81" s="17" t="n">
        <v>66</v>
      </c>
      <c r="AU81" s="9" t="n">
        <v>24.42</v>
      </c>
      <c r="AV81" s="9" t="n">
        <v>33.36</v>
      </c>
      <c r="AW81" s="9" t="n">
        <v>26.13</v>
      </c>
    </row>
    <row r="82">
      <c r="G82" s="17" t="n">
        <v>67</v>
      </c>
      <c r="H82" s="2">
        <f>TRUNC((_xlfn.NORM.INV((RAND()),$E$24,$E$25)),2)</f>
        <v/>
      </c>
      <c r="I82" s="2">
        <f>TRUNC((_xlfn.NORM.INV((RAND()),$E$24,$E$25)),2)</f>
        <v/>
      </c>
      <c r="J82" s="2">
        <f>TRUNC((_xlfn.NORM.INV((RAND()),$E$24,$E$25)),2)</f>
        <v/>
      </c>
      <c r="AA82" s="17" t="n">
        <v>67</v>
      </c>
      <c r="AB82" s="3">
        <f>IF(H82&lt;0,0,H82)</f>
        <v/>
      </c>
      <c r="AC82" s="3">
        <f>IF(I82&lt;0,0,I82)</f>
        <v/>
      </c>
      <c r="AD82" s="3">
        <f>IF(J82&lt;0,0,J82)</f>
        <v/>
      </c>
      <c r="AT82" s="17" t="n">
        <v>67</v>
      </c>
      <c r="AU82" s="9" t="n">
        <v>25.21</v>
      </c>
      <c r="AV82" s="9" t="n">
        <v>29.49</v>
      </c>
      <c r="AW82" s="9" t="n">
        <v>30.9</v>
      </c>
    </row>
    <row r="83">
      <c r="G83" s="17" t="n">
        <v>68</v>
      </c>
      <c r="H83" s="2">
        <f>TRUNC((_xlfn.NORM.INV((RAND()),$E$24,$E$25)),2)</f>
        <v/>
      </c>
      <c r="I83" s="2">
        <f>TRUNC((_xlfn.NORM.INV((RAND()),$E$24,$E$25)),2)</f>
        <v/>
      </c>
      <c r="J83" s="2">
        <f>TRUNC((_xlfn.NORM.INV((RAND()),$E$24,$E$25)),2)</f>
        <v/>
      </c>
      <c r="AA83" s="17" t="n">
        <v>68</v>
      </c>
      <c r="AB83" s="3">
        <f>IF(H83&lt;0,0,H83)</f>
        <v/>
      </c>
      <c r="AC83" s="3">
        <f>IF(I83&lt;0,0,I83)</f>
        <v/>
      </c>
      <c r="AD83" s="3">
        <f>IF(J83&lt;0,0,J83)</f>
        <v/>
      </c>
      <c r="AT83" s="17" t="n">
        <v>68</v>
      </c>
      <c r="AU83" s="9" t="n">
        <v>33.67</v>
      </c>
      <c r="AV83" s="9" t="n">
        <v>26.16</v>
      </c>
      <c r="AW83" s="9" t="n">
        <v>32.75</v>
      </c>
    </row>
    <row r="84">
      <c r="G84" s="17" t="n">
        <v>69</v>
      </c>
      <c r="H84" s="2">
        <f>TRUNC((_xlfn.NORM.INV((RAND()),$E$24,$E$25)),2)</f>
        <v/>
      </c>
      <c r="I84" s="2">
        <f>TRUNC((_xlfn.NORM.INV((RAND()),$E$24,$E$25)),2)</f>
        <v/>
      </c>
      <c r="J84" s="2">
        <f>TRUNC((_xlfn.NORM.INV((RAND()),$E$24,$E$25)),2)</f>
        <v/>
      </c>
      <c r="AA84" s="17" t="n">
        <v>69</v>
      </c>
      <c r="AB84" s="3">
        <f>IF(H84&lt;0,0,H84)</f>
        <v/>
      </c>
      <c r="AC84" s="3">
        <f>IF(I84&lt;0,0,I84)</f>
        <v/>
      </c>
      <c r="AD84" s="3">
        <f>IF(J84&lt;0,0,J84)</f>
        <v/>
      </c>
      <c r="AT84" s="17" t="n">
        <v>69</v>
      </c>
      <c r="AU84" s="9" t="n">
        <v>24.62</v>
      </c>
      <c r="AV84" s="9" t="n">
        <v>26.25</v>
      </c>
      <c r="AW84" s="9" t="n">
        <v>19.64</v>
      </c>
    </row>
    <row r="85">
      <c r="G85" s="17" t="n">
        <v>70</v>
      </c>
      <c r="H85" s="2">
        <f>TRUNC((_xlfn.NORM.INV((RAND()),$E$24,$E$25)),2)</f>
        <v/>
      </c>
      <c r="I85" s="2">
        <f>TRUNC((_xlfn.NORM.INV((RAND()),$E$24,$E$25)),2)</f>
        <v/>
      </c>
      <c r="J85" s="2">
        <f>TRUNC((_xlfn.NORM.INV((RAND()),$E$24,$E$25)),2)</f>
        <v/>
      </c>
      <c r="AA85" s="17" t="n">
        <v>70</v>
      </c>
      <c r="AB85" s="3">
        <f>IF(H85&lt;0,0,H85)</f>
        <v/>
      </c>
      <c r="AC85" s="3">
        <f>IF(I85&lt;0,0,I85)</f>
        <v/>
      </c>
      <c r="AD85" s="3">
        <f>IF(J85&lt;0,0,J85)</f>
        <v/>
      </c>
      <c r="AT85" s="17" t="n">
        <v>70</v>
      </c>
      <c r="AU85" s="9" t="n">
        <v>25.57</v>
      </c>
      <c r="AV85" s="9" t="n">
        <v>13.59</v>
      </c>
      <c r="AW85" s="9" t="n">
        <v>20.84</v>
      </c>
    </row>
    <row r="86">
      <c r="G86" s="17" t="n">
        <v>71</v>
      </c>
      <c r="H86" s="2">
        <f>TRUNC((_xlfn.NORM.INV((RAND()),$E$24,$E$25)),2)</f>
        <v/>
      </c>
      <c r="I86" s="2">
        <f>TRUNC((_xlfn.NORM.INV((RAND()),$E$24,$E$25)),2)</f>
        <v/>
      </c>
      <c r="J86" s="2">
        <f>TRUNC((_xlfn.NORM.INV((RAND()),$E$24,$E$25)),2)</f>
        <v/>
      </c>
      <c r="AA86" s="17" t="n">
        <v>71</v>
      </c>
      <c r="AB86" s="3">
        <f>IF(H86&lt;0,0,H86)</f>
        <v/>
      </c>
      <c r="AC86" s="3">
        <f>IF(I86&lt;0,0,I86)</f>
        <v/>
      </c>
      <c r="AD86" s="3">
        <f>IF(J86&lt;0,0,J86)</f>
        <v/>
      </c>
      <c r="AT86" s="17" t="n">
        <v>71</v>
      </c>
      <c r="AU86" s="9" t="n">
        <v>25.85</v>
      </c>
      <c r="AV86" s="9" t="n">
        <v>28.66</v>
      </c>
      <c r="AW86" s="9" t="n">
        <v>17.34</v>
      </c>
    </row>
    <row r="87">
      <c r="G87" s="17" t="n">
        <v>72</v>
      </c>
      <c r="H87" s="2">
        <f>TRUNC((_xlfn.NORM.INV((RAND()),$E$24,$E$25)),2)</f>
        <v/>
      </c>
      <c r="I87" s="2">
        <f>TRUNC((_xlfn.NORM.INV((RAND()),$E$24,$E$25)),2)</f>
        <v/>
      </c>
      <c r="J87" s="2">
        <f>TRUNC((_xlfn.NORM.INV((RAND()),$E$24,$E$25)),2)</f>
        <v/>
      </c>
      <c r="AA87" s="17" t="n">
        <v>72</v>
      </c>
      <c r="AB87" s="3">
        <f>IF(H87&lt;0,0,H87)</f>
        <v/>
      </c>
      <c r="AC87" s="3">
        <f>IF(I87&lt;0,0,I87)</f>
        <v/>
      </c>
      <c r="AD87" s="3">
        <f>IF(J87&lt;0,0,J87)</f>
        <v/>
      </c>
      <c r="AT87" s="17" t="n">
        <v>72</v>
      </c>
      <c r="AU87" s="9" t="n">
        <v>29.61</v>
      </c>
      <c r="AV87" s="9" t="n">
        <v>16.74</v>
      </c>
      <c r="AW87" s="9" t="n">
        <v>22.36</v>
      </c>
    </row>
    <row r="88">
      <c r="G88" s="17" t="n">
        <v>73</v>
      </c>
      <c r="H88" s="2">
        <f>TRUNC((_xlfn.NORM.INV((RAND()),$E$24,$E$25)),2)</f>
        <v/>
      </c>
      <c r="I88" s="2">
        <f>TRUNC((_xlfn.NORM.INV((RAND()),$E$24,$E$25)),2)</f>
        <v/>
      </c>
      <c r="J88" s="2">
        <f>TRUNC((_xlfn.NORM.INV((RAND()),$E$24,$E$25)),2)</f>
        <v/>
      </c>
      <c r="AA88" s="17" t="n">
        <v>73</v>
      </c>
      <c r="AB88" s="3">
        <f>IF(H88&lt;0,0,H88)</f>
        <v/>
      </c>
      <c r="AC88" s="3">
        <f>IF(I88&lt;0,0,I88)</f>
        <v/>
      </c>
      <c r="AD88" s="3">
        <f>IF(J88&lt;0,0,J88)</f>
        <v/>
      </c>
      <c r="AT88" s="17" t="n">
        <v>73</v>
      </c>
      <c r="AU88" s="9" t="n">
        <v>16.38</v>
      </c>
      <c r="AV88" s="9" t="n">
        <v>29.36</v>
      </c>
      <c r="AW88" s="9" t="n">
        <v>25.64</v>
      </c>
    </row>
    <row r="89">
      <c r="G89" s="17" t="n">
        <v>74</v>
      </c>
      <c r="H89" s="2">
        <f>TRUNC((_xlfn.NORM.INV((RAND()),$E$24,$E$25)),2)</f>
        <v/>
      </c>
      <c r="I89" s="2">
        <f>TRUNC((_xlfn.NORM.INV((RAND()),$E$24,$E$25)),2)</f>
        <v/>
      </c>
      <c r="J89" s="2">
        <f>TRUNC((_xlfn.NORM.INV((RAND()),$E$24,$E$25)),2)</f>
        <v/>
      </c>
      <c r="AA89" s="17" t="n">
        <v>74</v>
      </c>
      <c r="AB89" s="3">
        <f>IF(H89&lt;0,0,H89)</f>
        <v/>
      </c>
      <c r="AC89" s="3">
        <f>IF(I89&lt;0,0,I89)</f>
        <v/>
      </c>
      <c r="AD89" s="3">
        <f>IF(J89&lt;0,0,J89)</f>
        <v/>
      </c>
      <c r="AT89" s="17" t="n">
        <v>74</v>
      </c>
      <c r="AU89" s="9" t="n">
        <v>19.67</v>
      </c>
      <c r="AV89" s="9" t="n">
        <v>25.4</v>
      </c>
      <c r="AW89" s="9" t="n">
        <v>24.73</v>
      </c>
    </row>
    <row r="90">
      <c r="G90" s="17" t="n">
        <v>75</v>
      </c>
      <c r="H90" s="2">
        <f>TRUNC((_xlfn.NORM.INV((RAND()),$E$24,$E$25)),2)</f>
        <v/>
      </c>
      <c r="I90" s="2">
        <f>TRUNC((_xlfn.NORM.INV((RAND()),$E$24,$E$25)),2)</f>
        <v/>
      </c>
      <c r="J90" s="2">
        <f>TRUNC((_xlfn.NORM.INV((RAND()),$E$24,$E$25)),2)</f>
        <v/>
      </c>
      <c r="AA90" s="17" t="n">
        <v>75</v>
      </c>
      <c r="AB90" s="3">
        <f>IF(H90&lt;0,0,H90)</f>
        <v/>
      </c>
      <c r="AC90" s="3">
        <f>IF(I90&lt;0,0,I90)</f>
        <v/>
      </c>
      <c r="AD90" s="3">
        <f>IF(J90&lt;0,0,J90)</f>
        <v/>
      </c>
      <c r="AT90" s="17" t="n">
        <v>75</v>
      </c>
      <c r="AU90" s="9" t="n">
        <v>29.77</v>
      </c>
      <c r="AV90" s="9" t="n">
        <v>29.29</v>
      </c>
      <c r="AW90" s="9" t="n">
        <v>23.15</v>
      </c>
    </row>
    <row r="91">
      <c r="G91" s="17" t="n">
        <v>76</v>
      </c>
      <c r="H91" s="2">
        <f>TRUNC((_xlfn.NORM.INV((RAND()),$E$24,$E$25)),2)</f>
        <v/>
      </c>
      <c r="I91" s="2">
        <f>TRUNC((_xlfn.NORM.INV((RAND()),$E$24,$E$25)),2)</f>
        <v/>
      </c>
      <c r="J91" s="2">
        <f>TRUNC((_xlfn.NORM.INV((RAND()),$E$24,$E$25)),2)</f>
        <v/>
      </c>
      <c r="AA91" s="17" t="n">
        <v>76</v>
      </c>
      <c r="AB91" s="3">
        <f>IF(H91&lt;0,0,H91)</f>
        <v/>
      </c>
      <c r="AC91" s="3">
        <f>IF(I91&lt;0,0,I91)</f>
        <v/>
      </c>
      <c r="AD91" s="3">
        <f>IF(J91&lt;0,0,J91)</f>
        <v/>
      </c>
      <c r="AT91" s="17" t="n">
        <v>76</v>
      </c>
      <c r="AU91" s="9" t="n">
        <v>34.26</v>
      </c>
      <c r="AV91" s="9" t="n">
        <v>28.49</v>
      </c>
      <c r="AW91" s="9" t="n">
        <v>18.08</v>
      </c>
    </row>
    <row r="92">
      <c r="G92" s="17" t="n">
        <v>77</v>
      </c>
      <c r="H92" s="2">
        <f>TRUNC((_xlfn.NORM.INV((RAND()),$E$24,$E$25)),2)</f>
        <v/>
      </c>
      <c r="I92" s="2">
        <f>TRUNC((_xlfn.NORM.INV((RAND()),$E$24,$E$25)),2)</f>
        <v/>
      </c>
      <c r="J92" s="2">
        <f>TRUNC((_xlfn.NORM.INV((RAND()),$E$24,$E$25)),2)</f>
        <v/>
      </c>
      <c r="AA92" s="17" t="n">
        <v>77</v>
      </c>
      <c r="AB92" s="3">
        <f>IF(H92&lt;0,0,H92)</f>
        <v/>
      </c>
      <c r="AC92" s="3">
        <f>IF(I92&lt;0,0,I92)</f>
        <v/>
      </c>
      <c r="AD92" s="3">
        <f>IF(J92&lt;0,0,J92)</f>
        <v/>
      </c>
      <c r="AT92" s="17" t="n">
        <v>77</v>
      </c>
      <c r="AU92" s="9" t="n">
        <v>23.03</v>
      </c>
      <c r="AV92" s="9" t="n">
        <v>26.7</v>
      </c>
      <c r="AW92" s="9" t="n">
        <v>21.29</v>
      </c>
    </row>
    <row r="93">
      <c r="G93" s="17" t="n">
        <v>78</v>
      </c>
      <c r="H93" s="2">
        <f>TRUNC((_xlfn.NORM.INV((RAND()),$E$24,$E$25)),2)</f>
        <v/>
      </c>
      <c r="I93" s="2">
        <f>TRUNC((_xlfn.NORM.INV((RAND()),$E$24,$E$25)),2)</f>
        <v/>
      </c>
      <c r="J93" s="2">
        <f>TRUNC((_xlfn.NORM.INV((RAND()),$E$24,$E$25)),2)</f>
        <v/>
      </c>
      <c r="AA93" s="17" t="n">
        <v>78</v>
      </c>
      <c r="AB93" s="3">
        <f>IF(H93&lt;0,0,H93)</f>
        <v/>
      </c>
      <c r="AC93" s="3">
        <f>IF(I93&lt;0,0,I93)</f>
        <v/>
      </c>
      <c r="AD93" s="3">
        <f>IF(J93&lt;0,0,J93)</f>
        <v/>
      </c>
      <c r="AT93" s="17" t="n">
        <v>78</v>
      </c>
      <c r="AU93" s="9" t="n">
        <v>32.16</v>
      </c>
      <c r="AV93" s="9" t="n">
        <v>29.08</v>
      </c>
      <c r="AW93" s="9" t="n">
        <v>17.04</v>
      </c>
    </row>
    <row r="94">
      <c r="G94" s="17" t="n">
        <v>79</v>
      </c>
      <c r="H94" s="2">
        <f>TRUNC((_xlfn.NORM.INV((RAND()),$E$24,$E$25)),2)</f>
        <v/>
      </c>
      <c r="I94" s="2">
        <f>TRUNC((_xlfn.NORM.INV((RAND()),$E$24,$E$25)),2)</f>
        <v/>
      </c>
      <c r="J94" s="2">
        <f>TRUNC((_xlfn.NORM.INV((RAND()),$E$24,$E$25)),2)</f>
        <v/>
      </c>
      <c r="AA94" s="17" t="n">
        <v>79</v>
      </c>
      <c r="AB94" s="3">
        <f>IF(H94&lt;0,0,H94)</f>
        <v/>
      </c>
      <c r="AC94" s="3">
        <f>IF(I94&lt;0,0,I94)</f>
        <v/>
      </c>
      <c r="AD94" s="3">
        <f>IF(J94&lt;0,0,J94)</f>
        <v/>
      </c>
      <c r="AT94" s="17" t="n">
        <v>79</v>
      </c>
      <c r="AU94" s="9" t="n">
        <v>27.1</v>
      </c>
      <c r="AV94" s="9" t="n">
        <v>29.84</v>
      </c>
      <c r="AW94" s="9" t="n">
        <v>13.6</v>
      </c>
    </row>
    <row r="95">
      <c r="G95" s="17" t="n">
        <v>80</v>
      </c>
      <c r="H95" s="2">
        <f>TRUNC((_xlfn.NORM.INV((RAND()),$E$24,$E$25)),2)</f>
        <v/>
      </c>
      <c r="I95" s="2">
        <f>TRUNC((_xlfn.NORM.INV((RAND()),$E$24,$E$25)),2)</f>
        <v/>
      </c>
      <c r="J95" s="2">
        <f>TRUNC((_xlfn.NORM.INV((RAND()),$E$24,$E$25)),2)</f>
        <v/>
      </c>
      <c r="AA95" s="17" t="n">
        <v>80</v>
      </c>
      <c r="AB95" s="3">
        <f>IF(H95&lt;0,0,H95)</f>
        <v/>
      </c>
      <c r="AC95" s="3">
        <f>IF(I95&lt;0,0,I95)</f>
        <v/>
      </c>
      <c r="AD95" s="3">
        <f>IF(J95&lt;0,0,J95)</f>
        <v/>
      </c>
      <c r="AT95" s="17" t="n">
        <v>80</v>
      </c>
      <c r="AU95" s="9" t="n">
        <v>26.84</v>
      </c>
      <c r="AV95" s="9" t="n">
        <v>23.43</v>
      </c>
      <c r="AW95" s="9" t="n">
        <v>19.86</v>
      </c>
    </row>
    <row r="96">
      <c r="G96" s="17" t="n">
        <v>81</v>
      </c>
      <c r="H96" s="2">
        <f>TRUNC((_xlfn.NORM.INV((RAND()),$E$24,$E$25)),2)</f>
        <v/>
      </c>
      <c r="I96" s="2">
        <f>TRUNC((_xlfn.NORM.INV((RAND()),$E$24,$E$25)),2)</f>
        <v/>
      </c>
      <c r="J96" s="2">
        <f>TRUNC((_xlfn.NORM.INV((RAND()),$E$24,$E$25)),2)</f>
        <v/>
      </c>
      <c r="AA96" s="17" t="n">
        <v>81</v>
      </c>
      <c r="AB96" s="3">
        <f>IF(H96&lt;0,0,H96)</f>
        <v/>
      </c>
      <c r="AC96" s="3">
        <f>IF(I96&lt;0,0,I96)</f>
        <v/>
      </c>
      <c r="AD96" s="3">
        <f>IF(J96&lt;0,0,J96)</f>
        <v/>
      </c>
      <c r="AT96" s="17" t="n">
        <v>81</v>
      </c>
      <c r="AU96" s="9" t="n">
        <v>23.29</v>
      </c>
      <c r="AV96" s="9" t="n">
        <v>35.32</v>
      </c>
      <c r="AW96" s="9" t="n">
        <v>24.22</v>
      </c>
    </row>
    <row r="97">
      <c r="G97" s="17" t="n">
        <v>82</v>
      </c>
      <c r="H97" s="2">
        <f>TRUNC((_xlfn.NORM.INV((RAND()),$E$24,$E$25)),2)</f>
        <v/>
      </c>
      <c r="I97" s="2">
        <f>TRUNC((_xlfn.NORM.INV((RAND()),$E$24,$E$25)),2)</f>
        <v/>
      </c>
      <c r="J97" s="2">
        <f>TRUNC((_xlfn.NORM.INV((RAND()),$E$24,$E$25)),2)</f>
        <v/>
      </c>
      <c r="AA97" s="17" t="n">
        <v>82</v>
      </c>
      <c r="AB97" s="3">
        <f>IF(H97&lt;0,0,H97)</f>
        <v/>
      </c>
      <c r="AC97" s="3">
        <f>IF(I97&lt;0,0,I97)</f>
        <v/>
      </c>
      <c r="AD97" s="3">
        <f>IF(J97&lt;0,0,J97)</f>
        <v/>
      </c>
      <c r="AT97" s="17" t="n">
        <v>82</v>
      </c>
      <c r="AU97" s="9" t="n">
        <v>17.43</v>
      </c>
      <c r="AV97" s="9" t="n">
        <v>28.14</v>
      </c>
      <c r="AW97" s="9" t="n">
        <v>13.39</v>
      </c>
    </row>
    <row r="98">
      <c r="G98" s="17" t="n">
        <v>83</v>
      </c>
      <c r="H98" s="2">
        <f>TRUNC((_xlfn.NORM.INV((RAND()),$E$24,$E$25)),2)</f>
        <v/>
      </c>
      <c r="I98" s="2">
        <f>TRUNC((_xlfn.NORM.INV((RAND()),$E$24,$E$25)),2)</f>
        <v/>
      </c>
      <c r="J98" s="2">
        <f>TRUNC((_xlfn.NORM.INV((RAND()),$E$24,$E$25)),2)</f>
        <v/>
      </c>
      <c r="AA98" s="17" t="n">
        <v>83</v>
      </c>
      <c r="AB98" s="3">
        <f>IF(H98&lt;0,0,H98)</f>
        <v/>
      </c>
      <c r="AC98" s="3">
        <f>IF(I98&lt;0,0,I98)</f>
        <v/>
      </c>
      <c r="AD98" s="3">
        <f>IF(J98&lt;0,0,J98)</f>
        <v/>
      </c>
      <c r="AT98" s="17" t="n">
        <v>83</v>
      </c>
      <c r="AU98" s="9" t="n">
        <v>42.88</v>
      </c>
      <c r="AV98" s="9" t="n">
        <v>29.75</v>
      </c>
      <c r="AW98" s="9" t="n">
        <v>22.35</v>
      </c>
    </row>
    <row r="99">
      <c r="G99" s="17" t="n">
        <v>84</v>
      </c>
      <c r="H99" s="2">
        <f>TRUNC((_xlfn.NORM.INV((RAND()),$E$24,$E$25)),2)</f>
        <v/>
      </c>
      <c r="I99" s="2">
        <f>TRUNC((_xlfn.NORM.INV((RAND()),$E$24,$E$25)),2)</f>
        <v/>
      </c>
      <c r="J99" s="2">
        <f>TRUNC((_xlfn.NORM.INV((RAND()),$E$24,$E$25)),2)</f>
        <v/>
      </c>
      <c r="AA99" s="17" t="n">
        <v>84</v>
      </c>
      <c r="AB99" s="3">
        <f>IF(H99&lt;0,0,H99)</f>
        <v/>
      </c>
      <c r="AC99" s="3">
        <f>IF(I99&lt;0,0,I99)</f>
        <v/>
      </c>
      <c r="AD99" s="3">
        <f>IF(J99&lt;0,0,J99)</f>
        <v/>
      </c>
      <c r="AT99" s="17" t="n">
        <v>84</v>
      </c>
      <c r="AU99" s="9" t="n">
        <v>33.71</v>
      </c>
      <c r="AV99" s="9" t="n">
        <v>24.77</v>
      </c>
      <c r="AW99" s="9" t="n">
        <v>36.43</v>
      </c>
    </row>
    <row r="100">
      <c r="G100" s="17" t="n">
        <v>85</v>
      </c>
      <c r="H100" s="2">
        <f>TRUNC((_xlfn.NORM.INV((RAND()),$E$24,$E$25)),2)</f>
        <v/>
      </c>
      <c r="I100" s="2">
        <f>TRUNC((_xlfn.NORM.INV((RAND()),$E$24,$E$25)),2)</f>
        <v/>
      </c>
      <c r="J100" s="2">
        <f>TRUNC((_xlfn.NORM.INV((RAND()),$E$24,$E$25)),2)</f>
        <v/>
      </c>
      <c r="AA100" s="17" t="n">
        <v>85</v>
      </c>
      <c r="AB100" s="3">
        <f>IF(H100&lt;0,0,H100)</f>
        <v/>
      </c>
      <c r="AC100" s="3">
        <f>IF(I100&lt;0,0,I100)</f>
        <v/>
      </c>
      <c r="AD100" s="3">
        <f>IF(J100&lt;0,0,J100)</f>
        <v/>
      </c>
      <c r="AT100" s="17" t="n">
        <v>85</v>
      </c>
      <c r="AU100" s="9" t="n">
        <v>36.06</v>
      </c>
      <c r="AV100" s="9" t="n">
        <v>27.98</v>
      </c>
      <c r="AW100" s="9" t="n">
        <v>27.94</v>
      </c>
    </row>
    <row r="101">
      <c r="G101" s="17" t="n">
        <v>86</v>
      </c>
      <c r="H101" s="2">
        <f>TRUNC((_xlfn.NORM.INV((RAND()),$E$24,$E$25)),2)</f>
        <v/>
      </c>
      <c r="I101" s="2">
        <f>TRUNC((_xlfn.NORM.INV((RAND()),$E$24,$E$25)),2)</f>
        <v/>
      </c>
      <c r="J101" s="2">
        <f>TRUNC((_xlfn.NORM.INV((RAND()),$E$24,$E$25)),2)</f>
        <v/>
      </c>
      <c r="AA101" s="17" t="n">
        <v>86</v>
      </c>
      <c r="AB101" s="3">
        <f>IF(H101&lt;0,0,H101)</f>
        <v/>
      </c>
      <c r="AC101" s="3">
        <f>IF(I101&lt;0,0,I101)</f>
        <v/>
      </c>
      <c r="AD101" s="3">
        <f>IF(J101&lt;0,0,J101)</f>
        <v/>
      </c>
      <c r="AT101" s="17" t="n">
        <v>86</v>
      </c>
      <c r="AU101" s="9" t="n">
        <v>25.82</v>
      </c>
      <c r="AV101" s="9" t="n">
        <v>27.56</v>
      </c>
      <c r="AW101" s="9" t="n">
        <v>28.01</v>
      </c>
    </row>
    <row r="102">
      <c r="G102" s="17" t="n">
        <v>87</v>
      </c>
      <c r="H102" s="2">
        <f>TRUNC((_xlfn.NORM.INV((RAND()),$E$24,$E$25)),2)</f>
        <v/>
      </c>
      <c r="I102" s="2">
        <f>TRUNC((_xlfn.NORM.INV((RAND()),$E$24,$E$25)),2)</f>
        <v/>
      </c>
      <c r="J102" s="2">
        <f>TRUNC((_xlfn.NORM.INV((RAND()),$E$24,$E$25)),2)</f>
        <v/>
      </c>
      <c r="AA102" s="17" t="n">
        <v>87</v>
      </c>
      <c r="AB102" s="3">
        <f>IF(H102&lt;0,0,H102)</f>
        <v/>
      </c>
      <c r="AC102" s="3">
        <f>IF(I102&lt;0,0,I102)</f>
        <v/>
      </c>
      <c r="AD102" s="3">
        <f>IF(J102&lt;0,0,J102)</f>
        <v/>
      </c>
      <c r="AT102" s="17" t="n">
        <v>87</v>
      </c>
      <c r="AU102" s="9" t="n">
        <v>24.14</v>
      </c>
      <c r="AV102" s="9" t="n">
        <v>21.03</v>
      </c>
      <c r="AW102" s="9" t="n">
        <v>25.99</v>
      </c>
    </row>
    <row r="103">
      <c r="G103" s="17" t="n">
        <v>88</v>
      </c>
      <c r="H103" s="2">
        <f>TRUNC((_xlfn.NORM.INV((RAND()),$E$24,$E$25)),2)</f>
        <v/>
      </c>
      <c r="I103" s="2">
        <f>TRUNC((_xlfn.NORM.INV((RAND()),$E$24,$E$25)),2)</f>
        <v/>
      </c>
      <c r="J103" s="2">
        <f>TRUNC((_xlfn.NORM.INV((RAND()),$E$24,$E$25)),2)</f>
        <v/>
      </c>
      <c r="AA103" s="17" t="n">
        <v>88</v>
      </c>
      <c r="AB103" s="3">
        <f>IF(H103&lt;0,0,H103)</f>
        <v/>
      </c>
      <c r="AC103" s="3">
        <f>IF(I103&lt;0,0,I103)</f>
        <v/>
      </c>
      <c r="AD103" s="3">
        <f>IF(J103&lt;0,0,J103)</f>
        <v/>
      </c>
      <c r="AT103" s="17" t="n">
        <v>88</v>
      </c>
      <c r="AU103" s="9" t="n">
        <v>30.79</v>
      </c>
      <c r="AV103" s="9" t="n">
        <v>26.34</v>
      </c>
      <c r="AW103" s="9" t="n">
        <v>18.19</v>
      </c>
    </row>
    <row r="104">
      <c r="G104" s="17" t="n">
        <v>89</v>
      </c>
      <c r="H104" s="2">
        <f>TRUNC((_xlfn.NORM.INV((RAND()),$E$24,$E$25)),2)</f>
        <v/>
      </c>
      <c r="I104" s="2">
        <f>TRUNC((_xlfn.NORM.INV((RAND()),$E$24,$E$25)),2)</f>
        <v/>
      </c>
      <c r="J104" s="2">
        <f>TRUNC((_xlfn.NORM.INV((RAND()),$E$24,$E$25)),2)</f>
        <v/>
      </c>
      <c r="AA104" s="17" t="n">
        <v>89</v>
      </c>
      <c r="AB104" s="3">
        <f>IF(H104&lt;0,0,H104)</f>
        <v/>
      </c>
      <c r="AC104" s="3">
        <f>IF(I104&lt;0,0,I104)</f>
        <v/>
      </c>
      <c r="AD104" s="3">
        <f>IF(J104&lt;0,0,J104)</f>
        <v/>
      </c>
      <c r="AT104" s="17" t="n">
        <v>89</v>
      </c>
      <c r="AU104" s="9" t="n">
        <v>36</v>
      </c>
      <c r="AV104" s="9" t="n">
        <v>28.07</v>
      </c>
      <c r="AW104" s="9" t="n">
        <v>25.11</v>
      </c>
    </row>
    <row r="105">
      <c r="G105" s="17" t="n">
        <v>90</v>
      </c>
      <c r="H105" s="2">
        <f>TRUNC((_xlfn.NORM.INV((RAND()),$E$24,$E$25)),2)</f>
        <v/>
      </c>
      <c r="I105" s="2">
        <f>TRUNC((_xlfn.NORM.INV((RAND()),$E$24,$E$25)),2)</f>
        <v/>
      </c>
      <c r="J105" s="2">
        <f>TRUNC((_xlfn.NORM.INV((RAND()),$E$24,$E$25)),2)</f>
        <v/>
      </c>
      <c r="AA105" s="17" t="n">
        <v>90</v>
      </c>
      <c r="AB105" s="3">
        <f>IF(H105&lt;0,0,H105)</f>
        <v/>
      </c>
      <c r="AC105" s="3">
        <f>IF(I105&lt;0,0,I105)</f>
        <v/>
      </c>
      <c r="AD105" s="3">
        <f>IF(J105&lt;0,0,J105)</f>
        <v/>
      </c>
      <c r="AT105" s="17" t="n">
        <v>90</v>
      </c>
      <c r="AU105" s="9" t="n">
        <v>30.77</v>
      </c>
      <c r="AV105" s="9" t="n">
        <v>24.94</v>
      </c>
      <c r="AW105" s="9" t="n">
        <v>28.03</v>
      </c>
    </row>
    <row r="106">
      <c r="G106" s="17" t="n">
        <v>91</v>
      </c>
      <c r="H106" s="2">
        <f>TRUNC((_xlfn.NORM.INV((RAND()),$E$24,$E$25)),2)</f>
        <v/>
      </c>
      <c r="I106" s="2">
        <f>TRUNC((_xlfn.NORM.INV((RAND()),$E$24,$E$25)),2)</f>
        <v/>
      </c>
      <c r="J106" s="2">
        <f>TRUNC((_xlfn.NORM.INV((RAND()),$E$24,$E$25)),2)</f>
        <v/>
      </c>
      <c r="AA106" s="17" t="n">
        <v>91</v>
      </c>
      <c r="AB106" s="3">
        <f>IF(H106&lt;0,0,H106)</f>
        <v/>
      </c>
      <c r="AC106" s="3">
        <f>IF(I106&lt;0,0,I106)</f>
        <v/>
      </c>
      <c r="AD106" s="3">
        <f>IF(J106&lt;0,0,J106)</f>
        <v/>
      </c>
      <c r="AT106" s="17" t="n">
        <v>91</v>
      </c>
      <c r="AU106" s="9" t="n">
        <v>26.22</v>
      </c>
      <c r="AV106" s="9" t="n">
        <v>23.59</v>
      </c>
      <c r="AW106" s="9" t="n">
        <v>23.28</v>
      </c>
    </row>
    <row r="107">
      <c r="G107" s="17" t="n">
        <v>92</v>
      </c>
      <c r="H107" s="2">
        <f>TRUNC((_xlfn.NORM.INV((RAND()),$E$24,$E$25)),2)</f>
        <v/>
      </c>
      <c r="I107" s="2">
        <f>TRUNC((_xlfn.NORM.INV((RAND()),$E$24,$E$25)),2)</f>
        <v/>
      </c>
      <c r="J107" s="2">
        <f>TRUNC((_xlfn.NORM.INV((RAND()),$E$24,$E$25)),2)</f>
        <v/>
      </c>
      <c r="AA107" s="17" t="n">
        <v>92</v>
      </c>
      <c r="AB107" s="3">
        <f>IF(H107&lt;0,0,H107)</f>
        <v/>
      </c>
      <c r="AC107" s="3">
        <f>IF(I107&lt;0,0,I107)</f>
        <v/>
      </c>
      <c r="AD107" s="3">
        <f>IF(J107&lt;0,0,J107)</f>
        <v/>
      </c>
      <c r="AT107" s="17" t="n">
        <v>92</v>
      </c>
      <c r="AU107" s="9" t="n">
        <v>24.05</v>
      </c>
      <c r="AV107" s="9" t="n">
        <v>31.04</v>
      </c>
      <c r="AW107" s="9" t="n">
        <v>35.36</v>
      </c>
    </row>
    <row r="108">
      <c r="G108" s="17" t="n">
        <v>93</v>
      </c>
      <c r="H108" s="2">
        <f>TRUNC((_xlfn.NORM.INV((RAND()),$E$24,$E$25)),2)</f>
        <v/>
      </c>
      <c r="I108" s="2">
        <f>TRUNC((_xlfn.NORM.INV((RAND()),$E$24,$E$25)),2)</f>
        <v/>
      </c>
      <c r="J108" s="2">
        <f>TRUNC((_xlfn.NORM.INV((RAND()),$E$24,$E$25)),2)</f>
        <v/>
      </c>
      <c r="AA108" s="17" t="n">
        <v>93</v>
      </c>
      <c r="AB108" s="3">
        <f>IF(H108&lt;0,0,H108)</f>
        <v/>
      </c>
      <c r="AC108" s="3">
        <f>IF(I108&lt;0,0,I108)</f>
        <v/>
      </c>
      <c r="AD108" s="3">
        <f>IF(J108&lt;0,0,J108)</f>
        <v/>
      </c>
      <c r="AT108" s="17" t="n">
        <v>93</v>
      </c>
      <c r="AU108" s="9" t="n">
        <v>20.06</v>
      </c>
      <c r="AV108" s="9" t="n">
        <v>29.86</v>
      </c>
      <c r="AW108" s="9" t="n">
        <v>24.35</v>
      </c>
    </row>
    <row r="109">
      <c r="G109" s="17" t="n">
        <v>94</v>
      </c>
      <c r="H109" s="2">
        <f>TRUNC((_xlfn.NORM.INV((RAND()),$E$24,$E$25)),2)</f>
        <v/>
      </c>
      <c r="I109" s="2">
        <f>TRUNC((_xlfn.NORM.INV((RAND()),$E$24,$E$25)),2)</f>
        <v/>
      </c>
      <c r="J109" s="2">
        <f>TRUNC((_xlfn.NORM.INV((RAND()),$E$24,$E$25)),2)</f>
        <v/>
      </c>
      <c r="AA109" s="17" t="n">
        <v>94</v>
      </c>
      <c r="AB109" s="3">
        <f>IF(H109&lt;0,0,H109)</f>
        <v/>
      </c>
      <c r="AC109" s="3">
        <f>IF(I109&lt;0,0,I109)</f>
        <v/>
      </c>
      <c r="AD109" s="3">
        <f>IF(J109&lt;0,0,J109)</f>
        <v/>
      </c>
      <c r="AT109" s="17" t="n">
        <v>94</v>
      </c>
      <c r="AU109" s="9" t="n">
        <v>31.86</v>
      </c>
      <c r="AV109" s="9" t="n">
        <v>29.26</v>
      </c>
      <c r="AW109" s="9" t="n">
        <v>22.55</v>
      </c>
    </row>
    <row r="110">
      <c r="G110" s="17" t="n">
        <v>95</v>
      </c>
      <c r="H110" s="2">
        <f>TRUNC((_xlfn.NORM.INV((RAND()),$E$24,$E$25)),2)</f>
        <v/>
      </c>
      <c r="I110" s="2">
        <f>TRUNC((_xlfn.NORM.INV((RAND()),$E$24,$E$25)),2)</f>
        <v/>
      </c>
      <c r="J110" s="2">
        <f>TRUNC((_xlfn.NORM.INV((RAND()),$E$24,$E$25)),2)</f>
        <v/>
      </c>
      <c r="AA110" s="17" t="n">
        <v>95</v>
      </c>
      <c r="AB110" s="3">
        <f>IF(H110&lt;0,0,H110)</f>
        <v/>
      </c>
      <c r="AC110" s="3">
        <f>IF(I110&lt;0,0,I110)</f>
        <v/>
      </c>
      <c r="AD110" s="3">
        <f>IF(J110&lt;0,0,J110)</f>
        <v/>
      </c>
      <c r="AT110" s="17" t="n">
        <v>95</v>
      </c>
      <c r="AU110" s="9" t="n">
        <v>26.79</v>
      </c>
      <c r="AV110" s="9" t="n">
        <v>21.85</v>
      </c>
      <c r="AW110" s="9" t="n">
        <v>35.92</v>
      </c>
    </row>
    <row r="111">
      <c r="G111" s="17" t="n">
        <v>96</v>
      </c>
      <c r="H111" s="2">
        <f>TRUNC((_xlfn.NORM.INV((RAND()),$E$24,$E$25)),2)</f>
        <v/>
      </c>
      <c r="I111" s="2">
        <f>TRUNC((_xlfn.NORM.INV((RAND()),$E$24,$E$25)),2)</f>
        <v/>
      </c>
      <c r="J111" s="2">
        <f>TRUNC((_xlfn.NORM.INV((RAND()),$E$24,$E$25)),2)</f>
        <v/>
      </c>
      <c r="AA111" s="17" t="n">
        <v>96</v>
      </c>
      <c r="AB111" s="3">
        <f>IF(H111&lt;0,0,H111)</f>
        <v/>
      </c>
      <c r="AC111" s="3">
        <f>IF(I111&lt;0,0,I111)</f>
        <v/>
      </c>
      <c r="AD111" s="3">
        <f>IF(J111&lt;0,0,J111)</f>
        <v/>
      </c>
      <c r="AT111" s="17" t="n">
        <v>96</v>
      </c>
      <c r="AU111" s="9" t="n">
        <v>30.93</v>
      </c>
      <c r="AV111" s="9" t="n">
        <v>23.89</v>
      </c>
      <c r="AW111" s="9" t="n">
        <v>26</v>
      </c>
    </row>
    <row r="112">
      <c r="G112" s="17" t="n">
        <v>97</v>
      </c>
      <c r="H112" s="2">
        <f>TRUNC((_xlfn.NORM.INV((RAND()),$E$24,$E$25)),2)</f>
        <v/>
      </c>
      <c r="I112" s="2">
        <f>TRUNC((_xlfn.NORM.INV((RAND()),$E$24,$E$25)),2)</f>
        <v/>
      </c>
      <c r="J112" s="2">
        <f>TRUNC((_xlfn.NORM.INV((RAND()),$E$24,$E$25)),2)</f>
        <v/>
      </c>
      <c r="AA112" s="17" t="n">
        <v>97</v>
      </c>
      <c r="AB112" s="3">
        <f>IF(H112&lt;0,0,H112)</f>
        <v/>
      </c>
      <c r="AC112" s="3">
        <f>IF(I112&lt;0,0,I112)</f>
        <v/>
      </c>
      <c r="AD112" s="3">
        <f>IF(J112&lt;0,0,J112)</f>
        <v/>
      </c>
      <c r="AT112" s="17" t="n">
        <v>97</v>
      </c>
      <c r="AU112" s="9" t="n">
        <v>39.71</v>
      </c>
      <c r="AV112" s="9" t="n">
        <v>32.4</v>
      </c>
      <c r="AW112" s="9" t="n">
        <v>28.1</v>
      </c>
    </row>
    <row r="113">
      <c r="G113" s="17" t="n">
        <v>98</v>
      </c>
      <c r="H113" s="2">
        <f>TRUNC((_xlfn.NORM.INV((RAND()),$E$24,$E$25)),2)</f>
        <v/>
      </c>
      <c r="I113" s="2">
        <f>TRUNC((_xlfn.NORM.INV((RAND()),$E$24,$E$25)),2)</f>
        <v/>
      </c>
      <c r="J113" s="2">
        <f>TRUNC((_xlfn.NORM.INV((RAND()),$E$24,$E$25)),2)</f>
        <v/>
      </c>
      <c r="AA113" s="17" t="n">
        <v>98</v>
      </c>
      <c r="AB113" s="3">
        <f>IF(H113&lt;0,0,H113)</f>
        <v/>
      </c>
      <c r="AC113" s="3">
        <f>IF(I113&lt;0,0,I113)</f>
        <v/>
      </c>
      <c r="AD113" s="3">
        <f>IF(J113&lt;0,0,J113)</f>
        <v/>
      </c>
      <c r="AT113" s="17" t="n">
        <v>98</v>
      </c>
      <c r="AU113" s="9" t="n">
        <v>32.15</v>
      </c>
      <c r="AV113" s="9" t="n">
        <v>22.39</v>
      </c>
      <c r="AW113" s="9" t="n">
        <v>29.09</v>
      </c>
    </row>
    <row r="114">
      <c r="G114" s="17" t="n">
        <v>99</v>
      </c>
      <c r="H114" s="2">
        <f>TRUNC((_xlfn.NORM.INV((RAND()),$E$24,$E$25)),2)</f>
        <v/>
      </c>
      <c r="I114" s="2">
        <f>TRUNC((_xlfn.NORM.INV((RAND()),$E$24,$E$25)),2)</f>
        <v/>
      </c>
      <c r="J114" s="2">
        <f>TRUNC((_xlfn.NORM.INV((RAND()),$E$24,$E$25)),2)</f>
        <v/>
      </c>
      <c r="AA114" s="17" t="n">
        <v>99</v>
      </c>
      <c r="AB114" s="3">
        <f>IF(H114&lt;0,0,H114)</f>
        <v/>
      </c>
      <c r="AC114" s="3">
        <f>IF(I114&lt;0,0,I114)</f>
        <v/>
      </c>
      <c r="AD114" s="3">
        <f>IF(J114&lt;0,0,J114)</f>
        <v/>
      </c>
      <c r="AT114" s="17" t="n">
        <v>99</v>
      </c>
      <c r="AU114" s="9" t="n">
        <v>21.47</v>
      </c>
      <c r="AV114" s="9" t="n">
        <v>22.96</v>
      </c>
      <c r="AW114" s="9" t="n">
        <v>32.72</v>
      </c>
    </row>
    <row r="115">
      <c r="G115" s="17" t="n">
        <v>100</v>
      </c>
      <c r="H115" s="2">
        <f>TRUNC((_xlfn.NORM.INV((RAND()),$E$24,$E$25)),2)</f>
        <v/>
      </c>
      <c r="I115" s="2">
        <f>TRUNC((_xlfn.NORM.INV((RAND()),$E$24,$E$25)),2)</f>
        <v/>
      </c>
      <c r="J115" s="2">
        <f>TRUNC((_xlfn.NORM.INV((RAND()),$E$24,$E$25)),2)</f>
        <v/>
      </c>
      <c r="AA115" s="17" t="n">
        <v>100</v>
      </c>
      <c r="AB115" s="3">
        <f>IF(H115&lt;0,0,H115)</f>
        <v/>
      </c>
      <c r="AC115" s="3">
        <f>IF(I115&lt;0,0,I115)</f>
        <v/>
      </c>
      <c r="AD115" s="3">
        <f>IF(J115&lt;0,0,J115)</f>
        <v/>
      </c>
      <c r="AT115" s="17" t="n">
        <v>100</v>
      </c>
      <c r="AU115" s="9" t="n">
        <v>22.73</v>
      </c>
      <c r="AV115" s="9" t="n">
        <v>25.74</v>
      </c>
      <c r="AW115" s="9" t="n">
        <v>20.74</v>
      </c>
    </row>
    <row r="116">
      <c r="G116" s="17" t="n">
        <v>101</v>
      </c>
      <c r="H116" s="2">
        <f>TRUNC((_xlfn.NORM.INV((RAND()),$E$24,$E$25)),2)</f>
        <v/>
      </c>
      <c r="I116" s="2">
        <f>TRUNC((_xlfn.NORM.INV((RAND()),$E$24,$E$25)),2)</f>
        <v/>
      </c>
      <c r="J116" s="2">
        <f>TRUNC((_xlfn.NORM.INV((RAND()),$E$24,$E$25)),2)</f>
        <v/>
      </c>
      <c r="AA116" s="17" t="n">
        <v>101</v>
      </c>
      <c r="AB116" s="3">
        <f>IF(H116&lt;0,0,H116)</f>
        <v/>
      </c>
      <c r="AC116" s="3">
        <f>IF(I116&lt;0,0,I116)</f>
        <v/>
      </c>
      <c r="AD116" s="3">
        <f>IF(J116&lt;0,0,J116)</f>
        <v/>
      </c>
      <c r="AT116" s="17" t="n">
        <v>101</v>
      </c>
      <c r="AU116" s="9" t="n">
        <v>23.49</v>
      </c>
      <c r="AV116" s="9" t="n">
        <v>27.1</v>
      </c>
      <c r="AW116" s="9" t="n">
        <v>24.23</v>
      </c>
    </row>
    <row r="117">
      <c r="G117" s="17" t="n">
        <v>102</v>
      </c>
      <c r="H117" s="2">
        <f>TRUNC((_xlfn.NORM.INV((RAND()),$E$24,$E$25)),2)</f>
        <v/>
      </c>
      <c r="I117" s="2">
        <f>TRUNC((_xlfn.NORM.INV((RAND()),$E$24,$E$25)),2)</f>
        <v/>
      </c>
      <c r="J117" s="2">
        <f>TRUNC((_xlfn.NORM.INV((RAND()),$E$24,$E$25)),2)</f>
        <v/>
      </c>
      <c r="AA117" s="17" t="n">
        <v>102</v>
      </c>
      <c r="AB117" s="3">
        <f>IF(H117&lt;0,0,H117)</f>
        <v/>
      </c>
      <c r="AC117" s="3">
        <f>IF(I117&lt;0,0,I117)</f>
        <v/>
      </c>
      <c r="AD117" s="3">
        <f>IF(J117&lt;0,0,J117)</f>
        <v/>
      </c>
      <c r="AT117" s="17" t="n">
        <v>102</v>
      </c>
      <c r="AU117" s="9" t="n">
        <v>26.5</v>
      </c>
      <c r="AV117" s="9" t="n">
        <v>34.43</v>
      </c>
      <c r="AW117" s="9" t="n">
        <v>24.75</v>
      </c>
    </row>
    <row r="118">
      <c r="G118" s="17" t="n">
        <v>103</v>
      </c>
      <c r="H118" s="2">
        <f>TRUNC((_xlfn.NORM.INV((RAND()),$E$24,$E$25)),2)</f>
        <v/>
      </c>
      <c r="I118" s="2">
        <f>TRUNC((_xlfn.NORM.INV((RAND()),$E$24,$E$25)),2)</f>
        <v/>
      </c>
      <c r="J118" s="2">
        <f>TRUNC((_xlfn.NORM.INV((RAND()),$E$24,$E$25)),2)</f>
        <v/>
      </c>
      <c r="AA118" s="17" t="n">
        <v>103</v>
      </c>
      <c r="AB118" s="3">
        <f>IF(H118&lt;0,0,H118)</f>
        <v/>
      </c>
      <c r="AC118" s="3">
        <f>IF(I118&lt;0,0,I118)</f>
        <v/>
      </c>
      <c r="AD118" s="3">
        <f>IF(J118&lt;0,0,J118)</f>
        <v/>
      </c>
      <c r="AT118" s="17" t="n">
        <v>103</v>
      </c>
      <c r="AU118" s="9" t="n">
        <v>29.13</v>
      </c>
      <c r="AV118" s="9" t="n">
        <v>22.74</v>
      </c>
      <c r="AW118" s="9" t="n">
        <v>30.7</v>
      </c>
    </row>
    <row r="119">
      <c r="G119" s="17" t="n">
        <v>104</v>
      </c>
      <c r="H119" s="2">
        <f>TRUNC((_xlfn.NORM.INV((RAND()),$E$24,$E$25)),2)</f>
        <v/>
      </c>
      <c r="I119" s="2">
        <f>TRUNC((_xlfn.NORM.INV((RAND()),$E$24,$E$25)),2)</f>
        <v/>
      </c>
      <c r="J119" s="2">
        <f>TRUNC((_xlfn.NORM.INV((RAND()),$E$24,$E$25)),2)</f>
        <v/>
      </c>
      <c r="AA119" s="17" t="n">
        <v>104</v>
      </c>
      <c r="AB119" s="3">
        <f>IF(H119&lt;0,0,H119)</f>
        <v/>
      </c>
      <c r="AC119" s="3">
        <f>IF(I119&lt;0,0,I119)</f>
        <v/>
      </c>
      <c r="AD119" s="3">
        <f>IF(J119&lt;0,0,J119)</f>
        <v/>
      </c>
      <c r="AT119" s="17" t="n">
        <v>104</v>
      </c>
      <c r="AU119" s="9" t="n">
        <v>13.85</v>
      </c>
      <c r="AV119" s="9" t="n">
        <v>30.89</v>
      </c>
      <c r="AW119" s="9" t="n">
        <v>34.3</v>
      </c>
    </row>
    <row r="120">
      <c r="G120" s="17" t="n">
        <v>105</v>
      </c>
      <c r="H120" s="2">
        <f>TRUNC((_xlfn.NORM.INV((RAND()),$E$24,$E$25)),2)</f>
        <v/>
      </c>
      <c r="I120" s="2">
        <f>TRUNC((_xlfn.NORM.INV((RAND()),$E$24,$E$25)),2)</f>
        <v/>
      </c>
      <c r="J120" s="2">
        <f>TRUNC((_xlfn.NORM.INV((RAND()),$E$24,$E$25)),2)</f>
        <v/>
      </c>
      <c r="AA120" s="17" t="n">
        <v>105</v>
      </c>
      <c r="AB120" s="3">
        <f>IF(H120&lt;0,0,H120)</f>
        <v/>
      </c>
      <c r="AC120" s="3">
        <f>IF(I120&lt;0,0,I120)</f>
        <v/>
      </c>
      <c r="AD120" s="3">
        <f>IF(J120&lt;0,0,J120)</f>
        <v/>
      </c>
      <c r="AT120" s="17" t="n">
        <v>105</v>
      </c>
      <c r="AU120" s="9" t="n">
        <v>30.94</v>
      </c>
      <c r="AV120" s="9" t="n">
        <v>28.72</v>
      </c>
      <c r="AW120" s="9" t="n">
        <v>21.01</v>
      </c>
    </row>
    <row r="121">
      <c r="G121" s="17" t="n">
        <v>106</v>
      </c>
      <c r="H121" s="2">
        <f>TRUNC((_xlfn.NORM.INV((RAND()),$E$24,$E$25)),2)</f>
        <v/>
      </c>
      <c r="I121" s="2">
        <f>TRUNC((_xlfn.NORM.INV((RAND()),$E$24,$E$25)),2)</f>
        <v/>
      </c>
      <c r="J121" s="2">
        <f>TRUNC((_xlfn.NORM.INV((RAND()),$E$24,$E$25)),2)</f>
        <v/>
      </c>
      <c r="AA121" s="17" t="n">
        <v>106</v>
      </c>
      <c r="AB121" s="3">
        <f>IF(H121&lt;0,0,H121)</f>
        <v/>
      </c>
      <c r="AC121" s="3">
        <f>IF(I121&lt;0,0,I121)</f>
        <v/>
      </c>
      <c r="AD121" s="3">
        <f>IF(J121&lt;0,0,J121)</f>
        <v/>
      </c>
      <c r="AT121" s="17" t="n">
        <v>106</v>
      </c>
      <c r="AU121" s="9" t="n">
        <v>20.32</v>
      </c>
      <c r="AV121" s="9" t="n">
        <v>28.71</v>
      </c>
      <c r="AW121" s="9" t="n">
        <v>23.03</v>
      </c>
    </row>
    <row r="122">
      <c r="G122" s="17" t="n">
        <v>107</v>
      </c>
      <c r="H122" s="2">
        <f>TRUNC((_xlfn.NORM.INV((RAND()),$E$24,$E$25)),2)</f>
        <v/>
      </c>
      <c r="I122" s="2">
        <f>TRUNC((_xlfn.NORM.INV((RAND()),$E$24,$E$25)),2)</f>
        <v/>
      </c>
      <c r="J122" s="2">
        <f>TRUNC((_xlfn.NORM.INV((RAND()),$E$24,$E$25)),2)</f>
        <v/>
      </c>
      <c r="AA122" s="17" t="n">
        <v>107</v>
      </c>
      <c r="AB122" s="3">
        <f>IF(H122&lt;0,0,H122)</f>
        <v/>
      </c>
      <c r="AC122" s="3">
        <f>IF(I122&lt;0,0,I122)</f>
        <v/>
      </c>
      <c r="AD122" s="3">
        <f>IF(J122&lt;0,0,J122)</f>
        <v/>
      </c>
      <c r="AT122" s="17" t="n">
        <v>107</v>
      </c>
      <c r="AU122" s="9" t="n">
        <v>31.05</v>
      </c>
      <c r="AV122" s="9" t="n">
        <v>29.65</v>
      </c>
      <c r="AW122" s="9" t="n">
        <v>20.94</v>
      </c>
    </row>
    <row r="123">
      <c r="G123" s="17" t="n">
        <v>108</v>
      </c>
      <c r="H123" s="2">
        <f>TRUNC((_xlfn.NORM.INV((RAND()),$E$24,$E$25)),2)</f>
        <v/>
      </c>
      <c r="I123" s="2">
        <f>TRUNC((_xlfn.NORM.INV((RAND()),$E$24,$E$25)),2)</f>
        <v/>
      </c>
      <c r="J123" s="2">
        <f>TRUNC((_xlfn.NORM.INV((RAND()),$E$24,$E$25)),2)</f>
        <v/>
      </c>
      <c r="AA123" s="17" t="n">
        <v>108</v>
      </c>
      <c r="AB123" s="3">
        <f>IF(H123&lt;0,0,H123)</f>
        <v/>
      </c>
      <c r="AC123" s="3">
        <f>IF(I123&lt;0,0,I123)</f>
        <v/>
      </c>
      <c r="AD123" s="3">
        <f>IF(J123&lt;0,0,J123)</f>
        <v/>
      </c>
      <c r="AT123" s="17" t="n">
        <v>108</v>
      </c>
      <c r="AU123" s="9" t="n">
        <v>27.72</v>
      </c>
      <c r="AV123" s="9" t="n">
        <v>28.96</v>
      </c>
      <c r="AW123" s="9" t="n">
        <v>10.59</v>
      </c>
    </row>
    <row r="124">
      <c r="G124" s="17" t="n">
        <v>109</v>
      </c>
      <c r="H124" s="2">
        <f>TRUNC((_xlfn.NORM.INV((RAND()),$E$24,$E$25)),2)</f>
        <v/>
      </c>
      <c r="I124" s="2">
        <f>TRUNC((_xlfn.NORM.INV((RAND()),$E$24,$E$25)),2)</f>
        <v/>
      </c>
      <c r="J124" s="2">
        <f>TRUNC((_xlfn.NORM.INV((RAND()),$E$24,$E$25)),2)</f>
        <v/>
      </c>
      <c r="AA124" s="17" t="n">
        <v>109</v>
      </c>
      <c r="AB124" s="3">
        <f>IF(H124&lt;0,0,H124)</f>
        <v/>
      </c>
      <c r="AC124" s="3">
        <f>IF(I124&lt;0,0,I124)</f>
        <v/>
      </c>
      <c r="AD124" s="3">
        <f>IF(J124&lt;0,0,J124)</f>
        <v/>
      </c>
      <c r="AT124" s="17" t="n">
        <v>109</v>
      </c>
      <c r="AU124" s="9" t="n">
        <v>23.35</v>
      </c>
      <c r="AV124" s="9" t="n">
        <v>25.42</v>
      </c>
      <c r="AW124" s="9" t="n">
        <v>25.12</v>
      </c>
    </row>
    <row r="125">
      <c r="G125" s="17" t="n">
        <v>110</v>
      </c>
      <c r="H125" s="2">
        <f>TRUNC((_xlfn.NORM.INV((RAND()),$E$24,$E$25)),2)</f>
        <v/>
      </c>
      <c r="I125" s="2">
        <f>TRUNC((_xlfn.NORM.INV((RAND()),$E$24,$E$25)),2)</f>
        <v/>
      </c>
      <c r="J125" s="2">
        <f>TRUNC((_xlfn.NORM.INV((RAND()),$E$24,$E$25)),2)</f>
        <v/>
      </c>
      <c r="AA125" s="17" t="n">
        <v>110</v>
      </c>
      <c r="AB125" s="3">
        <f>IF(H125&lt;0,0,H125)</f>
        <v/>
      </c>
      <c r="AC125" s="3">
        <f>IF(I125&lt;0,0,I125)</f>
        <v/>
      </c>
      <c r="AD125" s="3">
        <f>IF(J125&lt;0,0,J125)</f>
        <v/>
      </c>
      <c r="AT125" s="17" t="n">
        <v>110</v>
      </c>
      <c r="AU125" s="9" t="n">
        <v>26.55</v>
      </c>
      <c r="AV125" s="9" t="n">
        <v>20.99</v>
      </c>
      <c r="AW125" s="9" t="n">
        <v>31.01</v>
      </c>
    </row>
    <row r="126">
      <c r="G126" s="17" t="n">
        <v>111</v>
      </c>
      <c r="H126" s="2">
        <f>TRUNC((_xlfn.NORM.INV((RAND()),$E$24,$E$25)),2)</f>
        <v/>
      </c>
      <c r="I126" s="2">
        <f>TRUNC((_xlfn.NORM.INV((RAND()),$E$24,$E$25)),2)</f>
        <v/>
      </c>
      <c r="J126" s="2">
        <f>TRUNC((_xlfn.NORM.INV((RAND()),$E$24,$E$25)),2)</f>
        <v/>
      </c>
      <c r="AA126" s="17" t="n">
        <v>111</v>
      </c>
      <c r="AB126" s="3">
        <f>IF(H126&lt;0,0,H126)</f>
        <v/>
      </c>
      <c r="AC126" s="3">
        <f>IF(I126&lt;0,0,I126)</f>
        <v/>
      </c>
      <c r="AD126" s="3">
        <f>IF(J126&lt;0,0,J126)</f>
        <v/>
      </c>
      <c r="AT126" s="17" t="n">
        <v>111</v>
      </c>
      <c r="AU126" s="9" t="n">
        <v>33.45</v>
      </c>
      <c r="AV126" s="9" t="n">
        <v>17.39</v>
      </c>
      <c r="AW126" s="9" t="n">
        <v>31.17</v>
      </c>
    </row>
    <row r="127">
      <c r="G127" s="17" t="n">
        <v>112</v>
      </c>
      <c r="H127" s="2">
        <f>TRUNC((_xlfn.NORM.INV((RAND()),$E$24,$E$25)),2)</f>
        <v/>
      </c>
      <c r="I127" s="2">
        <f>TRUNC((_xlfn.NORM.INV((RAND()),$E$24,$E$25)),2)</f>
        <v/>
      </c>
      <c r="J127" s="2">
        <f>TRUNC((_xlfn.NORM.INV((RAND()),$E$24,$E$25)),2)</f>
        <v/>
      </c>
      <c r="AA127" s="17" t="n">
        <v>112</v>
      </c>
      <c r="AB127" s="3">
        <f>IF(H127&lt;0,0,H127)</f>
        <v/>
      </c>
      <c r="AC127" s="3">
        <f>IF(I127&lt;0,0,I127)</f>
        <v/>
      </c>
      <c r="AD127" s="3">
        <f>IF(J127&lt;0,0,J127)</f>
        <v/>
      </c>
      <c r="AT127" s="17" t="n">
        <v>112</v>
      </c>
      <c r="AU127" s="9" t="n">
        <v>23.07</v>
      </c>
      <c r="AV127" s="9" t="n">
        <v>31.05</v>
      </c>
      <c r="AW127" s="9" t="n">
        <v>33.7</v>
      </c>
    </row>
    <row r="128">
      <c r="G128" s="17" t="n">
        <v>113</v>
      </c>
      <c r="H128" s="2">
        <f>TRUNC((_xlfn.NORM.INV((RAND()),$E$24,$E$25)),2)</f>
        <v/>
      </c>
      <c r="I128" s="2">
        <f>TRUNC((_xlfn.NORM.INV((RAND()),$E$24,$E$25)),2)</f>
        <v/>
      </c>
      <c r="J128" s="2">
        <f>TRUNC((_xlfn.NORM.INV((RAND()),$E$24,$E$25)),2)</f>
        <v/>
      </c>
      <c r="AA128" s="17" t="n">
        <v>113</v>
      </c>
      <c r="AB128" s="3">
        <f>IF(H128&lt;0,0,H128)</f>
        <v/>
      </c>
      <c r="AC128" s="3">
        <f>IF(I128&lt;0,0,I128)</f>
        <v/>
      </c>
      <c r="AD128" s="3">
        <f>IF(J128&lt;0,0,J128)</f>
        <v/>
      </c>
      <c r="AT128" s="17" t="n">
        <v>113</v>
      </c>
      <c r="AU128" s="9" t="n">
        <v>30.89</v>
      </c>
      <c r="AV128" s="9" t="n">
        <v>23.93</v>
      </c>
      <c r="AW128" s="9" t="n">
        <v>24.53</v>
      </c>
    </row>
    <row r="129">
      <c r="G129" s="17" t="n">
        <v>114</v>
      </c>
      <c r="H129" s="2">
        <f>TRUNC((_xlfn.NORM.INV((RAND()),$E$24,$E$25)),2)</f>
        <v/>
      </c>
      <c r="I129" s="2">
        <f>TRUNC((_xlfn.NORM.INV((RAND()),$E$24,$E$25)),2)</f>
        <v/>
      </c>
      <c r="J129" s="2">
        <f>TRUNC((_xlfn.NORM.INV((RAND()),$E$24,$E$25)),2)</f>
        <v/>
      </c>
      <c r="AA129" s="17" t="n">
        <v>114</v>
      </c>
      <c r="AB129" s="3">
        <f>IF(H129&lt;0,0,H129)</f>
        <v/>
      </c>
      <c r="AC129" s="3">
        <f>IF(I129&lt;0,0,I129)</f>
        <v/>
      </c>
      <c r="AD129" s="3">
        <f>IF(J129&lt;0,0,J129)</f>
        <v/>
      </c>
      <c r="AT129" s="17" t="n">
        <v>114</v>
      </c>
      <c r="AU129" s="9" t="n">
        <v>31.51</v>
      </c>
      <c r="AV129" s="9" t="n">
        <v>24.53</v>
      </c>
      <c r="AW129" s="9" t="n">
        <v>30.6</v>
      </c>
    </row>
    <row r="130">
      <c r="G130" s="17" t="n">
        <v>115</v>
      </c>
      <c r="H130" s="2">
        <f>TRUNC((_xlfn.NORM.INV((RAND()),$E$24,$E$25)),2)</f>
        <v/>
      </c>
      <c r="I130" s="2">
        <f>TRUNC((_xlfn.NORM.INV((RAND()),$E$24,$E$25)),2)</f>
        <v/>
      </c>
      <c r="J130" s="2">
        <f>TRUNC((_xlfn.NORM.INV((RAND()),$E$24,$E$25)),2)</f>
        <v/>
      </c>
      <c r="AA130" s="17" t="n">
        <v>115</v>
      </c>
      <c r="AB130" s="3">
        <f>IF(H130&lt;0,0,H130)</f>
        <v/>
      </c>
      <c r="AC130" s="3">
        <f>IF(I130&lt;0,0,I130)</f>
        <v/>
      </c>
      <c r="AD130" s="3">
        <f>IF(J130&lt;0,0,J130)</f>
        <v/>
      </c>
      <c r="AT130" s="17" t="n">
        <v>115</v>
      </c>
      <c r="AU130" s="9" t="n">
        <v>28.87</v>
      </c>
      <c r="AV130" s="9" t="n">
        <v>28.89</v>
      </c>
      <c r="AW130" s="9" t="n">
        <v>14.18</v>
      </c>
    </row>
    <row r="131">
      <c r="G131" s="17" t="n">
        <v>116</v>
      </c>
      <c r="H131" s="2">
        <f>TRUNC((_xlfn.NORM.INV((RAND()),$E$24,$E$25)),2)</f>
        <v/>
      </c>
      <c r="I131" s="2">
        <f>TRUNC((_xlfn.NORM.INV((RAND()),$E$24,$E$25)),2)</f>
        <v/>
      </c>
      <c r="J131" s="2">
        <f>TRUNC((_xlfn.NORM.INV((RAND()),$E$24,$E$25)),2)</f>
        <v/>
      </c>
      <c r="AA131" s="17" t="n">
        <v>116</v>
      </c>
      <c r="AB131" s="3">
        <f>IF(H131&lt;0,0,H131)</f>
        <v/>
      </c>
      <c r="AC131" s="3">
        <f>IF(I131&lt;0,0,I131)</f>
        <v/>
      </c>
      <c r="AD131" s="3">
        <f>IF(J131&lt;0,0,J131)</f>
        <v/>
      </c>
      <c r="AT131" s="17" t="n">
        <v>116</v>
      </c>
      <c r="AU131" s="9" t="n">
        <v>22.2</v>
      </c>
      <c r="AV131" s="9" t="n">
        <v>26.04</v>
      </c>
      <c r="AW131" s="9" t="n">
        <v>20.73</v>
      </c>
    </row>
    <row r="132">
      <c r="G132" s="17" t="n">
        <v>117</v>
      </c>
      <c r="H132" s="2">
        <f>TRUNC((_xlfn.NORM.INV((RAND()),$E$24,$E$25)),2)</f>
        <v/>
      </c>
      <c r="I132" s="2">
        <f>TRUNC((_xlfn.NORM.INV((RAND()),$E$24,$E$25)),2)</f>
        <v/>
      </c>
      <c r="J132" s="2">
        <f>TRUNC((_xlfn.NORM.INV((RAND()),$E$24,$E$25)),2)</f>
        <v/>
      </c>
      <c r="AA132" s="17" t="n">
        <v>117</v>
      </c>
      <c r="AB132" s="3">
        <f>IF(H132&lt;0,0,H132)</f>
        <v/>
      </c>
      <c r="AC132" s="3">
        <f>IF(I132&lt;0,0,I132)</f>
        <v/>
      </c>
      <c r="AD132" s="3">
        <f>IF(J132&lt;0,0,J132)</f>
        <v/>
      </c>
      <c r="AT132" s="17" t="n">
        <v>117</v>
      </c>
      <c r="AU132" s="9" t="n">
        <v>22.3</v>
      </c>
      <c r="AV132" s="9" t="n">
        <v>22.66</v>
      </c>
      <c r="AW132" s="9" t="n">
        <v>27.97</v>
      </c>
    </row>
    <row r="133">
      <c r="G133" s="17" t="n">
        <v>118</v>
      </c>
      <c r="H133" s="2">
        <f>TRUNC((_xlfn.NORM.INV((RAND()),$E$24,$E$25)),2)</f>
        <v/>
      </c>
      <c r="I133" s="2">
        <f>TRUNC((_xlfn.NORM.INV((RAND()),$E$24,$E$25)),2)</f>
        <v/>
      </c>
      <c r="J133" s="2">
        <f>TRUNC((_xlfn.NORM.INV((RAND()),$E$24,$E$25)),2)</f>
        <v/>
      </c>
      <c r="AA133" s="17" t="n">
        <v>118</v>
      </c>
      <c r="AB133" s="3">
        <f>IF(H133&lt;0,0,H133)</f>
        <v/>
      </c>
      <c r="AC133" s="3">
        <f>IF(I133&lt;0,0,I133)</f>
        <v/>
      </c>
      <c r="AD133" s="3">
        <f>IF(J133&lt;0,0,J133)</f>
        <v/>
      </c>
      <c r="AT133" s="17" t="n">
        <v>118</v>
      </c>
      <c r="AU133" s="9" t="n">
        <v>26.65</v>
      </c>
      <c r="AV133" s="9" t="n">
        <v>23.1</v>
      </c>
      <c r="AW133" s="9" t="n">
        <v>28.24</v>
      </c>
    </row>
    <row r="134">
      <c r="G134" s="17" t="n">
        <v>119</v>
      </c>
      <c r="H134" s="2">
        <f>TRUNC((_xlfn.NORM.INV((RAND()),$E$24,$E$25)),2)</f>
        <v/>
      </c>
      <c r="I134" s="2">
        <f>TRUNC((_xlfn.NORM.INV((RAND()),$E$24,$E$25)),2)</f>
        <v/>
      </c>
      <c r="J134" s="2">
        <f>TRUNC((_xlfn.NORM.INV((RAND()),$E$24,$E$25)),2)</f>
        <v/>
      </c>
      <c r="AA134" s="17" t="n">
        <v>119</v>
      </c>
      <c r="AB134" s="3">
        <f>IF(H134&lt;0,0,H134)</f>
        <v/>
      </c>
      <c r="AC134" s="3">
        <f>IF(I134&lt;0,0,I134)</f>
        <v/>
      </c>
      <c r="AD134" s="3">
        <f>IF(J134&lt;0,0,J134)</f>
        <v/>
      </c>
      <c r="AT134" s="17" t="n">
        <v>119</v>
      </c>
      <c r="AU134" s="9" t="n">
        <v>22.33</v>
      </c>
      <c r="AV134" s="9" t="n">
        <v>32.28</v>
      </c>
      <c r="AW134" s="9" t="n">
        <v>18.29</v>
      </c>
    </row>
    <row r="135">
      <c r="G135" s="17" t="n">
        <v>120</v>
      </c>
      <c r="H135" s="2">
        <f>TRUNC((_xlfn.NORM.INV((RAND()),$E$24,$E$25)),2)</f>
        <v/>
      </c>
      <c r="I135" s="2">
        <f>TRUNC((_xlfn.NORM.INV((RAND()),$E$24,$E$25)),2)</f>
        <v/>
      </c>
      <c r="J135" s="2">
        <f>TRUNC((_xlfn.NORM.INV((RAND()),$E$24,$E$25)),2)</f>
        <v/>
      </c>
      <c r="AA135" s="17" t="n">
        <v>120</v>
      </c>
      <c r="AB135" s="3">
        <f>IF(H135&lt;0,0,H135)</f>
        <v/>
      </c>
      <c r="AC135" s="3">
        <f>IF(I135&lt;0,0,I135)</f>
        <v/>
      </c>
      <c r="AD135" s="3">
        <f>IF(J135&lt;0,0,J135)</f>
        <v/>
      </c>
      <c r="AT135" s="17" t="n">
        <v>120</v>
      </c>
      <c r="AU135" s="9" t="n">
        <v>24.03</v>
      </c>
      <c r="AV135" s="9" t="n">
        <v>31.66</v>
      </c>
      <c r="AW135" s="9" t="n">
        <v>31.76</v>
      </c>
    </row>
    <row r="136">
      <c r="G136" s="17" t="n">
        <v>121</v>
      </c>
      <c r="H136" s="2">
        <f>TRUNC((_xlfn.NORM.INV((RAND()),$E$24,$E$25)),2)</f>
        <v/>
      </c>
      <c r="I136" s="2">
        <f>TRUNC((_xlfn.NORM.INV((RAND()),$E$24,$E$25)),2)</f>
        <v/>
      </c>
      <c r="J136" s="2">
        <f>TRUNC((_xlfn.NORM.INV((RAND()),$E$24,$E$25)),2)</f>
        <v/>
      </c>
      <c r="AA136" s="17" t="n">
        <v>121</v>
      </c>
      <c r="AB136" s="3">
        <f>IF(H136&lt;0,0,H136)</f>
        <v/>
      </c>
      <c r="AC136" s="3">
        <f>IF(I136&lt;0,0,I136)</f>
        <v/>
      </c>
      <c r="AD136" s="3">
        <f>IF(J136&lt;0,0,J136)</f>
        <v/>
      </c>
      <c r="AT136" s="17" t="n">
        <v>121</v>
      </c>
      <c r="AU136" s="9" t="n">
        <v>30.36</v>
      </c>
      <c r="AV136" s="9" t="n">
        <v>23.48</v>
      </c>
      <c r="AW136" s="9" t="n">
        <v>23.59</v>
      </c>
    </row>
    <row r="137">
      <c r="G137" s="17" t="n">
        <v>122</v>
      </c>
      <c r="H137" s="2">
        <f>TRUNC((_xlfn.NORM.INV((RAND()),$E$24,$E$25)),2)</f>
        <v/>
      </c>
      <c r="I137" s="2">
        <f>TRUNC((_xlfn.NORM.INV((RAND()),$E$24,$E$25)),2)</f>
        <v/>
      </c>
      <c r="J137" s="2">
        <f>TRUNC((_xlfn.NORM.INV((RAND()),$E$24,$E$25)),2)</f>
        <v/>
      </c>
      <c r="AA137" s="17" t="n">
        <v>122</v>
      </c>
      <c r="AB137" s="3">
        <f>IF(H137&lt;0,0,H137)</f>
        <v/>
      </c>
      <c r="AC137" s="3">
        <f>IF(I137&lt;0,0,I137)</f>
        <v/>
      </c>
      <c r="AD137" s="3">
        <f>IF(J137&lt;0,0,J137)</f>
        <v/>
      </c>
      <c r="AT137" s="17" t="n">
        <v>122</v>
      </c>
      <c r="AU137" s="9" t="n">
        <v>36.6</v>
      </c>
      <c r="AV137" s="9" t="n">
        <v>25.89</v>
      </c>
      <c r="AW137" s="9" t="n">
        <v>27.34</v>
      </c>
    </row>
    <row r="138">
      <c r="G138" s="17" t="n">
        <v>123</v>
      </c>
      <c r="H138" s="2">
        <f>TRUNC((_xlfn.NORM.INV((RAND()),$E$24,$E$25)),2)</f>
        <v/>
      </c>
      <c r="I138" s="2">
        <f>TRUNC((_xlfn.NORM.INV((RAND()),$E$24,$E$25)),2)</f>
        <v/>
      </c>
      <c r="J138" s="2">
        <f>TRUNC((_xlfn.NORM.INV((RAND()),$E$24,$E$25)),2)</f>
        <v/>
      </c>
      <c r="AA138" s="17" t="n">
        <v>123</v>
      </c>
      <c r="AB138" s="3">
        <f>IF(H138&lt;0,0,H138)</f>
        <v/>
      </c>
      <c r="AC138" s="3">
        <f>IF(I138&lt;0,0,I138)</f>
        <v/>
      </c>
      <c r="AD138" s="3">
        <f>IF(J138&lt;0,0,J138)</f>
        <v/>
      </c>
      <c r="AT138" s="17" t="n">
        <v>123</v>
      </c>
      <c r="AU138" s="9" t="n">
        <v>27.45</v>
      </c>
      <c r="AV138" s="9" t="n">
        <v>29.57</v>
      </c>
      <c r="AW138" s="9" t="n">
        <v>21.98</v>
      </c>
    </row>
    <row r="139">
      <c r="G139" s="17" t="n">
        <v>124</v>
      </c>
      <c r="H139" s="2">
        <f>TRUNC((_xlfn.NORM.INV((RAND()),$E$24,$E$25)),2)</f>
        <v/>
      </c>
      <c r="I139" s="2">
        <f>TRUNC((_xlfn.NORM.INV((RAND()),$E$24,$E$25)),2)</f>
        <v/>
      </c>
      <c r="J139" s="2">
        <f>TRUNC((_xlfn.NORM.INV((RAND()),$E$24,$E$25)),2)</f>
        <v/>
      </c>
      <c r="AA139" s="17" t="n">
        <v>124</v>
      </c>
      <c r="AB139" s="3">
        <f>IF(H139&lt;0,0,H139)</f>
        <v/>
      </c>
      <c r="AC139" s="3">
        <f>IF(I139&lt;0,0,I139)</f>
        <v/>
      </c>
      <c r="AD139" s="3">
        <f>IF(J139&lt;0,0,J139)</f>
        <v/>
      </c>
      <c r="AT139" s="17" t="n">
        <v>124</v>
      </c>
      <c r="AU139" s="9" t="n">
        <v>27.07</v>
      </c>
      <c r="AV139" s="9" t="n">
        <v>22.95</v>
      </c>
      <c r="AW139" s="9" t="n">
        <v>28.8</v>
      </c>
    </row>
    <row r="140">
      <c r="G140" s="17" t="n">
        <v>125</v>
      </c>
      <c r="H140" s="2">
        <f>TRUNC((_xlfn.NORM.INV((RAND()),$E$24,$E$25)),2)</f>
        <v/>
      </c>
      <c r="I140" s="2">
        <f>TRUNC((_xlfn.NORM.INV((RAND()),$E$24,$E$25)),2)</f>
        <v/>
      </c>
      <c r="J140" s="2">
        <f>TRUNC((_xlfn.NORM.INV((RAND()),$E$24,$E$25)),2)</f>
        <v/>
      </c>
      <c r="AA140" s="17" t="n">
        <v>125</v>
      </c>
      <c r="AB140" s="3">
        <f>IF(H140&lt;0,0,H140)</f>
        <v/>
      </c>
      <c r="AC140" s="3">
        <f>IF(I140&lt;0,0,I140)</f>
        <v/>
      </c>
      <c r="AD140" s="3">
        <f>IF(J140&lt;0,0,J140)</f>
        <v/>
      </c>
      <c r="AT140" s="17" t="n">
        <v>125</v>
      </c>
      <c r="AU140" s="9" t="n">
        <v>25.98</v>
      </c>
      <c r="AV140" s="9" t="n">
        <v>25.22</v>
      </c>
      <c r="AW140" s="9" t="n">
        <v>18.48</v>
      </c>
    </row>
    <row r="141">
      <c r="G141" s="17" t="n">
        <v>126</v>
      </c>
      <c r="H141" s="2">
        <f>TRUNC((_xlfn.NORM.INV((RAND()),$E$24,$E$25)),2)</f>
        <v/>
      </c>
      <c r="I141" s="2">
        <f>TRUNC((_xlfn.NORM.INV((RAND()),$E$24,$E$25)),2)</f>
        <v/>
      </c>
      <c r="J141" s="2">
        <f>TRUNC((_xlfn.NORM.INV((RAND()),$E$24,$E$25)),2)</f>
        <v/>
      </c>
      <c r="AA141" s="17" t="n">
        <v>126</v>
      </c>
      <c r="AB141" s="3">
        <f>IF(H141&lt;0,0,H141)</f>
        <v/>
      </c>
      <c r="AC141" s="3">
        <f>IF(I141&lt;0,0,I141)</f>
        <v/>
      </c>
      <c r="AD141" s="3">
        <f>IF(J141&lt;0,0,J141)</f>
        <v/>
      </c>
      <c r="AT141" s="17" t="n">
        <v>126</v>
      </c>
      <c r="AU141" s="9" t="n">
        <v>28.42</v>
      </c>
      <c r="AV141" s="9" t="n">
        <v>21.26</v>
      </c>
      <c r="AW141" s="9" t="n">
        <v>33.39</v>
      </c>
    </row>
    <row r="142">
      <c r="G142" s="17" t="n">
        <v>127</v>
      </c>
      <c r="H142" s="2">
        <f>TRUNC((_xlfn.NORM.INV((RAND()),$E$24,$E$25)),2)</f>
        <v/>
      </c>
      <c r="I142" s="2">
        <f>TRUNC((_xlfn.NORM.INV((RAND()),$E$24,$E$25)),2)</f>
        <v/>
      </c>
      <c r="J142" s="2">
        <f>TRUNC((_xlfn.NORM.INV((RAND()),$E$24,$E$25)),2)</f>
        <v/>
      </c>
      <c r="AA142" s="17" t="n">
        <v>127</v>
      </c>
      <c r="AB142" s="3">
        <f>IF(H142&lt;0,0,H142)</f>
        <v/>
      </c>
      <c r="AC142" s="3">
        <f>IF(I142&lt;0,0,I142)</f>
        <v/>
      </c>
      <c r="AD142" s="3">
        <f>IF(J142&lt;0,0,J142)</f>
        <v/>
      </c>
      <c r="AT142" s="17" t="n">
        <v>127</v>
      </c>
      <c r="AU142" s="9" t="n">
        <v>27.1</v>
      </c>
      <c r="AV142" s="9" t="n">
        <v>37.61</v>
      </c>
      <c r="AW142" s="9" t="n">
        <v>28.75</v>
      </c>
    </row>
    <row r="143">
      <c r="G143" s="17" t="n">
        <v>128</v>
      </c>
      <c r="H143" s="2">
        <f>TRUNC((_xlfn.NORM.INV((RAND()),$E$24,$E$25)),2)</f>
        <v/>
      </c>
      <c r="I143" s="2">
        <f>TRUNC((_xlfn.NORM.INV((RAND()),$E$24,$E$25)),2)</f>
        <v/>
      </c>
      <c r="J143" s="2">
        <f>TRUNC((_xlfn.NORM.INV((RAND()),$E$24,$E$25)),2)</f>
        <v/>
      </c>
      <c r="AA143" s="17" t="n">
        <v>128</v>
      </c>
      <c r="AB143" s="3">
        <f>IF(H143&lt;0,0,H143)</f>
        <v/>
      </c>
      <c r="AC143" s="3">
        <f>IF(I143&lt;0,0,I143)</f>
        <v/>
      </c>
      <c r="AD143" s="3">
        <f>IF(J143&lt;0,0,J143)</f>
        <v/>
      </c>
      <c r="AT143" s="17" t="n">
        <v>128</v>
      </c>
      <c r="AU143" s="9" t="n">
        <v>20.42</v>
      </c>
      <c r="AV143" s="9" t="n">
        <v>25.69</v>
      </c>
      <c r="AW143" s="9" t="n">
        <v>25.53</v>
      </c>
    </row>
    <row r="144">
      <c r="G144" s="17" t="n">
        <v>129</v>
      </c>
      <c r="H144" s="2">
        <f>TRUNC((_xlfn.NORM.INV((RAND()),$E$24,$E$25)),2)</f>
        <v/>
      </c>
      <c r="I144" s="2">
        <f>TRUNC((_xlfn.NORM.INV((RAND()),$E$24,$E$25)),2)</f>
        <v/>
      </c>
      <c r="J144" s="2">
        <f>TRUNC((_xlfn.NORM.INV((RAND()),$E$24,$E$25)),2)</f>
        <v/>
      </c>
      <c r="AA144" s="17" t="n">
        <v>129</v>
      </c>
      <c r="AB144" s="3">
        <f>IF(H144&lt;0,0,H144)</f>
        <v/>
      </c>
      <c r="AC144" s="3">
        <f>IF(I144&lt;0,0,I144)</f>
        <v/>
      </c>
      <c r="AD144" s="3">
        <f>IF(J144&lt;0,0,J144)</f>
        <v/>
      </c>
      <c r="AT144" s="17" t="n">
        <v>129</v>
      </c>
      <c r="AU144" s="9" t="n">
        <v>33.03</v>
      </c>
      <c r="AV144" s="9" t="n">
        <v>25.12</v>
      </c>
      <c r="AW144" s="9" t="n">
        <v>27.85</v>
      </c>
    </row>
    <row r="145">
      <c r="G145" s="17" t="n">
        <v>130</v>
      </c>
      <c r="H145" s="2">
        <f>TRUNC((_xlfn.NORM.INV((RAND()),$E$24,$E$25)),2)</f>
        <v/>
      </c>
      <c r="I145" s="2">
        <f>TRUNC((_xlfn.NORM.INV((RAND()),$E$24,$E$25)),2)</f>
        <v/>
      </c>
      <c r="J145" s="2">
        <f>TRUNC((_xlfn.NORM.INV((RAND()),$E$24,$E$25)),2)</f>
        <v/>
      </c>
      <c r="AA145" s="17" t="n">
        <v>130</v>
      </c>
      <c r="AB145" s="3">
        <f>IF(H145&lt;0,0,H145)</f>
        <v/>
      </c>
      <c r="AC145" s="3">
        <f>IF(I145&lt;0,0,I145)</f>
        <v/>
      </c>
      <c r="AD145" s="3">
        <f>IF(J145&lt;0,0,J145)</f>
        <v/>
      </c>
      <c r="AT145" s="17" t="n">
        <v>130</v>
      </c>
      <c r="AU145" s="9" t="n">
        <v>29.25</v>
      </c>
      <c r="AV145" s="9" t="n">
        <v>28.75</v>
      </c>
      <c r="AW145" s="9" t="n">
        <v>24.5</v>
      </c>
    </row>
    <row r="146">
      <c r="G146" s="17" t="n">
        <v>131</v>
      </c>
      <c r="H146" s="2">
        <f>TRUNC((_xlfn.NORM.INV((RAND()),$E$24,$E$25)),2)</f>
        <v/>
      </c>
      <c r="I146" s="2">
        <f>TRUNC((_xlfn.NORM.INV((RAND()),$E$24,$E$25)),2)</f>
        <v/>
      </c>
      <c r="J146" s="2">
        <f>TRUNC((_xlfn.NORM.INV((RAND()),$E$24,$E$25)),2)</f>
        <v/>
      </c>
      <c r="AA146" s="17" t="n">
        <v>131</v>
      </c>
      <c r="AB146" s="3">
        <f>IF(H146&lt;0,0,H146)</f>
        <v/>
      </c>
      <c r="AC146" s="3">
        <f>IF(I146&lt;0,0,I146)</f>
        <v/>
      </c>
      <c r="AD146" s="3">
        <f>IF(J146&lt;0,0,J146)</f>
        <v/>
      </c>
      <c r="AT146" s="17" t="n">
        <v>131</v>
      </c>
      <c r="AU146" s="9" t="n">
        <v>31.02</v>
      </c>
      <c r="AV146" s="9" t="n">
        <v>24.2</v>
      </c>
      <c r="AW146" s="9" t="n">
        <v>25.8</v>
      </c>
    </row>
    <row r="147">
      <c r="G147" s="17" t="n">
        <v>132</v>
      </c>
      <c r="H147" s="2">
        <f>TRUNC((_xlfn.NORM.INV((RAND()),$E$24,$E$25)),2)</f>
        <v/>
      </c>
      <c r="I147" s="2">
        <f>TRUNC((_xlfn.NORM.INV((RAND()),$E$24,$E$25)),2)</f>
        <v/>
      </c>
      <c r="J147" s="2">
        <f>TRUNC((_xlfn.NORM.INV((RAND()),$E$24,$E$25)),2)</f>
        <v/>
      </c>
      <c r="AA147" s="17" t="n">
        <v>132</v>
      </c>
      <c r="AB147" s="3">
        <f>IF(H147&lt;0,0,H147)</f>
        <v/>
      </c>
      <c r="AC147" s="3">
        <f>IF(I147&lt;0,0,I147)</f>
        <v/>
      </c>
      <c r="AD147" s="3">
        <f>IF(J147&lt;0,0,J147)</f>
        <v/>
      </c>
      <c r="AT147" s="17" t="n">
        <v>132</v>
      </c>
      <c r="AU147" s="9" t="n">
        <v>25.4</v>
      </c>
      <c r="AV147" s="9" t="n">
        <v>32.78</v>
      </c>
      <c r="AW147" s="9" t="n">
        <v>25.36</v>
      </c>
    </row>
    <row r="148">
      <c r="G148" s="17" t="n">
        <v>133</v>
      </c>
      <c r="H148" s="2">
        <f>TRUNC((_xlfn.NORM.INV((RAND()),$E$24,$E$25)),2)</f>
        <v/>
      </c>
      <c r="I148" s="2">
        <f>TRUNC((_xlfn.NORM.INV((RAND()),$E$24,$E$25)),2)</f>
        <v/>
      </c>
      <c r="J148" s="2">
        <f>TRUNC((_xlfn.NORM.INV((RAND()),$E$24,$E$25)),2)</f>
        <v/>
      </c>
      <c r="AA148" s="17" t="n">
        <v>133</v>
      </c>
      <c r="AB148" s="3">
        <f>IF(H148&lt;0,0,H148)</f>
        <v/>
      </c>
      <c r="AC148" s="3">
        <f>IF(I148&lt;0,0,I148)</f>
        <v/>
      </c>
      <c r="AD148" s="3">
        <f>IF(J148&lt;0,0,J148)</f>
        <v/>
      </c>
      <c r="AT148" s="17" t="n">
        <v>133</v>
      </c>
      <c r="AU148" s="9" t="n">
        <v>29.03</v>
      </c>
      <c r="AV148" s="9" t="n">
        <v>22.05</v>
      </c>
      <c r="AW148" s="9" t="n">
        <v>24.07</v>
      </c>
    </row>
    <row r="149">
      <c r="G149" s="17" t="n">
        <v>134</v>
      </c>
      <c r="H149" s="2">
        <f>TRUNC((_xlfn.NORM.INV((RAND()),$E$24,$E$25)),2)</f>
        <v/>
      </c>
      <c r="I149" s="2">
        <f>TRUNC((_xlfn.NORM.INV((RAND()),$E$24,$E$25)),2)</f>
        <v/>
      </c>
      <c r="J149" s="2">
        <f>TRUNC((_xlfn.NORM.INV((RAND()),$E$24,$E$25)),2)</f>
        <v/>
      </c>
      <c r="AA149" s="17" t="n">
        <v>134</v>
      </c>
      <c r="AB149" s="3">
        <f>IF(H149&lt;0,0,H149)</f>
        <v/>
      </c>
      <c r="AC149" s="3">
        <f>IF(I149&lt;0,0,I149)</f>
        <v/>
      </c>
      <c r="AD149" s="3">
        <f>IF(J149&lt;0,0,J149)</f>
        <v/>
      </c>
      <c r="AT149" s="17" t="n">
        <v>134</v>
      </c>
      <c r="AU149" s="9" t="n">
        <v>36.08</v>
      </c>
      <c r="AV149" s="9" t="n">
        <v>22.27</v>
      </c>
      <c r="AW149" s="9" t="n">
        <v>26.47</v>
      </c>
    </row>
    <row r="150">
      <c r="G150" s="17" t="n">
        <v>135</v>
      </c>
      <c r="H150" s="2">
        <f>TRUNC((_xlfn.NORM.INV((RAND()),$E$24,$E$25)),2)</f>
        <v/>
      </c>
      <c r="I150" s="2">
        <f>TRUNC((_xlfn.NORM.INV((RAND()),$E$24,$E$25)),2)</f>
        <v/>
      </c>
      <c r="J150" s="2">
        <f>TRUNC((_xlfn.NORM.INV((RAND()),$E$24,$E$25)),2)</f>
        <v/>
      </c>
      <c r="AA150" s="17" t="n">
        <v>135</v>
      </c>
      <c r="AB150" s="3">
        <f>IF(H150&lt;0,0,H150)</f>
        <v/>
      </c>
      <c r="AC150" s="3">
        <f>IF(I150&lt;0,0,I150)</f>
        <v/>
      </c>
      <c r="AD150" s="3">
        <f>IF(J150&lt;0,0,J150)</f>
        <v/>
      </c>
      <c r="AT150" s="17" t="n">
        <v>135</v>
      </c>
      <c r="AU150" s="9" t="n">
        <v>24.8</v>
      </c>
      <c r="AV150" s="9" t="n">
        <v>24.05</v>
      </c>
      <c r="AW150" s="9" t="n">
        <v>29.32</v>
      </c>
    </row>
    <row r="151">
      <c r="G151" s="17" t="n">
        <v>136</v>
      </c>
      <c r="H151" s="2">
        <f>TRUNC((_xlfn.NORM.INV((RAND()),$E$24,$E$25)),2)</f>
        <v/>
      </c>
      <c r="I151" s="2">
        <f>TRUNC((_xlfn.NORM.INV((RAND()),$E$24,$E$25)),2)</f>
        <v/>
      </c>
      <c r="J151" s="2">
        <f>TRUNC((_xlfn.NORM.INV((RAND()),$E$24,$E$25)),2)</f>
        <v/>
      </c>
      <c r="AA151" s="17" t="n">
        <v>136</v>
      </c>
      <c r="AB151" s="3">
        <f>IF(H151&lt;0,0,H151)</f>
        <v/>
      </c>
      <c r="AC151" s="3">
        <f>IF(I151&lt;0,0,I151)</f>
        <v/>
      </c>
      <c r="AD151" s="3">
        <f>IF(J151&lt;0,0,J151)</f>
        <v/>
      </c>
      <c r="AT151" s="17" t="n">
        <v>136</v>
      </c>
      <c r="AU151" s="9" t="n">
        <v>38.71</v>
      </c>
      <c r="AV151" s="9" t="n">
        <v>27.55</v>
      </c>
      <c r="AW151" s="9" t="n">
        <v>27.45</v>
      </c>
    </row>
    <row r="152">
      <c r="G152" s="17" t="n">
        <v>137</v>
      </c>
      <c r="H152" s="2">
        <f>TRUNC((_xlfn.NORM.INV((RAND()),$E$24,$E$25)),2)</f>
        <v/>
      </c>
      <c r="I152" s="2">
        <f>TRUNC((_xlfn.NORM.INV((RAND()),$E$24,$E$25)),2)</f>
        <v/>
      </c>
      <c r="J152" s="2">
        <f>TRUNC((_xlfn.NORM.INV((RAND()),$E$24,$E$25)),2)</f>
        <v/>
      </c>
      <c r="AA152" s="17" t="n">
        <v>137</v>
      </c>
      <c r="AB152" s="3">
        <f>IF(H152&lt;0,0,H152)</f>
        <v/>
      </c>
      <c r="AC152" s="3">
        <f>IF(I152&lt;0,0,I152)</f>
        <v/>
      </c>
      <c r="AD152" s="3">
        <f>IF(J152&lt;0,0,J152)</f>
        <v/>
      </c>
      <c r="AT152" s="17" t="n">
        <v>137</v>
      </c>
      <c r="AU152" s="9" t="n">
        <v>21.24</v>
      </c>
      <c r="AV152" s="9" t="n">
        <v>31.92</v>
      </c>
      <c r="AW152" s="9" t="n">
        <v>37.09</v>
      </c>
    </row>
    <row r="153">
      <c r="G153" s="17" t="n">
        <v>138</v>
      </c>
      <c r="H153" s="2">
        <f>TRUNC((_xlfn.NORM.INV((RAND()),$E$24,$E$25)),2)</f>
        <v/>
      </c>
      <c r="I153" s="2">
        <f>TRUNC((_xlfn.NORM.INV((RAND()),$E$24,$E$25)),2)</f>
        <v/>
      </c>
      <c r="J153" s="2">
        <f>TRUNC((_xlfn.NORM.INV((RAND()),$E$24,$E$25)),2)</f>
        <v/>
      </c>
      <c r="AA153" s="17" t="n">
        <v>138</v>
      </c>
      <c r="AB153" s="3">
        <f>IF(H153&lt;0,0,H153)</f>
        <v/>
      </c>
      <c r="AC153" s="3">
        <f>IF(I153&lt;0,0,I153)</f>
        <v/>
      </c>
      <c r="AD153" s="3">
        <f>IF(J153&lt;0,0,J153)</f>
        <v/>
      </c>
      <c r="AT153" s="17" t="n">
        <v>138</v>
      </c>
      <c r="AU153" s="9" t="n">
        <v>25.26</v>
      </c>
      <c r="AV153" s="9" t="n">
        <v>33.06</v>
      </c>
      <c r="AW153" s="9" t="n">
        <v>26.31</v>
      </c>
    </row>
    <row r="154">
      <c r="G154" s="17" t="n">
        <v>139</v>
      </c>
      <c r="H154" s="2">
        <f>TRUNC((_xlfn.NORM.INV((RAND()),$E$24,$E$25)),2)</f>
        <v/>
      </c>
      <c r="I154" s="2">
        <f>TRUNC((_xlfn.NORM.INV((RAND()),$E$24,$E$25)),2)</f>
        <v/>
      </c>
      <c r="J154" s="2">
        <f>TRUNC((_xlfn.NORM.INV((RAND()),$E$24,$E$25)),2)</f>
        <v/>
      </c>
      <c r="AA154" s="17" t="n">
        <v>139</v>
      </c>
      <c r="AB154" s="3">
        <f>IF(H154&lt;0,0,H154)</f>
        <v/>
      </c>
      <c r="AC154" s="3">
        <f>IF(I154&lt;0,0,I154)</f>
        <v/>
      </c>
      <c r="AD154" s="3">
        <f>IF(J154&lt;0,0,J154)</f>
        <v/>
      </c>
      <c r="AT154" s="17" t="n">
        <v>139</v>
      </c>
      <c r="AU154" s="9" t="n">
        <v>30.83</v>
      </c>
      <c r="AV154" s="9" t="n">
        <v>35.14</v>
      </c>
      <c r="AW154" s="9" t="n">
        <v>31.49</v>
      </c>
    </row>
    <row r="155">
      <c r="G155" s="17" t="n">
        <v>140</v>
      </c>
      <c r="H155" s="2">
        <f>TRUNC((_xlfn.NORM.INV((RAND()),$E$24,$E$25)),2)</f>
        <v/>
      </c>
      <c r="I155" s="2">
        <f>TRUNC((_xlfn.NORM.INV((RAND()),$E$24,$E$25)),2)</f>
        <v/>
      </c>
      <c r="J155" s="2">
        <f>TRUNC((_xlfn.NORM.INV((RAND()),$E$24,$E$25)),2)</f>
        <v/>
      </c>
      <c r="AA155" s="17" t="n">
        <v>140</v>
      </c>
      <c r="AB155" s="3">
        <f>IF(H155&lt;0,0,H155)</f>
        <v/>
      </c>
      <c r="AC155" s="3">
        <f>IF(I155&lt;0,0,I155)</f>
        <v/>
      </c>
      <c r="AD155" s="3">
        <f>IF(J155&lt;0,0,J155)</f>
        <v/>
      </c>
      <c r="AT155" s="17" t="n">
        <v>140</v>
      </c>
      <c r="AU155" s="9" t="n">
        <v>15.93</v>
      </c>
      <c r="AV155" s="9" t="n">
        <v>32.45</v>
      </c>
      <c r="AW155" s="9" t="n">
        <v>31.93</v>
      </c>
    </row>
    <row r="156">
      <c r="G156" s="17" t="n">
        <v>141</v>
      </c>
      <c r="H156" s="2">
        <f>TRUNC((_xlfn.NORM.INV((RAND()),$E$24,$E$25)),2)</f>
        <v/>
      </c>
      <c r="I156" s="2">
        <f>TRUNC((_xlfn.NORM.INV((RAND()),$E$24,$E$25)),2)</f>
        <v/>
      </c>
      <c r="J156" s="2">
        <f>TRUNC((_xlfn.NORM.INV((RAND()),$E$24,$E$25)),2)</f>
        <v/>
      </c>
      <c r="AA156" s="17" t="n">
        <v>141</v>
      </c>
      <c r="AB156" s="3">
        <f>IF(H156&lt;0,0,H156)</f>
        <v/>
      </c>
      <c r="AC156" s="3">
        <f>IF(I156&lt;0,0,I156)</f>
        <v/>
      </c>
      <c r="AD156" s="3">
        <f>IF(J156&lt;0,0,J156)</f>
        <v/>
      </c>
      <c r="AT156" s="17" t="n">
        <v>141</v>
      </c>
      <c r="AU156" s="9" t="n">
        <v>32.45</v>
      </c>
      <c r="AV156" s="9" t="n">
        <v>27.97</v>
      </c>
      <c r="AW156" s="9" t="n">
        <v>30.93</v>
      </c>
    </row>
    <row r="157">
      <c r="G157" s="17" t="n">
        <v>142</v>
      </c>
      <c r="H157" s="2">
        <f>TRUNC((_xlfn.NORM.INV((RAND()),$E$24,$E$25)),2)</f>
        <v/>
      </c>
      <c r="I157" s="2">
        <f>TRUNC((_xlfn.NORM.INV((RAND()),$E$24,$E$25)),2)</f>
        <v/>
      </c>
      <c r="J157" s="2">
        <f>TRUNC((_xlfn.NORM.INV((RAND()),$E$24,$E$25)),2)</f>
        <v/>
      </c>
      <c r="AA157" s="17" t="n">
        <v>142</v>
      </c>
      <c r="AB157" s="3">
        <f>IF(H157&lt;0,0,H157)</f>
        <v/>
      </c>
      <c r="AC157" s="3">
        <f>IF(I157&lt;0,0,I157)</f>
        <v/>
      </c>
      <c r="AD157" s="3">
        <f>IF(J157&lt;0,0,J157)</f>
        <v/>
      </c>
      <c r="AT157" s="17" t="n">
        <v>142</v>
      </c>
      <c r="AU157" s="9" t="n">
        <v>23.46</v>
      </c>
      <c r="AV157" s="9" t="n">
        <v>25.15</v>
      </c>
      <c r="AW157" s="9" t="n">
        <v>27.97</v>
      </c>
    </row>
    <row r="158">
      <c r="G158" s="17" t="n">
        <v>143</v>
      </c>
      <c r="H158" s="2">
        <f>TRUNC((_xlfn.NORM.INV((RAND()),$E$24,$E$25)),2)</f>
        <v/>
      </c>
      <c r="I158" s="2">
        <f>TRUNC((_xlfn.NORM.INV((RAND()),$E$24,$E$25)),2)</f>
        <v/>
      </c>
      <c r="J158" s="2">
        <f>TRUNC((_xlfn.NORM.INV((RAND()),$E$24,$E$25)),2)</f>
        <v/>
      </c>
      <c r="AA158" s="17" t="n">
        <v>143</v>
      </c>
      <c r="AB158" s="3">
        <f>IF(H158&lt;0,0,H158)</f>
        <v/>
      </c>
      <c r="AC158" s="3">
        <f>IF(I158&lt;0,0,I158)</f>
        <v/>
      </c>
      <c r="AD158" s="3">
        <f>IF(J158&lt;0,0,J158)</f>
        <v/>
      </c>
      <c r="AT158" s="17" t="n">
        <v>143</v>
      </c>
      <c r="AU158" s="9" t="n">
        <v>19.97</v>
      </c>
      <c r="AV158" s="9" t="n">
        <v>22.95</v>
      </c>
      <c r="AW158" s="9" t="n">
        <v>23.27</v>
      </c>
    </row>
    <row r="159">
      <c r="G159" s="17" t="n">
        <v>144</v>
      </c>
      <c r="H159" s="2">
        <f>TRUNC((_xlfn.NORM.INV((RAND()),$E$24,$E$25)),2)</f>
        <v/>
      </c>
      <c r="I159" s="2">
        <f>TRUNC((_xlfn.NORM.INV((RAND()),$E$24,$E$25)),2)</f>
        <v/>
      </c>
      <c r="J159" s="2">
        <f>TRUNC((_xlfn.NORM.INV((RAND()),$E$24,$E$25)),2)</f>
        <v/>
      </c>
      <c r="AA159" s="17" t="n">
        <v>144</v>
      </c>
      <c r="AB159" s="3">
        <f>IF(H159&lt;0,0,H159)</f>
        <v/>
      </c>
      <c r="AC159" s="3">
        <f>IF(I159&lt;0,0,I159)</f>
        <v/>
      </c>
      <c r="AD159" s="3">
        <f>IF(J159&lt;0,0,J159)</f>
        <v/>
      </c>
      <c r="AT159" s="17" t="n">
        <v>144</v>
      </c>
      <c r="AU159" s="9" t="n">
        <v>19.85</v>
      </c>
      <c r="AV159" s="9" t="n">
        <v>20.22</v>
      </c>
      <c r="AW159" s="9" t="n">
        <v>16</v>
      </c>
    </row>
    <row r="160">
      <c r="G160" s="17" t="n">
        <v>145</v>
      </c>
      <c r="H160" s="2">
        <f>TRUNC((_xlfn.NORM.INV((RAND()),$E$24,$E$25)),2)</f>
        <v/>
      </c>
      <c r="I160" s="2">
        <f>TRUNC((_xlfn.NORM.INV((RAND()),$E$24,$E$25)),2)</f>
        <v/>
      </c>
      <c r="J160" s="2">
        <f>TRUNC((_xlfn.NORM.INV((RAND()),$E$24,$E$25)),2)</f>
        <v/>
      </c>
      <c r="AA160" s="17" t="n">
        <v>145</v>
      </c>
      <c r="AB160" s="3">
        <f>IF(H160&lt;0,0,H160)</f>
        <v/>
      </c>
      <c r="AC160" s="3">
        <f>IF(I160&lt;0,0,I160)</f>
        <v/>
      </c>
      <c r="AD160" s="3">
        <f>IF(J160&lt;0,0,J160)</f>
        <v/>
      </c>
      <c r="AT160" s="17" t="n">
        <v>145</v>
      </c>
      <c r="AU160" s="9" t="n">
        <v>31.73</v>
      </c>
      <c r="AV160" s="9" t="n">
        <v>28.11</v>
      </c>
      <c r="AW160" s="9" t="n">
        <v>24.99</v>
      </c>
    </row>
    <row r="161">
      <c r="G161" s="17" t="n">
        <v>146</v>
      </c>
      <c r="H161" s="2">
        <f>TRUNC((_xlfn.NORM.INV((RAND()),$E$24,$E$25)),2)</f>
        <v/>
      </c>
      <c r="I161" s="2">
        <f>TRUNC((_xlfn.NORM.INV((RAND()),$E$24,$E$25)),2)</f>
        <v/>
      </c>
      <c r="J161" s="2">
        <f>TRUNC((_xlfn.NORM.INV((RAND()),$E$24,$E$25)),2)</f>
        <v/>
      </c>
      <c r="AA161" s="17" t="n">
        <v>146</v>
      </c>
      <c r="AB161" s="3">
        <f>IF(H161&lt;0,0,H161)</f>
        <v/>
      </c>
      <c r="AC161" s="3">
        <f>IF(I161&lt;0,0,I161)</f>
        <v/>
      </c>
      <c r="AD161" s="3">
        <f>IF(J161&lt;0,0,J161)</f>
        <v/>
      </c>
      <c r="AT161" s="17" t="n">
        <v>146</v>
      </c>
      <c r="AU161" s="9" t="n">
        <v>31.84</v>
      </c>
      <c r="AV161" s="9" t="n">
        <v>25.18</v>
      </c>
      <c r="AW161" s="9" t="n">
        <v>23.21</v>
      </c>
    </row>
    <row r="162">
      <c r="G162" s="17" t="n">
        <v>147</v>
      </c>
      <c r="H162" s="2">
        <f>TRUNC((_xlfn.NORM.INV((RAND()),$E$24,$E$25)),2)</f>
        <v/>
      </c>
      <c r="I162" s="2">
        <f>TRUNC((_xlfn.NORM.INV((RAND()),$E$24,$E$25)),2)</f>
        <v/>
      </c>
      <c r="J162" s="2">
        <f>TRUNC((_xlfn.NORM.INV((RAND()),$E$24,$E$25)),2)</f>
        <v/>
      </c>
      <c r="AA162" s="17" t="n">
        <v>147</v>
      </c>
      <c r="AB162" s="3">
        <f>IF(H162&lt;0,0,H162)</f>
        <v/>
      </c>
      <c r="AC162" s="3">
        <f>IF(I162&lt;0,0,I162)</f>
        <v/>
      </c>
      <c r="AD162" s="3">
        <f>IF(J162&lt;0,0,J162)</f>
        <v/>
      </c>
      <c r="AT162" s="17" t="n">
        <v>147</v>
      </c>
      <c r="AU162" s="9" t="n">
        <v>27.11</v>
      </c>
      <c r="AV162" s="9" t="n">
        <v>29.99</v>
      </c>
      <c r="AW162" s="9" t="n">
        <v>31.52</v>
      </c>
    </row>
    <row r="163">
      <c r="G163" s="17" t="n">
        <v>148</v>
      </c>
      <c r="H163" s="2">
        <f>TRUNC((_xlfn.NORM.INV((RAND()),$E$24,$E$25)),2)</f>
        <v/>
      </c>
      <c r="I163" s="2">
        <f>TRUNC((_xlfn.NORM.INV((RAND()),$E$24,$E$25)),2)</f>
        <v/>
      </c>
      <c r="J163" s="2">
        <f>TRUNC((_xlfn.NORM.INV((RAND()),$E$24,$E$25)),2)</f>
        <v/>
      </c>
      <c r="AA163" s="17" t="n">
        <v>148</v>
      </c>
      <c r="AB163" s="3">
        <f>IF(H163&lt;0,0,H163)</f>
        <v/>
      </c>
      <c r="AC163" s="3">
        <f>IF(I163&lt;0,0,I163)</f>
        <v/>
      </c>
      <c r="AD163" s="3">
        <f>IF(J163&lt;0,0,J163)</f>
        <v/>
      </c>
      <c r="AT163" s="17" t="n">
        <v>148</v>
      </c>
      <c r="AU163" s="9" t="n">
        <v>24.78</v>
      </c>
      <c r="AV163" s="9" t="n">
        <v>31.52</v>
      </c>
      <c r="AW163" s="9" t="n">
        <v>37.1</v>
      </c>
    </row>
    <row r="164">
      <c r="G164" s="17" t="n">
        <v>149</v>
      </c>
      <c r="H164" s="2">
        <f>TRUNC((_xlfn.NORM.INV((RAND()),$E$24,$E$25)),2)</f>
        <v/>
      </c>
      <c r="I164" s="2">
        <f>TRUNC((_xlfn.NORM.INV((RAND()),$E$24,$E$25)),2)</f>
        <v/>
      </c>
      <c r="J164" s="2">
        <f>TRUNC((_xlfn.NORM.INV((RAND()),$E$24,$E$25)),2)</f>
        <v/>
      </c>
      <c r="AA164" s="17" t="n">
        <v>149</v>
      </c>
      <c r="AB164" s="3">
        <f>IF(H164&lt;0,0,H164)</f>
        <v/>
      </c>
      <c r="AC164" s="3">
        <f>IF(I164&lt;0,0,I164)</f>
        <v/>
      </c>
      <c r="AD164" s="3">
        <f>IF(J164&lt;0,0,J164)</f>
        <v/>
      </c>
      <c r="AT164" s="17" t="n">
        <v>149</v>
      </c>
      <c r="AU164" s="9" t="n">
        <v>26.66</v>
      </c>
      <c r="AV164" s="9" t="n">
        <v>24.3</v>
      </c>
      <c r="AW164" s="9" t="n">
        <v>28.37</v>
      </c>
    </row>
    <row r="165">
      <c r="G165" s="17" t="n">
        <v>150</v>
      </c>
      <c r="H165" s="2">
        <f>TRUNC((_xlfn.NORM.INV((RAND()),$E$24,$E$25)),2)</f>
        <v/>
      </c>
      <c r="I165" s="2">
        <f>TRUNC((_xlfn.NORM.INV((RAND()),$E$24,$E$25)),2)</f>
        <v/>
      </c>
      <c r="J165" s="2">
        <f>TRUNC((_xlfn.NORM.INV((RAND()),$E$24,$E$25)),2)</f>
        <v/>
      </c>
      <c r="AA165" s="17" t="n">
        <v>150</v>
      </c>
      <c r="AB165" s="3">
        <f>IF(H165&lt;0,0,H165)</f>
        <v/>
      </c>
      <c r="AC165" s="3">
        <f>IF(I165&lt;0,0,I165)</f>
        <v/>
      </c>
      <c r="AD165" s="3">
        <f>IF(J165&lt;0,0,J165)</f>
        <v/>
      </c>
      <c r="AT165" s="17" t="n">
        <v>150</v>
      </c>
      <c r="AU165" s="9" t="n">
        <v>21.95</v>
      </c>
      <c r="AV165" s="9" t="n">
        <v>23.48</v>
      </c>
      <c r="AW165" s="9" t="n">
        <v>22.29</v>
      </c>
    </row>
    <row r="166">
      <c r="G166" s="17" t="n">
        <v>151</v>
      </c>
      <c r="H166" s="2">
        <f>TRUNC((_xlfn.NORM.INV((RAND()),$E$24,$E$25)),2)</f>
        <v/>
      </c>
      <c r="I166" s="2">
        <f>TRUNC((_xlfn.NORM.INV((RAND()),$E$24,$E$25)),2)</f>
        <v/>
      </c>
      <c r="J166" s="2">
        <f>TRUNC((_xlfn.NORM.INV((RAND()),$E$24,$E$25)),2)</f>
        <v/>
      </c>
      <c r="AA166" s="17" t="n">
        <v>151</v>
      </c>
      <c r="AB166" s="3">
        <f>IF(H166&lt;0,0,H166)</f>
        <v/>
      </c>
      <c r="AC166" s="3">
        <f>IF(I166&lt;0,0,I166)</f>
        <v/>
      </c>
      <c r="AD166" s="3">
        <f>IF(J166&lt;0,0,J166)</f>
        <v/>
      </c>
      <c r="AT166" s="17" t="n">
        <v>151</v>
      </c>
      <c r="AU166" s="9" t="n">
        <v>26.44</v>
      </c>
      <c r="AV166" s="9" t="n">
        <v>22.49</v>
      </c>
      <c r="AW166" s="9" t="n">
        <v>20.77</v>
      </c>
    </row>
    <row r="167">
      <c r="G167" s="17" t="n">
        <v>152</v>
      </c>
      <c r="H167" s="2">
        <f>TRUNC((_xlfn.NORM.INV((RAND()),$E$24,$E$25)),2)</f>
        <v/>
      </c>
      <c r="I167" s="2">
        <f>TRUNC((_xlfn.NORM.INV((RAND()),$E$24,$E$25)),2)</f>
        <v/>
      </c>
      <c r="J167" s="2">
        <f>TRUNC((_xlfn.NORM.INV((RAND()),$E$24,$E$25)),2)</f>
        <v/>
      </c>
      <c r="AA167" s="17" t="n">
        <v>152</v>
      </c>
      <c r="AB167" s="3">
        <f>IF(H167&lt;0,0,H167)</f>
        <v/>
      </c>
      <c r="AC167" s="3">
        <f>IF(I167&lt;0,0,I167)</f>
        <v/>
      </c>
      <c r="AD167" s="3">
        <f>IF(J167&lt;0,0,J167)</f>
        <v/>
      </c>
      <c r="AT167" s="17" t="n">
        <v>152</v>
      </c>
      <c r="AU167" s="9" t="n">
        <v>25.18</v>
      </c>
      <c r="AV167" s="9" t="n">
        <v>29.17</v>
      </c>
      <c r="AW167" s="9" t="n">
        <v>32.57</v>
      </c>
    </row>
    <row r="168">
      <c r="G168" s="17" t="n">
        <v>153</v>
      </c>
      <c r="H168" s="2">
        <f>TRUNC((_xlfn.NORM.INV((RAND()),$E$24,$E$25)),2)</f>
        <v/>
      </c>
      <c r="I168" s="2">
        <f>TRUNC((_xlfn.NORM.INV((RAND()),$E$24,$E$25)),2)</f>
        <v/>
      </c>
      <c r="J168" s="2">
        <f>TRUNC((_xlfn.NORM.INV((RAND()),$E$24,$E$25)),2)</f>
        <v/>
      </c>
      <c r="AA168" s="17" t="n">
        <v>153</v>
      </c>
      <c r="AB168" s="3">
        <f>IF(H168&lt;0,0,H168)</f>
        <v/>
      </c>
      <c r="AC168" s="3">
        <f>IF(I168&lt;0,0,I168)</f>
        <v/>
      </c>
      <c r="AD168" s="3">
        <f>IF(J168&lt;0,0,J168)</f>
        <v/>
      </c>
      <c r="AT168" s="17" t="n">
        <v>153</v>
      </c>
      <c r="AU168" s="9" t="n">
        <v>25.45</v>
      </c>
      <c r="AV168" s="9" t="n">
        <v>28.56</v>
      </c>
      <c r="AW168" s="9" t="n">
        <v>32.59</v>
      </c>
    </row>
    <row r="169">
      <c r="G169" s="17" t="n">
        <v>154</v>
      </c>
      <c r="H169" s="2">
        <f>TRUNC((_xlfn.NORM.INV((RAND()),$E$24,$E$25)),2)</f>
        <v/>
      </c>
      <c r="I169" s="2">
        <f>TRUNC((_xlfn.NORM.INV((RAND()),$E$24,$E$25)),2)</f>
        <v/>
      </c>
      <c r="J169" s="2">
        <f>TRUNC((_xlfn.NORM.INV((RAND()),$E$24,$E$25)),2)</f>
        <v/>
      </c>
      <c r="AA169" s="17" t="n">
        <v>154</v>
      </c>
      <c r="AB169" s="3">
        <f>IF(H169&lt;0,0,H169)</f>
        <v/>
      </c>
      <c r="AC169" s="3">
        <f>IF(I169&lt;0,0,I169)</f>
        <v/>
      </c>
      <c r="AD169" s="3">
        <f>IF(J169&lt;0,0,J169)</f>
        <v/>
      </c>
      <c r="AT169" s="17" t="n">
        <v>154</v>
      </c>
      <c r="AU169" s="9" t="n">
        <v>30.06</v>
      </c>
      <c r="AV169" s="9" t="n">
        <v>25.76</v>
      </c>
      <c r="AW169" s="9" t="n">
        <v>23.66</v>
      </c>
    </row>
    <row r="170">
      <c r="G170" s="17" t="n">
        <v>155</v>
      </c>
      <c r="H170" s="2">
        <f>TRUNC((_xlfn.NORM.INV((RAND()),$E$24,$E$25)),2)</f>
        <v/>
      </c>
      <c r="I170" s="2">
        <f>TRUNC((_xlfn.NORM.INV((RAND()),$E$24,$E$25)),2)</f>
        <v/>
      </c>
      <c r="J170" s="2">
        <f>TRUNC((_xlfn.NORM.INV((RAND()),$E$24,$E$25)),2)</f>
        <v/>
      </c>
      <c r="AA170" s="17" t="n">
        <v>155</v>
      </c>
      <c r="AB170" s="3">
        <f>IF(H170&lt;0,0,H170)</f>
        <v/>
      </c>
      <c r="AC170" s="3">
        <f>IF(I170&lt;0,0,I170)</f>
        <v/>
      </c>
      <c r="AD170" s="3">
        <f>IF(J170&lt;0,0,J170)</f>
        <v/>
      </c>
      <c r="AT170" s="17" t="n">
        <v>155</v>
      </c>
      <c r="AU170" s="9" t="n">
        <v>33.34</v>
      </c>
      <c r="AV170" s="9" t="n">
        <v>27.93</v>
      </c>
      <c r="AW170" s="9" t="n">
        <v>31.2</v>
      </c>
    </row>
    <row r="171">
      <c r="G171" s="17" t="n">
        <v>156</v>
      </c>
      <c r="H171" s="2">
        <f>TRUNC((_xlfn.NORM.INV((RAND()),$E$24,$E$25)),2)</f>
        <v/>
      </c>
      <c r="I171" s="2">
        <f>TRUNC((_xlfn.NORM.INV((RAND()),$E$24,$E$25)),2)</f>
        <v/>
      </c>
      <c r="J171" s="2">
        <f>TRUNC((_xlfn.NORM.INV((RAND()),$E$24,$E$25)),2)</f>
        <v/>
      </c>
      <c r="AA171" s="17" t="n">
        <v>156</v>
      </c>
      <c r="AB171" s="3">
        <f>IF(H171&lt;0,0,H171)</f>
        <v/>
      </c>
      <c r="AC171" s="3">
        <f>IF(I171&lt;0,0,I171)</f>
        <v/>
      </c>
      <c r="AD171" s="3">
        <f>IF(J171&lt;0,0,J171)</f>
        <v/>
      </c>
      <c r="AT171" s="17" t="n">
        <v>156</v>
      </c>
      <c r="AU171" s="9" t="n">
        <v>29.37</v>
      </c>
      <c r="AV171" s="9" t="n">
        <v>22.91</v>
      </c>
      <c r="AW171" s="9" t="n">
        <v>29.65</v>
      </c>
    </row>
    <row r="172">
      <c r="G172" s="17" t="n">
        <v>157</v>
      </c>
      <c r="H172" s="2">
        <f>TRUNC((_xlfn.NORM.INV((RAND()),$E$24,$E$25)),2)</f>
        <v/>
      </c>
      <c r="I172" s="2">
        <f>TRUNC((_xlfn.NORM.INV((RAND()),$E$24,$E$25)),2)</f>
        <v/>
      </c>
      <c r="J172" s="2">
        <f>TRUNC((_xlfn.NORM.INV((RAND()),$E$24,$E$25)),2)</f>
        <v/>
      </c>
      <c r="AA172" s="17" t="n">
        <v>157</v>
      </c>
      <c r="AB172" s="3">
        <f>IF(H172&lt;0,0,H172)</f>
        <v/>
      </c>
      <c r="AC172" s="3">
        <f>IF(I172&lt;0,0,I172)</f>
        <v/>
      </c>
      <c r="AD172" s="3">
        <f>IF(J172&lt;0,0,J172)</f>
        <v/>
      </c>
      <c r="AT172" s="17" t="n">
        <v>157</v>
      </c>
      <c r="AU172" s="9" t="n">
        <v>25.57</v>
      </c>
      <c r="AV172" s="9" t="n">
        <v>27.28</v>
      </c>
      <c r="AW172" s="9" t="n">
        <v>30.9</v>
      </c>
    </row>
    <row r="173">
      <c r="G173" s="17" t="n">
        <v>158</v>
      </c>
      <c r="H173" s="2">
        <f>TRUNC((_xlfn.NORM.INV((RAND()),$E$24,$E$25)),2)</f>
        <v/>
      </c>
      <c r="I173" s="2">
        <f>TRUNC((_xlfn.NORM.INV((RAND()),$E$24,$E$25)),2)</f>
        <v/>
      </c>
      <c r="J173" s="2">
        <f>TRUNC((_xlfn.NORM.INV((RAND()),$E$24,$E$25)),2)</f>
        <v/>
      </c>
      <c r="AA173" s="17" t="n">
        <v>158</v>
      </c>
      <c r="AB173" s="3">
        <f>IF(H173&lt;0,0,H173)</f>
        <v/>
      </c>
      <c r="AC173" s="3">
        <f>IF(I173&lt;0,0,I173)</f>
        <v/>
      </c>
      <c r="AD173" s="3">
        <f>IF(J173&lt;0,0,J173)</f>
        <v/>
      </c>
      <c r="AT173" s="17" t="n">
        <v>158</v>
      </c>
      <c r="AU173" s="9" t="n">
        <v>27.47</v>
      </c>
      <c r="AV173" s="9" t="n">
        <v>25.45</v>
      </c>
      <c r="AW173" s="9" t="n">
        <v>22.23</v>
      </c>
    </row>
    <row r="174">
      <c r="G174" s="17" t="n">
        <v>159</v>
      </c>
      <c r="H174" s="2">
        <f>TRUNC((_xlfn.NORM.INV((RAND()),$E$24,$E$25)),2)</f>
        <v/>
      </c>
      <c r="I174" s="2">
        <f>TRUNC((_xlfn.NORM.INV((RAND()),$E$24,$E$25)),2)</f>
        <v/>
      </c>
      <c r="J174" s="2">
        <f>TRUNC((_xlfn.NORM.INV((RAND()),$E$24,$E$25)),2)</f>
        <v/>
      </c>
      <c r="AA174" s="17" t="n">
        <v>159</v>
      </c>
      <c r="AB174" s="3">
        <f>IF(H174&lt;0,0,H174)</f>
        <v/>
      </c>
      <c r="AC174" s="3">
        <f>IF(I174&lt;0,0,I174)</f>
        <v/>
      </c>
      <c r="AD174" s="3">
        <f>IF(J174&lt;0,0,J174)</f>
        <v/>
      </c>
      <c r="AT174" s="17" t="n">
        <v>159</v>
      </c>
      <c r="AU174" s="9" t="n">
        <v>33.17</v>
      </c>
      <c r="AV174" s="9" t="n">
        <v>28.86</v>
      </c>
      <c r="AW174" s="9" t="n">
        <v>31.03</v>
      </c>
    </row>
    <row r="175">
      <c r="G175" s="17" t="n">
        <v>160</v>
      </c>
      <c r="H175" s="2">
        <f>TRUNC((_xlfn.NORM.INV((RAND()),$E$24,$E$25)),2)</f>
        <v/>
      </c>
      <c r="I175" s="2">
        <f>TRUNC((_xlfn.NORM.INV((RAND()),$E$24,$E$25)),2)</f>
        <v/>
      </c>
      <c r="J175" s="2">
        <f>TRUNC((_xlfn.NORM.INV((RAND()),$E$24,$E$25)),2)</f>
        <v/>
      </c>
      <c r="AA175" s="17" t="n">
        <v>160</v>
      </c>
      <c r="AB175" s="3">
        <f>IF(H175&lt;0,0,H175)</f>
        <v/>
      </c>
      <c r="AC175" s="3">
        <f>IF(I175&lt;0,0,I175)</f>
        <v/>
      </c>
      <c r="AD175" s="3">
        <f>IF(J175&lt;0,0,J175)</f>
        <v/>
      </c>
      <c r="AT175" s="17" t="n">
        <v>160</v>
      </c>
      <c r="AU175" s="9" t="n">
        <v>22.81</v>
      </c>
      <c r="AV175" s="9" t="n">
        <v>26.13</v>
      </c>
      <c r="AW175" s="9" t="n">
        <v>25.41</v>
      </c>
    </row>
    <row r="176">
      <c r="G176" s="17" t="n">
        <v>161</v>
      </c>
      <c r="H176" s="2">
        <f>TRUNC((_xlfn.NORM.INV((RAND()),$E$24,$E$25)),2)</f>
        <v/>
      </c>
      <c r="I176" s="2">
        <f>TRUNC((_xlfn.NORM.INV((RAND()),$E$24,$E$25)),2)</f>
        <v/>
      </c>
      <c r="J176" s="2">
        <f>TRUNC((_xlfn.NORM.INV((RAND()),$E$24,$E$25)),2)</f>
        <v/>
      </c>
      <c r="AA176" s="17" t="n">
        <v>161</v>
      </c>
      <c r="AB176" s="3">
        <f>IF(H176&lt;0,0,H176)</f>
        <v/>
      </c>
      <c r="AC176" s="3">
        <f>IF(I176&lt;0,0,I176)</f>
        <v/>
      </c>
      <c r="AD176" s="3">
        <f>IF(J176&lt;0,0,J176)</f>
        <v/>
      </c>
      <c r="AT176" s="17" t="n">
        <v>161</v>
      </c>
      <c r="AU176" s="9" t="n">
        <v>29.55</v>
      </c>
      <c r="AV176" s="9" t="n">
        <v>19.01</v>
      </c>
      <c r="AW176" s="9" t="n">
        <v>30.6</v>
      </c>
    </row>
    <row r="177">
      <c r="G177" s="17" t="n">
        <v>162</v>
      </c>
      <c r="H177" s="2">
        <f>TRUNC((_xlfn.NORM.INV((RAND()),$E$24,$E$25)),2)</f>
        <v/>
      </c>
      <c r="I177" s="2">
        <f>TRUNC((_xlfn.NORM.INV((RAND()),$E$24,$E$25)),2)</f>
        <v/>
      </c>
      <c r="J177" s="2">
        <f>TRUNC((_xlfn.NORM.INV((RAND()),$E$24,$E$25)),2)</f>
        <v/>
      </c>
      <c r="AA177" s="17" t="n">
        <v>162</v>
      </c>
      <c r="AB177" s="3">
        <f>IF(H177&lt;0,0,H177)</f>
        <v/>
      </c>
      <c r="AC177" s="3">
        <f>IF(I177&lt;0,0,I177)</f>
        <v/>
      </c>
      <c r="AD177" s="3">
        <f>IF(J177&lt;0,0,J177)</f>
        <v/>
      </c>
      <c r="AT177" s="17" t="n">
        <v>162</v>
      </c>
      <c r="AU177" s="9" t="n">
        <v>27.87</v>
      </c>
      <c r="AV177" s="9" t="n">
        <v>21.12</v>
      </c>
      <c r="AW177" s="9" t="n">
        <v>32.14</v>
      </c>
    </row>
    <row r="178">
      <c r="G178" s="17" t="n">
        <v>163</v>
      </c>
      <c r="H178" s="2">
        <f>TRUNC((_xlfn.NORM.INV((RAND()),$E$24,$E$25)),2)</f>
        <v/>
      </c>
      <c r="I178" s="2">
        <f>TRUNC((_xlfn.NORM.INV((RAND()),$E$24,$E$25)),2)</f>
        <v/>
      </c>
      <c r="J178" s="2">
        <f>TRUNC((_xlfn.NORM.INV((RAND()),$E$24,$E$25)),2)</f>
        <v/>
      </c>
      <c r="AA178" s="17" t="n">
        <v>163</v>
      </c>
      <c r="AB178" s="3">
        <f>IF(H178&lt;0,0,H178)</f>
        <v/>
      </c>
      <c r="AC178" s="3">
        <f>IF(I178&lt;0,0,I178)</f>
        <v/>
      </c>
      <c r="AD178" s="3">
        <f>IF(J178&lt;0,0,J178)</f>
        <v/>
      </c>
      <c r="AT178" s="17" t="n">
        <v>163</v>
      </c>
      <c r="AU178" s="9" t="n">
        <v>29.82</v>
      </c>
      <c r="AV178" s="9" t="n">
        <v>19.49</v>
      </c>
      <c r="AW178" s="9" t="n">
        <v>29.71</v>
      </c>
    </row>
    <row r="179">
      <c r="G179" s="17" t="n">
        <v>164</v>
      </c>
      <c r="H179" s="2">
        <f>TRUNC((_xlfn.NORM.INV((RAND()),$E$24,$E$25)),2)</f>
        <v/>
      </c>
      <c r="I179" s="2">
        <f>TRUNC((_xlfn.NORM.INV((RAND()),$E$24,$E$25)),2)</f>
        <v/>
      </c>
      <c r="J179" s="2">
        <f>TRUNC((_xlfn.NORM.INV((RAND()),$E$24,$E$25)),2)</f>
        <v/>
      </c>
      <c r="AA179" s="17" t="n">
        <v>164</v>
      </c>
      <c r="AB179" s="3">
        <f>IF(H179&lt;0,0,H179)</f>
        <v/>
      </c>
      <c r="AC179" s="3">
        <f>IF(I179&lt;0,0,I179)</f>
        <v/>
      </c>
      <c r="AD179" s="3">
        <f>IF(J179&lt;0,0,J179)</f>
        <v/>
      </c>
      <c r="AT179" s="17" t="n">
        <v>164</v>
      </c>
      <c r="AU179" s="9" t="n">
        <v>27.72</v>
      </c>
      <c r="AV179" s="9" t="n">
        <v>18.32</v>
      </c>
      <c r="AW179" s="9" t="n">
        <v>21.91</v>
      </c>
    </row>
    <row r="180">
      <c r="G180" s="17" t="n">
        <v>165</v>
      </c>
      <c r="H180" s="2">
        <f>TRUNC((_xlfn.NORM.INV((RAND()),$E$24,$E$25)),2)</f>
        <v/>
      </c>
      <c r="I180" s="2">
        <f>TRUNC((_xlfn.NORM.INV((RAND()),$E$24,$E$25)),2)</f>
        <v/>
      </c>
      <c r="J180" s="2">
        <f>TRUNC((_xlfn.NORM.INV((RAND()),$E$24,$E$25)),2)</f>
        <v/>
      </c>
      <c r="AA180" s="17" t="n">
        <v>165</v>
      </c>
      <c r="AB180" s="3">
        <f>IF(H180&lt;0,0,H180)</f>
        <v/>
      </c>
      <c r="AC180" s="3">
        <f>IF(I180&lt;0,0,I180)</f>
        <v/>
      </c>
      <c r="AD180" s="3">
        <f>IF(J180&lt;0,0,J180)</f>
        <v/>
      </c>
      <c r="AT180" s="17" t="n">
        <v>165</v>
      </c>
      <c r="AU180" s="9" t="n">
        <v>24.72</v>
      </c>
      <c r="AV180" s="9" t="n">
        <v>26.31</v>
      </c>
      <c r="AW180" s="9" t="n">
        <v>20.37</v>
      </c>
    </row>
    <row r="181">
      <c r="G181" s="17" t="n">
        <v>166</v>
      </c>
      <c r="H181" s="2">
        <f>TRUNC((_xlfn.NORM.INV((RAND()),$E$24,$E$25)),2)</f>
        <v/>
      </c>
      <c r="I181" s="2">
        <f>TRUNC((_xlfn.NORM.INV((RAND()),$E$24,$E$25)),2)</f>
        <v/>
      </c>
      <c r="J181" s="2">
        <f>TRUNC((_xlfn.NORM.INV((RAND()),$E$24,$E$25)),2)</f>
        <v/>
      </c>
      <c r="AA181" s="17" t="n">
        <v>166</v>
      </c>
      <c r="AB181" s="3">
        <f>IF(H181&lt;0,0,H181)</f>
        <v/>
      </c>
      <c r="AC181" s="3">
        <f>IF(I181&lt;0,0,I181)</f>
        <v/>
      </c>
      <c r="AD181" s="3">
        <f>IF(J181&lt;0,0,J181)</f>
        <v/>
      </c>
      <c r="AT181" s="17" t="n">
        <v>166</v>
      </c>
      <c r="AU181" s="9" t="n">
        <v>22.42</v>
      </c>
      <c r="AV181" s="9" t="n">
        <v>28.72</v>
      </c>
      <c r="AW181" s="9" t="n">
        <v>29.98</v>
      </c>
    </row>
    <row r="182">
      <c r="G182" s="17" t="n">
        <v>167</v>
      </c>
      <c r="H182" s="2">
        <f>TRUNC((_xlfn.NORM.INV((RAND()),$E$24,$E$25)),2)</f>
        <v/>
      </c>
      <c r="I182" s="2">
        <f>TRUNC((_xlfn.NORM.INV((RAND()),$E$24,$E$25)),2)</f>
        <v/>
      </c>
      <c r="J182" s="2">
        <f>TRUNC((_xlfn.NORM.INV((RAND()),$E$24,$E$25)),2)</f>
        <v/>
      </c>
      <c r="AA182" s="17" t="n">
        <v>167</v>
      </c>
      <c r="AB182" s="3">
        <f>IF(H182&lt;0,0,H182)</f>
        <v/>
      </c>
      <c r="AC182" s="3">
        <f>IF(I182&lt;0,0,I182)</f>
        <v/>
      </c>
      <c r="AD182" s="3">
        <f>IF(J182&lt;0,0,J182)</f>
        <v/>
      </c>
      <c r="AT182" s="17" t="n">
        <v>167</v>
      </c>
      <c r="AU182" s="9" t="n">
        <v>25.64</v>
      </c>
      <c r="AV182" s="9" t="n">
        <v>26.2</v>
      </c>
      <c r="AW182" s="9" t="n">
        <v>17.99</v>
      </c>
    </row>
    <row r="183">
      <c r="G183" s="17" t="n">
        <v>168</v>
      </c>
      <c r="H183" s="2">
        <f>TRUNC((_xlfn.NORM.INV((RAND()),$E$24,$E$25)),2)</f>
        <v/>
      </c>
      <c r="I183" s="2">
        <f>TRUNC((_xlfn.NORM.INV((RAND()),$E$24,$E$25)),2)</f>
        <v/>
      </c>
      <c r="J183" s="2">
        <f>TRUNC((_xlfn.NORM.INV((RAND()),$E$24,$E$25)),2)</f>
        <v/>
      </c>
      <c r="AA183" s="17" t="n">
        <v>168</v>
      </c>
      <c r="AB183" s="3">
        <f>IF(H183&lt;0,0,H183)</f>
        <v/>
      </c>
      <c r="AC183" s="3">
        <f>IF(I183&lt;0,0,I183)</f>
        <v/>
      </c>
      <c r="AD183" s="3">
        <f>IF(J183&lt;0,0,J183)</f>
        <v/>
      </c>
      <c r="AT183" s="17" t="n">
        <v>168</v>
      </c>
      <c r="AU183" s="9" t="n">
        <v>9.35</v>
      </c>
      <c r="AV183" s="9" t="n">
        <v>27.98</v>
      </c>
      <c r="AW183" s="9" t="n">
        <v>28.31</v>
      </c>
    </row>
    <row r="184">
      <c r="G184" s="17" t="n">
        <v>169</v>
      </c>
      <c r="H184" s="2">
        <f>TRUNC((_xlfn.NORM.INV((RAND()),$E$24,$E$25)),2)</f>
        <v/>
      </c>
      <c r="I184" s="2">
        <f>TRUNC((_xlfn.NORM.INV((RAND()),$E$24,$E$25)),2)</f>
        <v/>
      </c>
      <c r="J184" s="2">
        <f>TRUNC((_xlfn.NORM.INV((RAND()),$E$24,$E$25)),2)</f>
        <v/>
      </c>
      <c r="AA184" s="17" t="n">
        <v>169</v>
      </c>
      <c r="AB184" s="3">
        <f>IF(H184&lt;0,0,H184)</f>
        <v/>
      </c>
      <c r="AC184" s="3">
        <f>IF(I184&lt;0,0,I184)</f>
        <v/>
      </c>
      <c r="AD184" s="3">
        <f>IF(J184&lt;0,0,J184)</f>
        <v/>
      </c>
      <c r="AT184" s="17" t="n">
        <v>169</v>
      </c>
      <c r="AU184" s="9" t="n">
        <v>26.07</v>
      </c>
      <c r="AV184" s="9" t="n">
        <v>33.92</v>
      </c>
      <c r="AW184" s="9" t="n">
        <v>31.39</v>
      </c>
    </row>
    <row r="185">
      <c r="G185" s="17" t="n">
        <v>170</v>
      </c>
      <c r="H185" s="2">
        <f>TRUNC((_xlfn.NORM.INV((RAND()),$E$24,$E$25)),2)</f>
        <v/>
      </c>
      <c r="I185" s="2">
        <f>TRUNC((_xlfn.NORM.INV((RAND()),$E$24,$E$25)),2)</f>
        <v/>
      </c>
      <c r="J185" s="2">
        <f>TRUNC((_xlfn.NORM.INV((RAND()),$E$24,$E$25)),2)</f>
        <v/>
      </c>
      <c r="AA185" s="17" t="n">
        <v>170</v>
      </c>
      <c r="AB185" s="3">
        <f>IF(H185&lt;0,0,H185)</f>
        <v/>
      </c>
      <c r="AC185" s="3">
        <f>IF(I185&lt;0,0,I185)</f>
        <v/>
      </c>
      <c r="AD185" s="3">
        <f>IF(J185&lt;0,0,J185)</f>
        <v/>
      </c>
      <c r="AT185" s="17" t="n">
        <v>170</v>
      </c>
      <c r="AU185" s="9" t="n">
        <v>32.92</v>
      </c>
      <c r="AV185" s="9" t="n">
        <v>25.39</v>
      </c>
      <c r="AW185" s="9" t="n">
        <v>19.9</v>
      </c>
    </row>
    <row r="186">
      <c r="G186" s="17" t="n">
        <v>171</v>
      </c>
      <c r="H186" s="2">
        <f>TRUNC((_xlfn.NORM.INV((RAND()),$E$24,$E$25)),2)</f>
        <v/>
      </c>
      <c r="I186" s="2">
        <f>TRUNC((_xlfn.NORM.INV((RAND()),$E$24,$E$25)),2)</f>
        <v/>
      </c>
      <c r="J186" s="2">
        <f>TRUNC((_xlfn.NORM.INV((RAND()),$E$24,$E$25)),2)</f>
        <v/>
      </c>
      <c r="AA186" s="17" t="n">
        <v>171</v>
      </c>
      <c r="AB186" s="3">
        <f>IF(H186&lt;0,0,H186)</f>
        <v/>
      </c>
      <c r="AC186" s="3">
        <f>IF(I186&lt;0,0,I186)</f>
        <v/>
      </c>
      <c r="AD186" s="3">
        <f>IF(J186&lt;0,0,J186)</f>
        <v/>
      </c>
      <c r="AT186" s="17" t="n">
        <v>171</v>
      </c>
      <c r="AU186" s="9" t="n">
        <v>32.74</v>
      </c>
      <c r="AV186" s="9" t="n">
        <v>32.79</v>
      </c>
      <c r="AW186" s="9" t="n">
        <v>21.92</v>
      </c>
    </row>
    <row r="187">
      <c r="G187" s="17" t="n">
        <v>172</v>
      </c>
      <c r="H187" s="2">
        <f>TRUNC((_xlfn.NORM.INV((RAND()),$E$24,$E$25)),2)</f>
        <v/>
      </c>
      <c r="I187" s="2">
        <f>TRUNC((_xlfn.NORM.INV((RAND()),$E$24,$E$25)),2)</f>
        <v/>
      </c>
      <c r="J187" s="2">
        <f>TRUNC((_xlfn.NORM.INV((RAND()),$E$24,$E$25)),2)</f>
        <v/>
      </c>
      <c r="AA187" s="17" t="n">
        <v>172</v>
      </c>
      <c r="AB187" s="3">
        <f>IF(H187&lt;0,0,H187)</f>
        <v/>
      </c>
      <c r="AC187" s="3">
        <f>IF(I187&lt;0,0,I187)</f>
        <v/>
      </c>
      <c r="AD187" s="3">
        <f>IF(J187&lt;0,0,J187)</f>
        <v/>
      </c>
      <c r="AT187" s="17" t="n">
        <v>172</v>
      </c>
      <c r="AU187" s="9" t="n">
        <v>23.48</v>
      </c>
      <c r="AV187" s="9" t="n">
        <v>23.21</v>
      </c>
      <c r="AW187" s="9" t="n">
        <v>33.63</v>
      </c>
    </row>
    <row r="188">
      <c r="G188" s="17" t="n">
        <v>173</v>
      </c>
      <c r="H188" s="2">
        <f>TRUNC((_xlfn.NORM.INV((RAND()),$E$24,$E$25)),2)</f>
        <v/>
      </c>
      <c r="I188" s="2">
        <f>TRUNC((_xlfn.NORM.INV((RAND()),$E$24,$E$25)),2)</f>
        <v/>
      </c>
      <c r="J188" s="2">
        <f>TRUNC((_xlfn.NORM.INV((RAND()),$E$24,$E$25)),2)</f>
        <v/>
      </c>
      <c r="AA188" s="17" t="n">
        <v>173</v>
      </c>
      <c r="AB188" s="3">
        <f>IF(H188&lt;0,0,H188)</f>
        <v/>
      </c>
      <c r="AC188" s="3">
        <f>IF(I188&lt;0,0,I188)</f>
        <v/>
      </c>
      <c r="AD188" s="3">
        <f>IF(J188&lt;0,0,J188)</f>
        <v/>
      </c>
      <c r="AT188" s="17" t="n">
        <v>173</v>
      </c>
      <c r="AU188" s="9" t="n">
        <v>25.93</v>
      </c>
      <c r="AV188" s="9" t="n">
        <v>30.37</v>
      </c>
      <c r="AW188" s="9" t="n">
        <v>34.13</v>
      </c>
    </row>
    <row r="189">
      <c r="G189" s="17" t="n">
        <v>174</v>
      </c>
      <c r="H189" s="2">
        <f>TRUNC((_xlfn.NORM.INV((RAND()),$E$24,$E$25)),2)</f>
        <v/>
      </c>
      <c r="I189" s="2">
        <f>TRUNC((_xlfn.NORM.INV((RAND()),$E$24,$E$25)),2)</f>
        <v/>
      </c>
      <c r="J189" s="2">
        <f>TRUNC((_xlfn.NORM.INV((RAND()),$E$24,$E$25)),2)</f>
        <v/>
      </c>
      <c r="AA189" s="17" t="n">
        <v>174</v>
      </c>
      <c r="AB189" s="3">
        <f>IF(H189&lt;0,0,H189)</f>
        <v/>
      </c>
      <c r="AC189" s="3">
        <f>IF(I189&lt;0,0,I189)</f>
        <v/>
      </c>
      <c r="AD189" s="3">
        <f>IF(J189&lt;0,0,J189)</f>
        <v/>
      </c>
      <c r="AT189" s="17" t="n">
        <v>174</v>
      </c>
      <c r="AU189" s="9" t="n">
        <v>22.29</v>
      </c>
      <c r="AV189" s="9" t="n">
        <v>28.22</v>
      </c>
      <c r="AW189" s="9" t="n">
        <v>17.01</v>
      </c>
    </row>
    <row r="190">
      <c r="G190" s="17" t="n">
        <v>175</v>
      </c>
      <c r="H190" s="2">
        <f>TRUNC((_xlfn.NORM.INV((RAND()),$E$24,$E$25)),2)</f>
        <v/>
      </c>
      <c r="I190" s="2">
        <f>TRUNC((_xlfn.NORM.INV((RAND()),$E$24,$E$25)),2)</f>
        <v/>
      </c>
      <c r="J190" s="2">
        <f>TRUNC((_xlfn.NORM.INV((RAND()),$E$24,$E$25)),2)</f>
        <v/>
      </c>
      <c r="AA190" s="17" t="n">
        <v>175</v>
      </c>
      <c r="AB190" s="3">
        <f>IF(H190&lt;0,0,H190)</f>
        <v/>
      </c>
      <c r="AC190" s="3">
        <f>IF(I190&lt;0,0,I190)</f>
        <v/>
      </c>
      <c r="AD190" s="3">
        <f>IF(J190&lt;0,0,J190)</f>
        <v/>
      </c>
      <c r="AT190" s="17" t="n">
        <v>175</v>
      </c>
      <c r="AU190" s="9" t="n">
        <v>22.76</v>
      </c>
      <c r="AV190" s="9" t="n">
        <v>21.77</v>
      </c>
      <c r="AW190" s="9" t="n">
        <v>30.29</v>
      </c>
    </row>
    <row r="191">
      <c r="G191" s="17" t="n">
        <v>176</v>
      </c>
      <c r="H191" s="2">
        <f>TRUNC((_xlfn.NORM.INV((RAND()),$E$24,$E$25)),2)</f>
        <v/>
      </c>
      <c r="I191" s="2">
        <f>TRUNC((_xlfn.NORM.INV((RAND()),$E$24,$E$25)),2)</f>
        <v/>
      </c>
      <c r="J191" s="2">
        <f>TRUNC((_xlfn.NORM.INV((RAND()),$E$24,$E$25)),2)</f>
        <v/>
      </c>
      <c r="AA191" s="17" t="n">
        <v>176</v>
      </c>
      <c r="AB191" s="3">
        <f>IF(H191&lt;0,0,H191)</f>
        <v/>
      </c>
      <c r="AC191" s="3">
        <f>IF(I191&lt;0,0,I191)</f>
        <v/>
      </c>
      <c r="AD191" s="3">
        <f>IF(J191&lt;0,0,J191)</f>
        <v/>
      </c>
      <c r="AT191" s="17" t="n">
        <v>176</v>
      </c>
      <c r="AU191" s="9" t="n">
        <v>28.44</v>
      </c>
      <c r="AV191" s="9" t="n">
        <v>25.83</v>
      </c>
      <c r="AW191" s="9" t="n">
        <v>25.07</v>
      </c>
    </row>
    <row r="192">
      <c r="G192" s="17" t="n">
        <v>177</v>
      </c>
      <c r="H192" s="2">
        <f>TRUNC((_xlfn.NORM.INV((RAND()),$E$24,$E$25)),2)</f>
        <v/>
      </c>
      <c r="I192" s="2">
        <f>TRUNC((_xlfn.NORM.INV((RAND()),$E$24,$E$25)),2)</f>
        <v/>
      </c>
      <c r="J192" s="2">
        <f>TRUNC((_xlfn.NORM.INV((RAND()),$E$24,$E$25)),2)</f>
        <v/>
      </c>
      <c r="AA192" s="17" t="n">
        <v>177</v>
      </c>
      <c r="AB192" s="3">
        <f>IF(H192&lt;0,0,H192)</f>
        <v/>
      </c>
      <c r="AC192" s="3">
        <f>IF(I192&lt;0,0,I192)</f>
        <v/>
      </c>
      <c r="AD192" s="3">
        <f>IF(J192&lt;0,0,J192)</f>
        <v/>
      </c>
      <c r="AT192" s="17" t="n">
        <v>177</v>
      </c>
      <c r="AU192" s="9" t="n">
        <v>28.9</v>
      </c>
      <c r="AV192" s="9" t="n">
        <v>18.67</v>
      </c>
      <c r="AW192" s="9" t="n">
        <v>18.96</v>
      </c>
    </row>
    <row r="193">
      <c r="G193" s="17" t="n">
        <v>178</v>
      </c>
      <c r="H193" s="2">
        <f>TRUNC((_xlfn.NORM.INV((RAND()),$E$24,$E$25)),2)</f>
        <v/>
      </c>
      <c r="I193" s="2">
        <f>TRUNC((_xlfn.NORM.INV((RAND()),$E$24,$E$25)),2)</f>
        <v/>
      </c>
      <c r="J193" s="2">
        <f>TRUNC((_xlfn.NORM.INV((RAND()),$E$24,$E$25)),2)</f>
        <v/>
      </c>
      <c r="AA193" s="17" t="n">
        <v>178</v>
      </c>
      <c r="AB193" s="3">
        <f>IF(H193&lt;0,0,H193)</f>
        <v/>
      </c>
      <c r="AC193" s="3">
        <f>IF(I193&lt;0,0,I193)</f>
        <v/>
      </c>
      <c r="AD193" s="3">
        <f>IF(J193&lt;0,0,J193)</f>
        <v/>
      </c>
      <c r="AT193" s="17" t="n">
        <v>178</v>
      </c>
      <c r="AU193" s="9" t="n">
        <v>28.59</v>
      </c>
      <c r="AV193" s="9" t="n">
        <v>37.42</v>
      </c>
      <c r="AW193" s="9" t="n">
        <v>21.15</v>
      </c>
    </row>
    <row r="194">
      <c r="G194" s="17" t="n">
        <v>179</v>
      </c>
      <c r="H194" s="2">
        <f>TRUNC((_xlfn.NORM.INV((RAND()),$E$24,$E$25)),2)</f>
        <v/>
      </c>
      <c r="I194" s="2">
        <f>TRUNC((_xlfn.NORM.INV((RAND()),$E$24,$E$25)),2)</f>
        <v/>
      </c>
      <c r="J194" s="2">
        <f>TRUNC((_xlfn.NORM.INV((RAND()),$E$24,$E$25)),2)</f>
        <v/>
      </c>
      <c r="AA194" s="17" t="n">
        <v>179</v>
      </c>
      <c r="AB194" s="3">
        <f>IF(H194&lt;0,0,H194)</f>
        <v/>
      </c>
      <c r="AC194" s="3">
        <f>IF(I194&lt;0,0,I194)</f>
        <v/>
      </c>
      <c r="AD194" s="3">
        <f>IF(J194&lt;0,0,J194)</f>
        <v/>
      </c>
      <c r="AT194" s="17" t="n">
        <v>179</v>
      </c>
      <c r="AU194" s="9" t="n">
        <v>23.13</v>
      </c>
      <c r="AV194" s="9" t="n">
        <v>29.18</v>
      </c>
      <c r="AW194" s="9" t="n">
        <v>28.53</v>
      </c>
    </row>
    <row r="195">
      <c r="G195" s="17" t="n">
        <v>180</v>
      </c>
      <c r="H195" s="2">
        <f>TRUNC((_xlfn.NORM.INV((RAND()),$E$24,$E$25)),2)</f>
        <v/>
      </c>
      <c r="I195" s="2">
        <f>TRUNC((_xlfn.NORM.INV((RAND()),$E$24,$E$25)),2)</f>
        <v/>
      </c>
      <c r="J195" s="2">
        <f>TRUNC((_xlfn.NORM.INV((RAND()),$E$24,$E$25)),2)</f>
        <v/>
      </c>
      <c r="AA195" s="17" t="n">
        <v>180</v>
      </c>
      <c r="AB195" s="3">
        <f>IF(H195&lt;0,0,H195)</f>
        <v/>
      </c>
      <c r="AC195" s="3">
        <f>IF(I195&lt;0,0,I195)</f>
        <v/>
      </c>
      <c r="AD195" s="3">
        <f>IF(J195&lt;0,0,J195)</f>
        <v/>
      </c>
      <c r="AT195" s="17" t="n">
        <v>180</v>
      </c>
      <c r="AU195" s="9" t="n">
        <v>15.48</v>
      </c>
      <c r="AV195" s="9" t="n">
        <v>36.04</v>
      </c>
      <c r="AW195" s="9" t="n">
        <v>25.36</v>
      </c>
    </row>
    <row r="196">
      <c r="G196" s="17" t="n">
        <v>181</v>
      </c>
      <c r="H196" s="2">
        <f>TRUNC((_xlfn.NORM.INV((RAND()),$E$24,$E$25)),2)</f>
        <v/>
      </c>
      <c r="I196" s="2">
        <f>TRUNC((_xlfn.NORM.INV((RAND()),$E$24,$E$25)),2)</f>
        <v/>
      </c>
      <c r="J196" s="2">
        <f>TRUNC((_xlfn.NORM.INV((RAND()),$E$24,$E$25)),2)</f>
        <v/>
      </c>
      <c r="AA196" s="17" t="n">
        <v>181</v>
      </c>
      <c r="AB196" s="3">
        <f>IF(H196&lt;0,0,H196)</f>
        <v/>
      </c>
      <c r="AC196" s="3">
        <f>IF(I196&lt;0,0,I196)</f>
        <v/>
      </c>
      <c r="AD196" s="3">
        <f>IF(J196&lt;0,0,J196)</f>
        <v/>
      </c>
      <c r="AT196" s="17" t="n">
        <v>181</v>
      </c>
      <c r="AU196" s="9" t="n">
        <v>15.38</v>
      </c>
      <c r="AV196" s="9" t="n">
        <v>21.96</v>
      </c>
      <c r="AW196" s="9" t="n">
        <v>30.71</v>
      </c>
    </row>
    <row r="197">
      <c r="G197" s="17" t="n">
        <v>182</v>
      </c>
      <c r="H197" s="2">
        <f>TRUNC((_xlfn.NORM.INV((RAND()),$E$24,$E$25)),2)</f>
        <v/>
      </c>
      <c r="I197" s="2">
        <f>TRUNC((_xlfn.NORM.INV((RAND()),$E$24,$E$25)),2)</f>
        <v/>
      </c>
      <c r="J197" s="2">
        <f>TRUNC((_xlfn.NORM.INV((RAND()),$E$24,$E$25)),2)</f>
        <v/>
      </c>
      <c r="AA197" s="17" t="n">
        <v>182</v>
      </c>
      <c r="AB197" s="3">
        <f>IF(H197&lt;0,0,H197)</f>
        <v/>
      </c>
      <c r="AC197" s="3">
        <f>IF(I197&lt;0,0,I197)</f>
        <v/>
      </c>
      <c r="AD197" s="3">
        <f>IF(J197&lt;0,0,J197)</f>
        <v/>
      </c>
      <c r="AT197" s="17" t="n">
        <v>182</v>
      </c>
      <c r="AU197" s="9" t="n">
        <v>31.41</v>
      </c>
      <c r="AV197" s="9" t="n">
        <v>26.72</v>
      </c>
      <c r="AW197" s="9" t="n">
        <v>30.9</v>
      </c>
    </row>
    <row r="198">
      <c r="G198" s="17" t="n">
        <v>183</v>
      </c>
      <c r="H198" s="2">
        <f>TRUNC((_xlfn.NORM.INV((RAND()),$E$24,$E$25)),2)</f>
        <v/>
      </c>
      <c r="I198" s="2">
        <f>TRUNC((_xlfn.NORM.INV((RAND()),$E$24,$E$25)),2)</f>
        <v/>
      </c>
      <c r="J198" s="2">
        <f>TRUNC((_xlfn.NORM.INV((RAND()),$E$24,$E$25)),2)</f>
        <v/>
      </c>
      <c r="AA198" s="17" t="n">
        <v>183</v>
      </c>
      <c r="AB198" s="3">
        <f>IF(H198&lt;0,0,H198)</f>
        <v/>
      </c>
      <c r="AC198" s="3">
        <f>IF(I198&lt;0,0,I198)</f>
        <v/>
      </c>
      <c r="AD198" s="3">
        <f>IF(J198&lt;0,0,J198)</f>
        <v/>
      </c>
      <c r="AT198" s="17" t="n">
        <v>183</v>
      </c>
      <c r="AU198" s="9" t="n">
        <v>26.78</v>
      </c>
      <c r="AV198" s="9" t="n">
        <v>29.87</v>
      </c>
      <c r="AW198" s="9" t="n">
        <v>27.99</v>
      </c>
    </row>
    <row r="199">
      <c r="G199" s="17" t="n">
        <v>184</v>
      </c>
      <c r="H199" s="2">
        <f>TRUNC((_xlfn.NORM.INV((RAND()),$E$24,$E$25)),2)</f>
        <v/>
      </c>
      <c r="I199" s="2">
        <f>TRUNC((_xlfn.NORM.INV((RAND()),$E$24,$E$25)),2)</f>
        <v/>
      </c>
      <c r="J199" s="2">
        <f>TRUNC((_xlfn.NORM.INV((RAND()),$E$24,$E$25)),2)</f>
        <v/>
      </c>
      <c r="AA199" s="17" t="n">
        <v>184</v>
      </c>
      <c r="AB199" s="3">
        <f>IF(H199&lt;0,0,H199)</f>
        <v/>
      </c>
      <c r="AC199" s="3">
        <f>IF(I199&lt;0,0,I199)</f>
        <v/>
      </c>
      <c r="AD199" s="3">
        <f>IF(J199&lt;0,0,J199)</f>
        <v/>
      </c>
      <c r="AT199" s="17" t="n">
        <v>184</v>
      </c>
      <c r="AU199" s="9" t="n">
        <v>18.28</v>
      </c>
      <c r="AV199" s="9" t="n">
        <v>31.39</v>
      </c>
      <c r="AW199" s="9" t="n">
        <v>23.1</v>
      </c>
    </row>
    <row r="200">
      <c r="G200" s="17" t="n">
        <v>185</v>
      </c>
      <c r="H200" s="2">
        <f>TRUNC((_xlfn.NORM.INV((RAND()),$E$24,$E$25)),2)</f>
        <v/>
      </c>
      <c r="I200" s="2">
        <f>TRUNC((_xlfn.NORM.INV((RAND()),$E$24,$E$25)),2)</f>
        <v/>
      </c>
      <c r="J200" s="2">
        <f>TRUNC((_xlfn.NORM.INV((RAND()),$E$24,$E$25)),2)</f>
        <v/>
      </c>
      <c r="AA200" s="17" t="n">
        <v>185</v>
      </c>
      <c r="AB200" s="3">
        <f>IF(H200&lt;0,0,H200)</f>
        <v/>
      </c>
      <c r="AC200" s="3">
        <f>IF(I200&lt;0,0,I200)</f>
        <v/>
      </c>
      <c r="AD200" s="3">
        <f>IF(J200&lt;0,0,J200)</f>
        <v/>
      </c>
      <c r="AT200" s="17" t="n">
        <v>185</v>
      </c>
      <c r="AU200" s="9" t="n">
        <v>31.59</v>
      </c>
      <c r="AV200" s="9" t="n">
        <v>25.43</v>
      </c>
      <c r="AW200" s="9" t="n">
        <v>24.54</v>
      </c>
    </row>
    <row r="201">
      <c r="G201" s="17" t="n">
        <v>186</v>
      </c>
      <c r="H201" s="2">
        <f>TRUNC((_xlfn.NORM.INV((RAND()),$E$24,$E$25)),2)</f>
        <v/>
      </c>
      <c r="I201" s="2">
        <f>TRUNC((_xlfn.NORM.INV((RAND()),$E$24,$E$25)),2)</f>
        <v/>
      </c>
      <c r="J201" s="2">
        <f>TRUNC((_xlfn.NORM.INV((RAND()),$E$24,$E$25)),2)</f>
        <v/>
      </c>
      <c r="AA201" s="17" t="n">
        <v>186</v>
      </c>
      <c r="AB201" s="3">
        <f>IF(H201&lt;0,0,H201)</f>
        <v/>
      </c>
      <c r="AC201" s="3">
        <f>IF(I201&lt;0,0,I201)</f>
        <v/>
      </c>
      <c r="AD201" s="3">
        <f>IF(J201&lt;0,0,J201)</f>
        <v/>
      </c>
      <c r="AT201" s="17" t="n">
        <v>186</v>
      </c>
      <c r="AU201" s="9" t="n">
        <v>33.8</v>
      </c>
      <c r="AV201" s="9" t="n">
        <v>23.83</v>
      </c>
      <c r="AW201" s="9" t="n">
        <v>25.58</v>
      </c>
    </row>
    <row r="202">
      <c r="G202" s="17" t="n">
        <v>187</v>
      </c>
      <c r="H202" s="2">
        <f>TRUNC((_xlfn.NORM.INV((RAND()),$E$24,$E$25)),2)</f>
        <v/>
      </c>
      <c r="I202" s="2">
        <f>TRUNC((_xlfn.NORM.INV((RAND()),$E$24,$E$25)),2)</f>
        <v/>
      </c>
      <c r="J202" s="2">
        <f>TRUNC((_xlfn.NORM.INV((RAND()),$E$24,$E$25)),2)</f>
        <v/>
      </c>
      <c r="AA202" s="17" t="n">
        <v>187</v>
      </c>
      <c r="AB202" s="3">
        <f>IF(H202&lt;0,0,H202)</f>
        <v/>
      </c>
      <c r="AC202" s="3">
        <f>IF(I202&lt;0,0,I202)</f>
        <v/>
      </c>
      <c r="AD202" s="3">
        <f>IF(J202&lt;0,0,J202)</f>
        <v/>
      </c>
      <c r="AT202" s="17" t="n">
        <v>187</v>
      </c>
      <c r="AU202" s="9" t="n">
        <v>23.63</v>
      </c>
      <c r="AV202" s="9" t="n">
        <v>25.51</v>
      </c>
      <c r="AW202" s="9" t="n">
        <v>30.8</v>
      </c>
    </row>
    <row r="203">
      <c r="G203" s="17" t="n">
        <v>188</v>
      </c>
      <c r="H203" s="2">
        <f>TRUNC((_xlfn.NORM.INV((RAND()),$E$24,$E$25)),2)</f>
        <v/>
      </c>
      <c r="I203" s="2">
        <f>TRUNC((_xlfn.NORM.INV((RAND()),$E$24,$E$25)),2)</f>
        <v/>
      </c>
      <c r="J203" s="2">
        <f>TRUNC((_xlfn.NORM.INV((RAND()),$E$24,$E$25)),2)</f>
        <v/>
      </c>
      <c r="AA203" s="17" t="n">
        <v>188</v>
      </c>
      <c r="AB203" s="3">
        <f>IF(H203&lt;0,0,H203)</f>
        <v/>
      </c>
      <c r="AC203" s="3">
        <f>IF(I203&lt;0,0,I203)</f>
        <v/>
      </c>
      <c r="AD203" s="3">
        <f>IF(J203&lt;0,0,J203)</f>
        <v/>
      </c>
      <c r="AT203" s="17" t="n">
        <v>188</v>
      </c>
      <c r="AU203" s="9" t="n">
        <v>23.44</v>
      </c>
      <c r="AV203" s="9" t="n">
        <v>24.32</v>
      </c>
      <c r="AW203" s="9" t="n">
        <v>27.17</v>
      </c>
    </row>
    <row r="204">
      <c r="G204" s="17" t="n">
        <v>189</v>
      </c>
      <c r="H204" s="2">
        <f>TRUNC((_xlfn.NORM.INV((RAND()),$E$24,$E$25)),2)</f>
        <v/>
      </c>
      <c r="I204" s="2">
        <f>TRUNC((_xlfn.NORM.INV((RAND()),$E$24,$E$25)),2)</f>
        <v/>
      </c>
      <c r="J204" s="2">
        <f>TRUNC((_xlfn.NORM.INV((RAND()),$E$24,$E$25)),2)</f>
        <v/>
      </c>
      <c r="AA204" s="17" t="n">
        <v>189</v>
      </c>
      <c r="AB204" s="3">
        <f>IF(H204&lt;0,0,H204)</f>
        <v/>
      </c>
      <c r="AC204" s="3">
        <f>IF(I204&lt;0,0,I204)</f>
        <v/>
      </c>
      <c r="AD204" s="3">
        <f>IF(J204&lt;0,0,J204)</f>
        <v/>
      </c>
      <c r="AT204" s="17" t="n">
        <v>189</v>
      </c>
      <c r="AU204" s="9" t="n">
        <v>23.52</v>
      </c>
      <c r="AV204" s="9" t="n">
        <v>25.53</v>
      </c>
      <c r="AW204" s="9" t="n">
        <v>39.68</v>
      </c>
    </row>
    <row r="205">
      <c r="G205" s="17" t="n">
        <v>190</v>
      </c>
      <c r="H205" s="2">
        <f>TRUNC((_xlfn.NORM.INV((RAND()),$E$24,$E$25)),2)</f>
        <v/>
      </c>
      <c r="I205" s="2">
        <f>TRUNC((_xlfn.NORM.INV((RAND()),$E$24,$E$25)),2)</f>
        <v/>
      </c>
      <c r="J205" s="2">
        <f>TRUNC((_xlfn.NORM.INV((RAND()),$E$24,$E$25)),2)</f>
        <v/>
      </c>
      <c r="AA205" s="17" t="n">
        <v>190</v>
      </c>
      <c r="AB205" s="3">
        <f>IF(H205&lt;0,0,H205)</f>
        <v/>
      </c>
      <c r="AC205" s="3">
        <f>IF(I205&lt;0,0,I205)</f>
        <v/>
      </c>
      <c r="AD205" s="3">
        <f>IF(J205&lt;0,0,J205)</f>
        <v/>
      </c>
      <c r="AT205" s="17" t="n">
        <v>190</v>
      </c>
      <c r="AU205" s="9" t="n">
        <v>23.5</v>
      </c>
      <c r="AV205" s="9" t="n">
        <v>21.98</v>
      </c>
      <c r="AW205" s="9" t="n">
        <v>21.69</v>
      </c>
    </row>
    <row r="206">
      <c r="G206" s="17" t="n">
        <v>191</v>
      </c>
      <c r="H206" s="2">
        <f>TRUNC((_xlfn.NORM.INV((RAND()),$E$24,$E$25)),2)</f>
        <v/>
      </c>
      <c r="I206" s="2">
        <f>TRUNC((_xlfn.NORM.INV((RAND()),$E$24,$E$25)),2)</f>
        <v/>
      </c>
      <c r="J206" s="2">
        <f>TRUNC((_xlfn.NORM.INV((RAND()),$E$24,$E$25)),2)</f>
        <v/>
      </c>
      <c r="AA206" s="17" t="n">
        <v>191</v>
      </c>
      <c r="AB206" s="3">
        <f>IF(H206&lt;0,0,H206)</f>
        <v/>
      </c>
      <c r="AC206" s="3">
        <f>IF(I206&lt;0,0,I206)</f>
        <v/>
      </c>
      <c r="AD206" s="3">
        <f>IF(J206&lt;0,0,J206)</f>
        <v/>
      </c>
      <c r="AT206" s="17" t="n">
        <v>191</v>
      </c>
      <c r="AU206" s="9" t="n">
        <v>32.33</v>
      </c>
      <c r="AV206" s="9" t="n">
        <v>21.12</v>
      </c>
      <c r="AW206" s="9" t="n">
        <v>24.74</v>
      </c>
    </row>
    <row r="207">
      <c r="G207" s="17" t="n">
        <v>192</v>
      </c>
      <c r="H207" s="2">
        <f>TRUNC((_xlfn.NORM.INV((RAND()),$E$24,$E$25)),2)</f>
        <v/>
      </c>
      <c r="I207" s="2">
        <f>TRUNC((_xlfn.NORM.INV((RAND()),$E$24,$E$25)),2)</f>
        <v/>
      </c>
      <c r="J207" s="2">
        <f>TRUNC((_xlfn.NORM.INV((RAND()),$E$24,$E$25)),2)</f>
        <v/>
      </c>
      <c r="AA207" s="17" t="n">
        <v>192</v>
      </c>
      <c r="AB207" s="3">
        <f>IF(H207&lt;0,0,H207)</f>
        <v/>
      </c>
      <c r="AC207" s="3">
        <f>IF(I207&lt;0,0,I207)</f>
        <v/>
      </c>
      <c r="AD207" s="3">
        <f>IF(J207&lt;0,0,J207)</f>
        <v/>
      </c>
      <c r="AT207" s="17" t="n">
        <v>192</v>
      </c>
      <c r="AU207" s="9" t="n">
        <v>25.9</v>
      </c>
      <c r="AV207" s="9" t="n">
        <v>28.76</v>
      </c>
      <c r="AW207" s="9" t="n">
        <v>25.01</v>
      </c>
    </row>
    <row r="208">
      <c r="G208" s="17" t="n">
        <v>193</v>
      </c>
      <c r="H208" s="2">
        <f>TRUNC((_xlfn.NORM.INV((RAND()),$E$24,$E$25)),2)</f>
        <v/>
      </c>
      <c r="I208" s="2">
        <f>TRUNC((_xlfn.NORM.INV((RAND()),$E$24,$E$25)),2)</f>
        <v/>
      </c>
      <c r="J208" s="2">
        <f>TRUNC((_xlfn.NORM.INV((RAND()),$E$24,$E$25)),2)</f>
        <v/>
      </c>
      <c r="AA208" s="17" t="n">
        <v>193</v>
      </c>
      <c r="AB208" s="3">
        <f>IF(H208&lt;0,0,H208)</f>
        <v/>
      </c>
      <c r="AC208" s="3">
        <f>IF(I208&lt;0,0,I208)</f>
        <v/>
      </c>
      <c r="AD208" s="3">
        <f>IF(J208&lt;0,0,J208)</f>
        <v/>
      </c>
      <c r="AT208" s="17" t="n">
        <v>193</v>
      </c>
      <c r="AU208" s="9" t="n">
        <v>22.09</v>
      </c>
      <c r="AV208" s="9" t="n">
        <v>35.03</v>
      </c>
      <c r="AW208" s="9" t="n">
        <v>24.48</v>
      </c>
    </row>
    <row r="209">
      <c r="G209" s="17" t="n">
        <v>194</v>
      </c>
      <c r="H209" s="2">
        <f>TRUNC((_xlfn.NORM.INV((RAND()),$E$24,$E$25)),2)</f>
        <v/>
      </c>
      <c r="I209" s="2">
        <f>TRUNC((_xlfn.NORM.INV((RAND()),$E$24,$E$25)),2)</f>
        <v/>
      </c>
      <c r="J209" s="2">
        <f>TRUNC((_xlfn.NORM.INV((RAND()),$E$24,$E$25)),2)</f>
        <v/>
      </c>
      <c r="AA209" s="17" t="n">
        <v>194</v>
      </c>
      <c r="AB209" s="3">
        <f>IF(H209&lt;0,0,H209)</f>
        <v/>
      </c>
      <c r="AC209" s="3">
        <f>IF(I209&lt;0,0,I209)</f>
        <v/>
      </c>
      <c r="AD209" s="3">
        <f>IF(J209&lt;0,0,J209)</f>
        <v/>
      </c>
      <c r="AT209" s="17" t="n">
        <v>194</v>
      </c>
      <c r="AU209" s="9" t="n">
        <v>26.25</v>
      </c>
      <c r="AV209" s="9" t="n">
        <v>30.65</v>
      </c>
      <c r="AW209" s="9" t="n">
        <v>31.54</v>
      </c>
    </row>
    <row r="210">
      <c r="G210" s="17" t="n">
        <v>195</v>
      </c>
      <c r="H210" s="2">
        <f>TRUNC((_xlfn.NORM.INV((RAND()),$E$24,$E$25)),2)</f>
        <v/>
      </c>
      <c r="I210" s="2">
        <f>TRUNC((_xlfn.NORM.INV((RAND()),$E$24,$E$25)),2)</f>
        <v/>
      </c>
      <c r="J210" s="2">
        <f>TRUNC((_xlfn.NORM.INV((RAND()),$E$24,$E$25)),2)</f>
        <v/>
      </c>
      <c r="AA210" s="17" t="n">
        <v>195</v>
      </c>
      <c r="AB210" s="3">
        <f>IF(H210&lt;0,0,H210)</f>
        <v/>
      </c>
      <c r="AC210" s="3">
        <f>IF(I210&lt;0,0,I210)</f>
        <v/>
      </c>
      <c r="AD210" s="3">
        <f>IF(J210&lt;0,0,J210)</f>
        <v/>
      </c>
      <c r="AT210" s="17" t="n">
        <v>195</v>
      </c>
      <c r="AU210" s="9" t="n">
        <v>16.86</v>
      </c>
      <c r="AV210" s="9" t="n">
        <v>29.46</v>
      </c>
      <c r="AW210" s="9" t="n">
        <v>19.81</v>
      </c>
    </row>
    <row r="211">
      <c r="G211" s="17" t="n">
        <v>196</v>
      </c>
      <c r="H211" s="2">
        <f>TRUNC((_xlfn.NORM.INV((RAND()),$E$24,$E$25)),2)</f>
        <v/>
      </c>
      <c r="I211" s="2">
        <f>TRUNC((_xlfn.NORM.INV((RAND()),$E$24,$E$25)),2)</f>
        <v/>
      </c>
      <c r="J211" s="2">
        <f>TRUNC((_xlfn.NORM.INV((RAND()),$E$24,$E$25)),2)</f>
        <v/>
      </c>
      <c r="AA211" s="17" t="n">
        <v>196</v>
      </c>
      <c r="AB211" s="3">
        <f>IF(H211&lt;0,0,H211)</f>
        <v/>
      </c>
      <c r="AC211" s="3">
        <f>IF(I211&lt;0,0,I211)</f>
        <v/>
      </c>
      <c r="AD211" s="3">
        <f>IF(J211&lt;0,0,J211)</f>
        <v/>
      </c>
      <c r="AT211" s="17" t="n">
        <v>196</v>
      </c>
      <c r="AU211" s="9" t="n">
        <v>25.46</v>
      </c>
      <c r="AV211" s="9" t="n">
        <v>26.71</v>
      </c>
      <c r="AW211" s="9" t="n">
        <v>20.59</v>
      </c>
    </row>
    <row r="212">
      <c r="G212" s="17" t="n">
        <v>197</v>
      </c>
      <c r="H212" s="2">
        <f>TRUNC((_xlfn.NORM.INV((RAND()),$E$24,$E$25)),2)</f>
        <v/>
      </c>
      <c r="I212" s="2">
        <f>TRUNC((_xlfn.NORM.INV((RAND()),$E$24,$E$25)),2)</f>
        <v/>
      </c>
      <c r="J212" s="2">
        <f>TRUNC((_xlfn.NORM.INV((RAND()),$E$24,$E$25)),2)</f>
        <v/>
      </c>
      <c r="AA212" s="17" t="n">
        <v>197</v>
      </c>
      <c r="AB212" s="3">
        <f>IF(H212&lt;0,0,H212)</f>
        <v/>
      </c>
      <c r="AC212" s="3">
        <f>IF(I212&lt;0,0,I212)</f>
        <v/>
      </c>
      <c r="AD212" s="3">
        <f>IF(J212&lt;0,0,J212)</f>
        <v/>
      </c>
      <c r="AT212" s="17" t="n">
        <v>197</v>
      </c>
      <c r="AU212" s="9" t="n">
        <v>24.93</v>
      </c>
      <c r="AV212" s="9" t="n">
        <v>27.19</v>
      </c>
      <c r="AW212" s="9" t="n">
        <v>32.58</v>
      </c>
    </row>
    <row r="213">
      <c r="G213" s="17" t="n">
        <v>198</v>
      </c>
      <c r="H213" s="2">
        <f>TRUNC((_xlfn.NORM.INV((RAND()),$E$24,$E$25)),2)</f>
        <v/>
      </c>
      <c r="I213" s="2">
        <f>TRUNC((_xlfn.NORM.INV((RAND()),$E$24,$E$25)),2)</f>
        <v/>
      </c>
      <c r="J213" s="2">
        <f>TRUNC((_xlfn.NORM.INV((RAND()),$E$24,$E$25)),2)</f>
        <v/>
      </c>
      <c r="AA213" s="17" t="n">
        <v>198</v>
      </c>
      <c r="AB213" s="3">
        <f>IF(H213&lt;0,0,H213)</f>
        <v/>
      </c>
      <c r="AC213" s="3">
        <f>IF(I213&lt;0,0,I213)</f>
        <v/>
      </c>
      <c r="AD213" s="3">
        <f>IF(J213&lt;0,0,J213)</f>
        <v/>
      </c>
      <c r="AT213" s="17" t="n">
        <v>198</v>
      </c>
      <c r="AU213" s="9" t="n">
        <v>28.89</v>
      </c>
      <c r="AV213" s="9" t="n">
        <v>31.66</v>
      </c>
      <c r="AW213" s="9" t="n">
        <v>24.67</v>
      </c>
    </row>
  </sheetData>
  <mergeCells count="1">
    <mergeCell ref="D3:W3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BZ224"/>
  <sheetViews>
    <sheetView zoomScale="90" zoomScaleNormal="90" workbookViewId="0">
      <selection activeCell="AM34" sqref="AM34"/>
    </sheetView>
  </sheetViews>
  <sheetFormatPr baseColWidth="8" defaultColWidth="8.88671875" defaultRowHeight="14.4"/>
  <cols>
    <col width="7.44140625" bestFit="1" customWidth="1" style="64" min="1" max="1"/>
    <col width="8" bestFit="1" customWidth="1" style="64" min="2" max="2"/>
    <col width="8.5546875" bestFit="1" customWidth="1" style="64" min="3" max="3"/>
    <col width="11.5546875" customWidth="1" style="64" min="4" max="4"/>
    <col width="9.44140625" customWidth="1" style="64" min="5" max="5"/>
    <col width="11.6640625" customWidth="1" style="64" min="6" max="6"/>
    <col width="8.88671875" customWidth="1" style="64" min="7" max="23"/>
    <col width="9.88671875" bestFit="1" customWidth="1" style="64" min="24" max="24"/>
    <col width="8.88671875" customWidth="1" style="64" min="25" max="43"/>
    <col width="11.77734375" bestFit="1" customWidth="1" style="64" min="44" max="44"/>
    <col width="13.21875" bestFit="1" customWidth="1" style="64" min="45" max="45"/>
    <col width="9.6640625" bestFit="1" customWidth="1" style="64" min="46" max="46"/>
    <col width="8.88671875" customWidth="1" style="64" min="47" max="63"/>
    <col width="10" bestFit="1" customWidth="1" style="64" min="64" max="78"/>
    <col width="8.88671875" customWidth="1" style="64" min="79" max="16384"/>
  </cols>
  <sheetData>
    <row r="2">
      <c r="H2" s="62" t="inlineStr">
        <is>
          <t>CÁLCULOS PARA A GERAÇÃO DOS DADOS DO ESTOQUE INICIAL</t>
        </is>
      </c>
      <c r="W2" s="62" t="n"/>
      <c r="X2" s="62" t="n"/>
      <c r="Y2" s="62" t="n"/>
      <c r="Z2" s="62" t="n"/>
      <c r="AA2" s="62" t="n"/>
      <c r="AB2" s="62" t="n"/>
      <c r="AC2" s="62" t="n"/>
      <c r="AD2" s="62" t="n"/>
      <c r="AE2" s="62" t="n"/>
      <c r="AF2" s="62" t="n"/>
      <c r="AG2" s="62" t="n"/>
      <c r="AH2" s="62" t="n"/>
      <c r="AI2" s="62" t="n"/>
      <c r="AJ2" s="62" t="n"/>
      <c r="AK2" s="62" t="n"/>
      <c r="AL2" s="62" t="n"/>
      <c r="AM2" s="62" t="n"/>
      <c r="AN2" s="62" t="n"/>
      <c r="AO2" s="62" t="n"/>
      <c r="AP2" s="62" t="n"/>
      <c r="AS2" s="7" t="inlineStr">
        <is>
          <t>SUPPLIERS</t>
        </is>
      </c>
    </row>
    <row r="3">
      <c r="AT3" s="64" t="inlineStr">
        <is>
          <t>máximo</t>
        </is>
      </c>
      <c r="AU3" s="64">
        <f>MAX(SuppliersBegStock)</f>
        <v/>
      </c>
      <c r="AW3" s="64" t="inlineStr">
        <is>
          <t>mínimo</t>
        </is>
      </c>
      <c r="AX3" s="64">
        <f>MIN(SuppliersBegStock)</f>
        <v/>
      </c>
    </row>
    <row r="4">
      <c r="A4" s="64" t="inlineStr">
        <is>
          <t>Mínimo</t>
        </is>
      </c>
      <c r="B4" s="64" t="inlineStr">
        <is>
          <t>Máximo</t>
        </is>
      </c>
      <c r="H4" s="64" t="n">
        <v>1</v>
      </c>
      <c r="I4" s="64" t="n">
        <v>2</v>
      </c>
      <c r="J4" s="64" t="n">
        <v>3</v>
      </c>
      <c r="K4" s="64" t="n">
        <v>4</v>
      </c>
      <c r="L4" s="64" t="n">
        <v>5</v>
      </c>
      <c r="M4" s="64" t="n">
        <v>6</v>
      </c>
      <c r="N4" s="64" t="n">
        <v>7</v>
      </c>
      <c r="O4" s="64" t="n">
        <v>8</v>
      </c>
      <c r="P4" s="64" t="n">
        <v>9</v>
      </c>
      <c r="Q4" s="64" t="n">
        <v>10</v>
      </c>
      <c r="R4" s="64" t="n">
        <v>11</v>
      </c>
      <c r="S4" s="64" t="n">
        <v>12</v>
      </c>
      <c r="T4" s="64" t="n">
        <v>13</v>
      </c>
      <c r="U4" s="64" t="n">
        <v>14</v>
      </c>
      <c r="V4" s="64" t="n">
        <v>15</v>
      </c>
      <c r="X4" s="2" t="inlineStr">
        <is>
          <t>Soma</t>
        </is>
      </c>
      <c r="Y4" s="2" t="n"/>
      <c r="Z4" s="2" t="n"/>
      <c r="AA4" s="64" t="n">
        <v>1</v>
      </c>
      <c r="AB4" s="64" t="n">
        <v>2</v>
      </c>
      <c r="AC4" s="64" t="n">
        <v>3</v>
      </c>
      <c r="AD4" s="64" t="n">
        <v>4</v>
      </c>
      <c r="AE4" s="64" t="n">
        <v>5</v>
      </c>
      <c r="AF4" s="64" t="n">
        <v>6</v>
      </c>
      <c r="AG4" s="64" t="n">
        <v>7</v>
      </c>
      <c r="AH4" s="64" t="n">
        <v>8</v>
      </c>
      <c r="AI4" s="64" t="n">
        <v>9</v>
      </c>
      <c r="AJ4" s="64" t="n">
        <v>10</v>
      </c>
      <c r="AK4" s="64" t="n">
        <v>11</v>
      </c>
      <c r="AL4" s="64" t="n">
        <v>12</v>
      </c>
      <c r="AM4" s="64" t="n">
        <v>13</v>
      </c>
      <c r="AN4" s="64" t="n">
        <v>14</v>
      </c>
      <c r="AO4" s="64" t="n">
        <v>15</v>
      </c>
      <c r="AS4" s="64" t="inlineStr">
        <is>
          <t>Ei (p)</t>
        </is>
      </c>
      <c r="AT4" s="64" t="n">
        <v>1</v>
      </c>
      <c r="AU4" s="64" t="n">
        <v>2</v>
      </c>
      <c r="AV4" s="64" t="n">
        <v>3</v>
      </c>
      <c r="AW4" s="64" t="n">
        <v>4</v>
      </c>
      <c r="AX4" s="64" t="n">
        <v>5</v>
      </c>
      <c r="AY4" s="64" t="n">
        <v>6</v>
      </c>
      <c r="AZ4" s="64" t="n">
        <v>7</v>
      </c>
      <c r="BA4" s="64" t="n">
        <v>8</v>
      </c>
      <c r="BB4" s="64" t="n">
        <v>9</v>
      </c>
      <c r="BC4" s="64" t="n">
        <v>10</v>
      </c>
      <c r="BD4" s="64" t="n">
        <v>11</v>
      </c>
      <c r="BE4" s="64" t="n">
        <v>12</v>
      </c>
      <c r="BF4" s="64" t="n">
        <v>13</v>
      </c>
      <c r="BG4" s="64" t="n">
        <v>14</v>
      </c>
      <c r="BH4" s="64" t="n">
        <v>15</v>
      </c>
    </row>
    <row r="5">
      <c r="A5" s="64">
        <f>MIN(H5:V7)</f>
        <v/>
      </c>
      <c r="B5" s="64">
        <f>MAX(H5:V7)</f>
        <v/>
      </c>
      <c r="C5" s="64" t="inlineStr">
        <is>
          <t>prod</t>
        </is>
      </c>
      <c r="D5" s="64" t="inlineStr">
        <is>
          <t>Avarege</t>
        </is>
      </c>
      <c r="E5" s="64">
        <f>12.5*Suppliers_stock_balance!S200*Suppliers!E22</f>
        <v/>
      </c>
      <c r="G5" s="64" t="n">
        <v>1</v>
      </c>
      <c r="H5" s="64">
        <f>TRUNC((_xlfn.NORM.INV((RAND()),$E$5,$E$6)),2)</f>
        <v/>
      </c>
      <c r="I5" s="64">
        <f>TRUNC((_xlfn.NORM.INV((RAND()),$E$5,$E$6)),2)</f>
        <v/>
      </c>
      <c r="J5" s="64">
        <f>TRUNC((_xlfn.NORM.INV((RAND()),$E$5,$E$6)),2)</f>
        <v/>
      </c>
      <c r="K5" s="64">
        <f>TRUNC((_xlfn.NORM.INV((RAND()),$E$5,$E$6)),2)</f>
        <v/>
      </c>
      <c r="L5" s="64">
        <f>TRUNC((_xlfn.NORM.INV((RAND()),$E$5,$E$6)),2)</f>
        <v/>
      </c>
      <c r="M5" s="64">
        <f>TRUNC((_xlfn.NORM.INV((RAND()),$E$5,$E$6)),2)</f>
        <v/>
      </c>
      <c r="N5" s="64">
        <f>TRUNC((_xlfn.NORM.INV((RAND()),$E$5,$E$6)),2)</f>
        <v/>
      </c>
      <c r="O5" s="64">
        <f>TRUNC((_xlfn.NORM.INV((RAND()),$E$5,$E$6)),2)</f>
        <v/>
      </c>
      <c r="P5" s="64">
        <f>TRUNC((_xlfn.NORM.INV((RAND()),$E$5,$E$6)),2)</f>
        <v/>
      </c>
      <c r="Q5" s="64">
        <f>TRUNC((_xlfn.NORM.INV((RAND()),$E$5,$E$6)),2)</f>
        <v/>
      </c>
      <c r="R5" s="64">
        <f>TRUNC((_xlfn.NORM.INV((RAND()),$E$5,$E$6)),2)</f>
        <v/>
      </c>
      <c r="S5" s="64">
        <f>TRUNC((_xlfn.NORM.INV((RAND()),$E$5,$E$6)),2)</f>
        <v/>
      </c>
      <c r="T5" s="64">
        <f>TRUNC((_xlfn.NORM.INV((RAND()),$E$5,$E$6)),2)</f>
        <v/>
      </c>
      <c r="U5" s="64">
        <f>TRUNC((_xlfn.NORM.INV((RAND()),$E$5,$E$6)),2)</f>
        <v/>
      </c>
      <c r="V5" s="64">
        <f>TRUNC((_xlfn.NORM.INV((RAND()),$E$5,$E$6)),2)</f>
        <v/>
      </c>
      <c r="X5" s="3">
        <f>SUM(H5:V7)</f>
        <v/>
      </c>
      <c r="Y5" s="2" t="n"/>
      <c r="Z5" s="17" t="n">
        <v>1</v>
      </c>
      <c r="AA5" s="20">
        <f>TRUNC(IF(H5&lt;0,0,H5),0)</f>
        <v/>
      </c>
      <c r="AB5" s="20">
        <f>TRUNC(IF(I5&lt;0,0,I5),0)</f>
        <v/>
      </c>
      <c r="AC5" s="20">
        <f>TRUNC(IF(J5&lt;0,0,J5),0)</f>
        <v/>
      </c>
      <c r="AD5" s="20">
        <f>TRUNC(IF(K5&lt;0,0,K5),0)</f>
        <v/>
      </c>
      <c r="AE5" s="20">
        <f>TRUNC(IF(L5&lt;0,0,L5),0)</f>
        <v/>
      </c>
      <c r="AF5" s="20">
        <f>TRUNC(IF(M5&lt;0,0,M5),0)</f>
        <v/>
      </c>
      <c r="AG5" s="20">
        <f>TRUNC(IF(N5&lt;0,0,N5),0)</f>
        <v/>
      </c>
      <c r="AH5" s="20">
        <f>TRUNC(IF(O5&lt;0,0,O5),0)</f>
        <v/>
      </c>
      <c r="AI5" s="20">
        <f>TRUNC(IF(P5&lt;0,0,P5),0)</f>
        <v/>
      </c>
      <c r="AJ5" s="20">
        <f>TRUNC(IF(Q5&lt;0,0,Q5),0)</f>
        <v/>
      </c>
      <c r="AK5" s="20">
        <f>TRUNC(IF(R5&lt;0,0,R5),0)</f>
        <v/>
      </c>
      <c r="AL5" s="20">
        <f>TRUNC(IF(S5&lt;0,0,S5),0)</f>
        <v/>
      </c>
      <c r="AM5" s="20">
        <f>TRUNC(IF(T5&lt;0,0,T5),0)</f>
        <v/>
      </c>
      <c r="AN5" s="20">
        <f>TRUNC(IF(U5&lt;0,0,U5),0)</f>
        <v/>
      </c>
      <c r="AO5" s="20">
        <f>TRUNC(IF(V5&lt;0,0,V5),0)</f>
        <v/>
      </c>
      <c r="AR5" s="64" t="inlineStr">
        <is>
          <t>SupBegStock</t>
        </is>
      </c>
      <c r="AS5" s="64" t="n">
        <v>1</v>
      </c>
      <c r="AT5" s="14" t="n">
        <v>1202</v>
      </c>
      <c r="AU5" s="14" t="n">
        <v>868</v>
      </c>
      <c r="AV5" s="14" t="n">
        <v>1362</v>
      </c>
      <c r="AW5" s="14" t="n">
        <v>945</v>
      </c>
      <c r="AX5" s="14" t="n">
        <v>703</v>
      </c>
      <c r="AY5" s="14" t="n">
        <v>788</v>
      </c>
      <c r="AZ5" s="14" t="n">
        <v>881</v>
      </c>
      <c r="BA5" s="14" t="n">
        <v>2243</v>
      </c>
      <c r="BB5" s="14" t="n">
        <v>1711</v>
      </c>
      <c r="BC5" s="14" t="n">
        <v>1164</v>
      </c>
      <c r="BD5" s="14" t="n">
        <v>1164</v>
      </c>
      <c r="BE5" s="14" t="n">
        <v>922</v>
      </c>
      <c r="BF5" s="14" t="n">
        <v>1336</v>
      </c>
      <c r="BG5" s="14" t="n">
        <v>697</v>
      </c>
      <c r="BH5" s="14" t="n">
        <v>1565</v>
      </c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</row>
    <row r="6">
      <c r="D6" s="64" t="inlineStr">
        <is>
          <t>Std Devition</t>
        </is>
      </c>
      <c r="E6" s="64">
        <f>E5*0.33</f>
        <v/>
      </c>
      <c r="G6" s="64" t="n">
        <v>2</v>
      </c>
      <c r="H6" s="64">
        <f>TRUNC((_xlfn.NORM.INV((RAND()),$E$5,$E$6)),2)</f>
        <v/>
      </c>
      <c r="I6" s="64">
        <f>TRUNC((_xlfn.NORM.INV((RAND()),$E$5,$E$6)),2)</f>
        <v/>
      </c>
      <c r="J6" s="64">
        <f>TRUNC((_xlfn.NORM.INV((RAND()),$E$5,$E$6)),2)</f>
        <v/>
      </c>
      <c r="K6" s="64">
        <f>TRUNC((_xlfn.NORM.INV((RAND()),$E$5,$E$6)),2)</f>
        <v/>
      </c>
      <c r="L6" s="64">
        <f>TRUNC((_xlfn.NORM.INV((RAND()),$E$5,$E$6)),2)</f>
        <v/>
      </c>
      <c r="M6" s="64">
        <f>TRUNC((_xlfn.NORM.INV((RAND()),$E$5,$E$6)),2)</f>
        <v/>
      </c>
      <c r="N6" s="64">
        <f>TRUNC((_xlfn.NORM.INV((RAND()),$E$5,$E$6)),2)</f>
        <v/>
      </c>
      <c r="O6" s="64">
        <f>TRUNC((_xlfn.NORM.INV((RAND()),$E$5,$E$6)),2)</f>
        <v/>
      </c>
      <c r="P6" s="64">
        <f>TRUNC((_xlfn.NORM.INV((RAND()),$E$5,$E$6)),2)</f>
        <v/>
      </c>
      <c r="Q6" s="64">
        <f>TRUNC((_xlfn.NORM.INV((RAND()),$E$5,$E$6)),2)</f>
        <v/>
      </c>
      <c r="R6" s="64">
        <f>TRUNC((_xlfn.NORM.INV((RAND()),$E$5,$E$6)),2)</f>
        <v/>
      </c>
      <c r="S6" s="64">
        <f>TRUNC((_xlfn.NORM.INV((RAND()),$E$5,$E$6)),2)</f>
        <v/>
      </c>
      <c r="T6" s="64">
        <f>TRUNC((_xlfn.NORM.INV((RAND()),$E$5,$E$6)),2)</f>
        <v/>
      </c>
      <c r="U6" s="64">
        <f>TRUNC((_xlfn.NORM.INV((RAND()),$E$5,$E$6)),2)</f>
        <v/>
      </c>
      <c r="V6" s="64">
        <f>TRUNC((_xlfn.NORM.INV((RAND()),$E$5,$E$6)),2)</f>
        <v/>
      </c>
      <c r="Y6" s="2" t="n"/>
      <c r="Z6" s="17" t="n">
        <v>2</v>
      </c>
      <c r="AA6" s="20">
        <f>TRUNC(IF(H6&lt;0,0,H6),0)</f>
        <v/>
      </c>
      <c r="AB6" s="20">
        <f>TRUNC(IF(I6&lt;0,0,I6),0)</f>
        <v/>
      </c>
      <c r="AC6" s="20">
        <f>TRUNC(IF(J6&lt;0,0,J6),0)</f>
        <v/>
      </c>
      <c r="AD6" s="20">
        <f>TRUNC(IF(K6&lt;0,0,K6),0)</f>
        <v/>
      </c>
      <c r="AE6" s="20">
        <f>TRUNC(IF(L6&lt;0,0,L6),0)</f>
        <v/>
      </c>
      <c r="AF6" s="20">
        <f>TRUNC(IF(M6&lt;0,0,M6),0)</f>
        <v/>
      </c>
      <c r="AG6" s="20">
        <f>TRUNC(IF(N6&lt;0,0,N6),0)</f>
        <v/>
      </c>
      <c r="AH6" s="20">
        <f>TRUNC(IF(O6&lt;0,0,O6),0)</f>
        <v/>
      </c>
      <c r="AI6" s="20">
        <f>TRUNC(IF(P6&lt;0,0,P6),0)</f>
        <v/>
      </c>
      <c r="AJ6" s="20">
        <f>TRUNC(IF(Q6&lt;0,0,Q6),0)</f>
        <v/>
      </c>
      <c r="AK6" s="20">
        <f>TRUNC(IF(R6&lt;0,0,R6),0)</f>
        <v/>
      </c>
      <c r="AL6" s="20">
        <f>TRUNC(IF(S6&lt;0,0,S6),0)</f>
        <v/>
      </c>
      <c r="AM6" s="20">
        <f>TRUNC(IF(T6&lt;0,0,T6),0)</f>
        <v/>
      </c>
      <c r="AN6" s="20">
        <f>TRUNC(IF(U6&lt;0,0,U6),0)</f>
        <v/>
      </c>
      <c r="AO6" s="20">
        <f>TRUNC(IF(V6&lt;0,0,V6),0)</f>
        <v/>
      </c>
      <c r="AS6" s="64" t="n">
        <v>2</v>
      </c>
      <c r="AT6" s="14" t="n">
        <v>1298</v>
      </c>
      <c r="AU6" s="14" t="n">
        <v>1064</v>
      </c>
      <c r="AV6" s="14" t="n">
        <v>932</v>
      </c>
      <c r="AW6" s="14" t="n">
        <v>894</v>
      </c>
      <c r="AX6" s="14" t="n">
        <v>1709</v>
      </c>
      <c r="AY6" s="14" t="n">
        <v>1509</v>
      </c>
      <c r="AZ6" s="14" t="n">
        <v>1176</v>
      </c>
      <c r="BA6" s="14" t="n">
        <v>1176</v>
      </c>
      <c r="BB6" s="14" t="n">
        <v>1182</v>
      </c>
      <c r="BC6" s="14" t="n">
        <v>1164</v>
      </c>
      <c r="BD6" s="14" t="n">
        <v>434</v>
      </c>
      <c r="BE6" s="14" t="n">
        <v>1040</v>
      </c>
      <c r="BF6" s="14" t="n">
        <v>1243</v>
      </c>
      <c r="BG6" s="14" t="n">
        <v>1319</v>
      </c>
      <c r="BH6" s="14" t="n">
        <v>1715</v>
      </c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</row>
    <row r="7">
      <c r="G7" s="64" t="n">
        <v>3</v>
      </c>
      <c r="H7" s="64">
        <f>TRUNC((_xlfn.NORM.INV((RAND()),$E$5,$E$6)),2)</f>
        <v/>
      </c>
      <c r="I7" s="64">
        <f>TRUNC((_xlfn.NORM.INV((RAND()),$E$5,$E$6)),2)</f>
        <v/>
      </c>
      <c r="J7" s="64">
        <f>TRUNC((_xlfn.NORM.INV((RAND()),$E$5,$E$6)),2)</f>
        <v/>
      </c>
      <c r="K7" s="64">
        <f>TRUNC((_xlfn.NORM.INV((RAND()),$E$5,$E$6)),2)</f>
        <v/>
      </c>
      <c r="L7" s="64">
        <f>TRUNC((_xlfn.NORM.INV((RAND()),$E$5,$E$6)),2)</f>
        <v/>
      </c>
      <c r="M7" s="64">
        <f>TRUNC((_xlfn.NORM.INV((RAND()),$E$5,$E$6)),2)</f>
        <v/>
      </c>
      <c r="N7" s="64">
        <f>TRUNC((_xlfn.NORM.INV((RAND()),$E$5,$E$6)),2)</f>
        <v/>
      </c>
      <c r="O7" s="64">
        <f>TRUNC((_xlfn.NORM.INV((RAND()),$E$5,$E$6)),2)</f>
        <v/>
      </c>
      <c r="P7" s="64">
        <f>TRUNC((_xlfn.NORM.INV((RAND()),$E$5,$E$6)),2)</f>
        <v/>
      </c>
      <c r="Q7" s="64">
        <f>TRUNC((_xlfn.NORM.INV((RAND()),$E$5,$E$6)),2)</f>
        <v/>
      </c>
      <c r="R7" s="64">
        <f>TRUNC((_xlfn.NORM.INV((RAND()),$E$5,$E$6)),2)</f>
        <v/>
      </c>
      <c r="S7" s="64">
        <f>TRUNC((_xlfn.NORM.INV((RAND()),$E$5,$E$6)),2)</f>
        <v/>
      </c>
      <c r="T7" s="64">
        <f>TRUNC((_xlfn.NORM.INV((RAND()),$E$5,$E$6)),2)</f>
        <v/>
      </c>
      <c r="U7" s="64">
        <f>TRUNC((_xlfn.NORM.INV((RAND()),$E$5,$E$6)),2)</f>
        <v/>
      </c>
      <c r="V7" s="64">
        <f>TRUNC((_xlfn.NORM.INV((RAND()),$E$5,$E$6)),2)</f>
        <v/>
      </c>
      <c r="Y7" s="2" t="n"/>
      <c r="Z7" s="17" t="n">
        <v>3</v>
      </c>
      <c r="AA7" s="20">
        <f>TRUNC(IF(H7&lt;0,0,H7),0)</f>
        <v/>
      </c>
      <c r="AB7" s="20">
        <f>TRUNC(IF(I7&lt;0,0,I7),0)</f>
        <v/>
      </c>
      <c r="AC7" s="20">
        <f>TRUNC(IF(J7&lt;0,0,J7),0)</f>
        <v/>
      </c>
      <c r="AD7" s="20">
        <f>TRUNC(IF(K7&lt;0,0,K7),0)</f>
        <v/>
      </c>
      <c r="AE7" s="20">
        <f>TRUNC(IF(L7&lt;0,0,L7),0)</f>
        <v/>
      </c>
      <c r="AF7" s="20">
        <f>TRUNC(IF(M7&lt;0,0,M7),0)</f>
        <v/>
      </c>
      <c r="AG7" s="20">
        <f>TRUNC(IF(N7&lt;0,0,N7),0)</f>
        <v/>
      </c>
      <c r="AH7" s="20">
        <f>TRUNC(IF(O7&lt;0,0,O7),0)</f>
        <v/>
      </c>
      <c r="AI7" s="20">
        <f>TRUNC(IF(P7&lt;0,0,P7),0)</f>
        <v/>
      </c>
      <c r="AJ7" s="20">
        <f>TRUNC(IF(Q7&lt;0,0,Q7),0)</f>
        <v/>
      </c>
      <c r="AK7" s="20">
        <f>TRUNC(IF(R7&lt;0,0,R7),0)</f>
        <v/>
      </c>
      <c r="AL7" s="20">
        <f>TRUNC(IF(S7&lt;0,0,S7),0)</f>
        <v/>
      </c>
      <c r="AM7" s="20">
        <f>TRUNC(IF(T7&lt;0,0,T7),0)</f>
        <v/>
      </c>
      <c r="AN7" s="20">
        <f>TRUNC(IF(U7&lt;0,0,U7),0)</f>
        <v/>
      </c>
      <c r="AO7" s="20">
        <f>TRUNC(IF(V7&lt;0,0,V7),0)</f>
        <v/>
      </c>
      <c r="AS7" s="64" t="n">
        <v>3</v>
      </c>
      <c r="AT7" s="14" t="n">
        <v>1476</v>
      </c>
      <c r="AU7" s="14" t="n">
        <v>795</v>
      </c>
      <c r="AV7" s="14" t="n">
        <v>836</v>
      </c>
      <c r="AW7" s="14" t="n">
        <v>1505</v>
      </c>
      <c r="AX7" s="14" t="n">
        <v>1423</v>
      </c>
      <c r="AY7" s="14" t="n">
        <v>1525</v>
      </c>
      <c r="AZ7" s="14" t="n">
        <v>1114</v>
      </c>
      <c r="BA7" s="14" t="n">
        <v>401</v>
      </c>
      <c r="BB7" s="14" t="n">
        <v>2463</v>
      </c>
      <c r="BC7" s="14" t="n">
        <v>700</v>
      </c>
      <c r="BD7" s="14" t="n">
        <v>620</v>
      </c>
      <c r="BE7" s="14" t="n">
        <v>1302</v>
      </c>
      <c r="BF7" s="14" t="n">
        <v>1635</v>
      </c>
      <c r="BG7" s="14" t="n">
        <v>1288</v>
      </c>
      <c r="BH7" s="14" t="n">
        <v>1398</v>
      </c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</row>
    <row r="12">
      <c r="AS12" s="7" t="inlineStr">
        <is>
          <t>FACTORIES</t>
        </is>
      </c>
    </row>
    <row r="13">
      <c r="AT13" s="64" t="inlineStr">
        <is>
          <t>máximo</t>
        </is>
      </c>
      <c r="AU13" s="64">
        <f>MAX(FactoriesBegStock)</f>
        <v/>
      </c>
      <c r="AW13" s="64" t="inlineStr">
        <is>
          <t>mínimo</t>
        </is>
      </c>
      <c r="AX13" s="64">
        <f>MIN(FactoriesBegStock)</f>
        <v/>
      </c>
    </row>
    <row r="14">
      <c r="H14" s="64" t="n">
        <v>16</v>
      </c>
      <c r="I14" s="64" t="n">
        <v>17</v>
      </c>
      <c r="J14" s="64" t="n">
        <v>18</v>
      </c>
      <c r="L14" s="2" t="inlineStr">
        <is>
          <t>Soma</t>
        </is>
      </c>
      <c r="U14" s="7" t="n"/>
      <c r="Z14" s="2" t="n"/>
      <c r="AA14" s="64" t="n">
        <v>16</v>
      </c>
      <c r="AB14" s="64" t="n">
        <v>17</v>
      </c>
      <c r="AC14" s="64" t="n">
        <v>18</v>
      </c>
      <c r="AS14" s="64" t="inlineStr">
        <is>
          <t>Ei (p)</t>
        </is>
      </c>
      <c r="AT14" s="64" t="n">
        <v>16</v>
      </c>
      <c r="AU14" s="64" t="n">
        <v>17</v>
      </c>
      <c r="AV14" s="64" t="n">
        <v>18</v>
      </c>
    </row>
    <row r="15">
      <c r="A15" s="64">
        <f>MIN(H15:J19)</f>
        <v/>
      </c>
      <c r="B15" s="64">
        <f>MAX(H15:J19)</f>
        <v/>
      </c>
      <c r="C15" s="64" t="inlineStr">
        <is>
          <t>prod/dia</t>
        </is>
      </c>
      <c r="D15" s="64" t="inlineStr">
        <is>
          <t>Avarege</t>
        </is>
      </c>
      <c r="E15" s="2">
        <f>Demand!E12</f>
        <v/>
      </c>
      <c r="G15" s="64" t="n">
        <v>4</v>
      </c>
      <c r="H15" s="64">
        <f>TRUNC((_xlfn.NORM.INV((RAND()),$E$15,$E$16)),2)</f>
        <v/>
      </c>
      <c r="I15" s="64">
        <f>TRUNC((_xlfn.NORM.INV((RAND()),$E$15,$E$16)),2)</f>
        <v/>
      </c>
      <c r="J15" s="64">
        <f>TRUNC((_xlfn.NORM.INV((RAND()),$E$15,$E$16)),2)</f>
        <v/>
      </c>
      <c r="L15" s="3">
        <f>SUM(H15:J17)</f>
        <v/>
      </c>
      <c r="S15" s="2" t="n"/>
      <c r="T15" s="2" t="n"/>
      <c r="U15" s="2" t="n"/>
      <c r="Z15" s="64" t="n">
        <v>4</v>
      </c>
      <c r="AA15" s="20">
        <f>TRUNC(IF(H15&lt;0,0,H15),0)</f>
        <v/>
      </c>
      <c r="AB15" s="20">
        <f>TRUNC(IF(I15&lt;0,0,I15),0)</f>
        <v/>
      </c>
      <c r="AC15" s="20">
        <f>TRUNC(IF(J15&lt;0,0,J15),0)</f>
        <v/>
      </c>
      <c r="AR15" s="64" t="inlineStr">
        <is>
          <t>FacBegStock</t>
        </is>
      </c>
      <c r="AS15" s="64" t="n">
        <v>4</v>
      </c>
      <c r="AT15" s="5" t="n">
        <v>332</v>
      </c>
      <c r="AU15" s="5" t="n">
        <v>413</v>
      </c>
      <c r="AV15" s="5" t="n">
        <v>301</v>
      </c>
      <c r="BB15" s="2" t="n"/>
      <c r="BE15" s="2" t="n"/>
      <c r="BF15" s="2" t="n"/>
      <c r="BG15" s="2" t="n"/>
    </row>
    <row r="16">
      <c r="D16" s="64" t="inlineStr">
        <is>
          <t>Std Devition</t>
        </is>
      </c>
      <c r="E16" s="2">
        <f>E15*0.2</f>
        <v/>
      </c>
      <c r="G16" s="64" t="n">
        <v>5</v>
      </c>
      <c r="H16" s="64">
        <f>TRUNC((_xlfn.NORM.INV((RAND()),$E$15,$E$16)),2)</f>
        <v/>
      </c>
      <c r="I16" s="64">
        <f>TRUNC((_xlfn.NORM.INV((RAND()),$E$15,$E$16)),2)</f>
        <v/>
      </c>
      <c r="J16" s="64">
        <f>TRUNC((_xlfn.NORM.INV((RAND()),$E$15,$E$16)),2)</f>
        <v/>
      </c>
      <c r="S16" s="2" t="n"/>
      <c r="T16" s="2" t="n"/>
      <c r="U16" s="2" t="n"/>
      <c r="Z16" s="64" t="n">
        <v>5</v>
      </c>
      <c r="AA16" s="20">
        <f>TRUNC(IF(H16&lt;0,0,H16),0)</f>
        <v/>
      </c>
      <c r="AB16" s="20">
        <f>TRUNC(IF(I16&lt;0,0,I16),0)</f>
        <v/>
      </c>
      <c r="AC16" s="20">
        <f>TRUNC(IF(J16&lt;0,0,J16),0)</f>
        <v/>
      </c>
      <c r="AS16" s="64" t="n">
        <v>5</v>
      </c>
      <c r="AT16" s="5" t="n">
        <v>387</v>
      </c>
      <c r="AU16" s="5" t="n">
        <v>243</v>
      </c>
      <c r="AV16" s="5" t="n">
        <v>344</v>
      </c>
      <c r="BB16" s="2" t="n"/>
      <c r="BE16" s="2" t="n"/>
      <c r="BF16" s="2" t="n"/>
      <c r="BG16" s="2" t="n"/>
    </row>
    <row r="17">
      <c r="G17" s="64" t="n">
        <v>6</v>
      </c>
      <c r="H17" s="64">
        <f>TRUNC((_xlfn.NORM.INV((RAND()),$E$15,$E$16)),2)</f>
        <v/>
      </c>
      <c r="I17" s="64">
        <f>TRUNC((_xlfn.NORM.INV((RAND()),$E$15,$E$16)),2)</f>
        <v/>
      </c>
      <c r="J17" s="64">
        <f>TRUNC((_xlfn.NORM.INV((RAND()),$E$15,$E$16)),2)</f>
        <v/>
      </c>
      <c r="S17" s="2" t="n"/>
      <c r="T17" s="2" t="n"/>
      <c r="U17" s="2" t="n"/>
      <c r="Z17" s="64" t="n">
        <v>6</v>
      </c>
      <c r="AA17" s="20">
        <f>TRUNC(IF(H17&lt;0,0,H17),0)</f>
        <v/>
      </c>
      <c r="AB17" s="20">
        <f>TRUNC(IF(I17&lt;0,0,I17),0)</f>
        <v/>
      </c>
      <c r="AC17" s="20">
        <f>TRUNC(IF(J17&lt;0,0,J17),0)</f>
        <v/>
      </c>
      <c r="AS17" s="64" t="n">
        <v>6</v>
      </c>
      <c r="AT17" s="5" t="n">
        <v>320</v>
      </c>
      <c r="AU17" s="5" t="n">
        <v>300</v>
      </c>
      <c r="AV17" s="5" t="n">
        <v>308</v>
      </c>
      <c r="BB17" s="2" t="n"/>
      <c r="BE17" s="2" t="n"/>
      <c r="BF17" s="2" t="n"/>
      <c r="BG17" s="2" t="n"/>
    </row>
    <row r="18">
      <c r="S18" s="2" t="n"/>
      <c r="T18" s="2" t="n"/>
      <c r="U18" s="2" t="n"/>
      <c r="BB18" s="2" t="n"/>
      <c r="BE18" s="2" t="n"/>
      <c r="BF18" s="2" t="n"/>
      <c r="BG18" s="2" t="n"/>
    </row>
    <row r="19">
      <c r="S19" s="2" t="n"/>
      <c r="T19" s="2" t="n"/>
      <c r="U19" s="2" t="n"/>
      <c r="BB19" s="2" t="n"/>
      <c r="BE19" s="2" t="n"/>
      <c r="BF19" s="2" t="n"/>
      <c r="BG19" s="2" t="n"/>
    </row>
    <row r="20">
      <c r="S20" s="2" t="n"/>
      <c r="T20" s="2" t="n"/>
      <c r="U20" s="2" t="n"/>
      <c r="AR20" s="7" t="n"/>
      <c r="AZ20" s="2" t="n"/>
      <c r="BA20" s="2" t="n"/>
      <c r="BB20" s="2" t="n"/>
      <c r="BE20" s="2" t="n"/>
      <c r="BF20" s="2" t="n"/>
      <c r="BG20" s="2" t="n"/>
    </row>
    <row r="21">
      <c r="S21" s="2" t="n"/>
      <c r="T21" s="2" t="n"/>
      <c r="U21" s="2" t="n"/>
      <c r="AR21" s="7" t="n"/>
      <c r="AZ21" s="2" t="n"/>
      <c r="BA21" s="2" t="n"/>
      <c r="BB21" s="2" t="n"/>
      <c r="BE21" s="2" t="n"/>
      <c r="BF21" s="2" t="n"/>
      <c r="BG21" s="2" t="n"/>
    </row>
    <row r="22">
      <c r="S22" s="2" t="n"/>
      <c r="T22" s="2" t="n"/>
      <c r="U22" s="2" t="n"/>
      <c r="AR22" s="7" t="n"/>
      <c r="AS22" s="7" t="inlineStr">
        <is>
          <t>DISTRIBUTORS</t>
        </is>
      </c>
      <c r="AZ22" s="2" t="n"/>
      <c r="BA22" s="2" t="n"/>
      <c r="BB22" s="2" t="n"/>
      <c r="BE22" s="2" t="n"/>
      <c r="BF22" s="2" t="n"/>
      <c r="BG22" s="2" t="n"/>
    </row>
    <row r="23">
      <c r="S23" s="2" t="n"/>
      <c r="T23" s="2" t="n"/>
      <c r="U23" s="2" t="n"/>
      <c r="AR23" s="7" t="n"/>
      <c r="AT23" s="64" t="inlineStr">
        <is>
          <t>máximo</t>
        </is>
      </c>
      <c r="AU23" s="64">
        <f>MAX(DistributorsBegStock)</f>
        <v/>
      </c>
      <c r="AW23" s="64" t="inlineStr">
        <is>
          <t>mínimo</t>
        </is>
      </c>
      <c r="AX23" s="64">
        <f>MIN(DistributorsBegStock)</f>
        <v/>
      </c>
      <c r="AZ23" s="2" t="n"/>
      <c r="BA23" s="2" t="n"/>
      <c r="BB23" s="2" t="n"/>
      <c r="BE23" s="2" t="n"/>
      <c r="BF23" s="2" t="n"/>
      <c r="BG23" s="2" t="n"/>
    </row>
    <row r="24">
      <c r="H24" s="64" t="n">
        <v>19</v>
      </c>
      <c r="I24" s="64" t="n">
        <v>20</v>
      </c>
      <c r="J24" s="64" t="n">
        <v>21</v>
      </c>
      <c r="Z24" s="2" t="n"/>
      <c r="AA24" s="64" t="n">
        <v>19</v>
      </c>
      <c r="AB24" s="64" t="n">
        <v>20</v>
      </c>
      <c r="AC24" s="64" t="n">
        <v>21</v>
      </c>
      <c r="AS24" s="64" t="inlineStr">
        <is>
          <t>Ei (p)</t>
        </is>
      </c>
      <c r="AT24" s="64" t="n">
        <v>19</v>
      </c>
      <c r="AU24" s="64" t="n">
        <v>20</v>
      </c>
      <c r="AV24" s="64" t="n">
        <v>21</v>
      </c>
    </row>
    <row r="25">
      <c r="A25" s="64">
        <f>MIN(H25:J26)</f>
        <v/>
      </c>
      <c r="B25" s="64">
        <f>MAX(H25:J26)</f>
        <v/>
      </c>
      <c r="C25" s="64" t="inlineStr">
        <is>
          <t>prod/dia</t>
        </is>
      </c>
      <c r="D25" s="64" t="inlineStr">
        <is>
          <t>Avarege</t>
        </is>
      </c>
      <c r="E25" s="2">
        <f>Demand!E20</f>
        <v/>
      </c>
      <c r="G25" s="64" t="n">
        <v>7</v>
      </c>
      <c r="H25" s="64">
        <f>TRUNC((_xlfn.NORM.INV((RAND()),$E$25,$E$26)),2)</f>
        <v/>
      </c>
      <c r="I25" s="64">
        <f>TRUNC((_xlfn.NORM.INV((RAND()),$E$25,$E$26)),2)</f>
        <v/>
      </c>
      <c r="J25" s="64">
        <f>TRUNC((_xlfn.NORM.INV((RAND()),$E$25,$E$26)),2)</f>
        <v/>
      </c>
      <c r="L25" s="64">
        <f>SUM(H25:J26)</f>
        <v/>
      </c>
      <c r="Z25" s="64" t="n">
        <v>7</v>
      </c>
      <c r="AA25" s="20">
        <f>TRUNC(IF(H25&lt;0,0,H25),0)</f>
        <v/>
      </c>
      <c r="AB25" s="20">
        <f>TRUNC(IF(I25&lt;0,0,I25),0)</f>
        <v/>
      </c>
      <c r="AC25" s="20">
        <f>TRUNC(IF(J25&lt;0,0,J25),0)</f>
        <v/>
      </c>
      <c r="AR25" s="64" t="inlineStr">
        <is>
          <t>DistBegStock</t>
        </is>
      </c>
      <c r="AS25" s="64" t="n">
        <v>7</v>
      </c>
      <c r="AT25" s="5" t="n">
        <v>316</v>
      </c>
      <c r="AU25" s="5" t="n">
        <v>472</v>
      </c>
      <c r="AV25" s="5" t="n">
        <v>641</v>
      </c>
      <c r="AZ25" s="2" t="n"/>
      <c r="BA25" s="2" t="n"/>
      <c r="BB25" s="2" t="n"/>
      <c r="BE25" s="2" t="n"/>
      <c r="BF25" s="2" t="n"/>
      <c r="BG25" s="2" t="n"/>
    </row>
    <row r="26">
      <c r="D26" s="64" t="inlineStr">
        <is>
          <t>Std Devition</t>
        </is>
      </c>
      <c r="E26" s="2">
        <f>E25*0.2</f>
        <v/>
      </c>
      <c r="G26" s="64" t="n">
        <v>8</v>
      </c>
      <c r="H26" s="64">
        <f>TRUNC((_xlfn.NORM.INV((RAND()),$E$25,$E$26)),2)</f>
        <v/>
      </c>
      <c r="I26" s="64">
        <f>TRUNC((_xlfn.NORM.INV((RAND()),$E$25,$E$26)),2)</f>
        <v/>
      </c>
      <c r="J26" s="64">
        <f>TRUNC((_xlfn.NORM.INV((RAND()),$E$25,$E$26)),2)</f>
        <v/>
      </c>
      <c r="Z26" s="64" t="n">
        <v>8</v>
      </c>
      <c r="AA26" s="20">
        <f>TRUNC(IF(H26&lt;0,0,H26),0)</f>
        <v/>
      </c>
      <c r="AB26" s="20">
        <f>TRUNC(IF(I26&lt;0,0,I26),0)</f>
        <v/>
      </c>
      <c r="AC26" s="20">
        <f>TRUNC(IF(J26&lt;0,0,J26),0)</f>
        <v/>
      </c>
      <c r="AS26" s="64" t="n">
        <v>8</v>
      </c>
      <c r="AT26" s="5" t="n">
        <v>448</v>
      </c>
      <c r="AU26" s="5" t="n">
        <v>762</v>
      </c>
      <c r="AV26" s="5" t="n">
        <v>307</v>
      </c>
      <c r="AZ26" s="2" t="n"/>
      <c r="BA26" s="2" t="n"/>
      <c r="BB26" s="2" t="n"/>
      <c r="BE26" s="2" t="n"/>
      <c r="BF26" s="2" t="n"/>
      <c r="BG26" s="2" t="n"/>
    </row>
    <row r="27">
      <c r="Z27" s="17" t="n"/>
      <c r="AA27" s="20" t="n"/>
    </row>
    <row r="32">
      <c r="AS32" s="7" t="inlineStr">
        <is>
          <t>RETAILERS</t>
        </is>
      </c>
    </row>
    <row r="33">
      <c r="AT33" s="64" t="inlineStr">
        <is>
          <t>máximo</t>
        </is>
      </c>
      <c r="AU33" s="64">
        <f>MAX(RetailersBegStock)</f>
        <v/>
      </c>
      <c r="AW33" s="64" t="inlineStr">
        <is>
          <t>mínimo</t>
        </is>
      </c>
      <c r="AX33" s="64">
        <f>MIN(RetailersBegStock)</f>
        <v/>
      </c>
    </row>
    <row r="34">
      <c r="H34" s="64" t="n">
        <v>22</v>
      </c>
      <c r="I34" s="64" t="n">
        <v>23</v>
      </c>
      <c r="J34" s="64" t="n">
        <v>24</v>
      </c>
      <c r="U34" s="7" t="n"/>
      <c r="Z34" s="2" t="n"/>
      <c r="AA34" s="64" t="n">
        <v>22</v>
      </c>
      <c r="AB34" s="64" t="n">
        <v>23</v>
      </c>
      <c r="AC34" s="64" t="n">
        <v>24</v>
      </c>
      <c r="AS34" s="64" t="inlineStr">
        <is>
          <t>Ei (p)</t>
        </is>
      </c>
      <c r="AT34" s="64" t="n">
        <v>22</v>
      </c>
      <c r="AU34" s="64" t="n">
        <v>23</v>
      </c>
      <c r="AV34" s="64" t="n">
        <v>24</v>
      </c>
    </row>
    <row r="35">
      <c r="A35" s="64">
        <f>MIN(H35:J224)</f>
        <v/>
      </c>
      <c r="B35" s="64">
        <f>MAX(H35:J224)</f>
        <v/>
      </c>
      <c r="C35" s="64" t="inlineStr">
        <is>
          <t>prod/dia</t>
        </is>
      </c>
      <c r="D35" s="64" t="inlineStr">
        <is>
          <t>Avarege</t>
        </is>
      </c>
      <c r="E35" s="2">
        <f>Demand!E25</f>
        <v/>
      </c>
      <c r="F35" s="64" t="inlineStr">
        <is>
          <t>SigmarDem</t>
        </is>
      </c>
      <c r="G35" s="64" t="n">
        <v>9</v>
      </c>
      <c r="H35" s="64">
        <f>TRUNC((_xlfn.NORM.INV((RAND()),$E$35,$E$36)),2)</f>
        <v/>
      </c>
      <c r="I35" s="64">
        <f>TRUNC((_xlfn.NORM.INV((RAND()),$E$35,$E$36)),2)</f>
        <v/>
      </c>
      <c r="J35" s="64">
        <f>TRUNC((_xlfn.NORM.INV((RAND()),$E$35,$E$36)),2)</f>
        <v/>
      </c>
      <c r="L35" s="64">
        <f>SUM(H35:J224)</f>
        <v/>
      </c>
      <c r="Z35" s="64" t="n">
        <v>9</v>
      </c>
      <c r="AA35" s="20">
        <f>TRUNC(IF(H35&lt;0,0,H35),0)</f>
        <v/>
      </c>
      <c r="AB35" s="20">
        <f>TRUNC(IF(I35&lt;0,0,I35),0)</f>
        <v/>
      </c>
      <c r="AC35" s="20">
        <f>TRUNC(IF(J35&lt;0,0,J35),0)</f>
        <v/>
      </c>
      <c r="AR35" s="64" t="inlineStr">
        <is>
          <t>RetBegStock</t>
        </is>
      </c>
      <c r="AS35" s="64" t="n">
        <v>9</v>
      </c>
      <c r="AT35" s="5" t="n">
        <v>4</v>
      </c>
      <c r="AU35" s="5" t="n">
        <v>5</v>
      </c>
      <c r="AV35" s="5" t="n">
        <v>3</v>
      </c>
      <c r="AZ35" s="2" t="n"/>
      <c r="BA35" s="2" t="n"/>
      <c r="BB35" s="2" t="n"/>
      <c r="BE35" s="2" t="n"/>
      <c r="BF35" s="2" t="n"/>
      <c r="BG35" s="2" t="n"/>
    </row>
    <row r="36">
      <c r="D36" s="64" t="inlineStr">
        <is>
          <t>Std Devition</t>
        </is>
      </c>
      <c r="E36" s="2">
        <f>E35*0.25</f>
        <v/>
      </c>
      <c r="G36" s="64" t="n">
        <v>10</v>
      </c>
      <c r="H36" s="64">
        <f>TRUNC((_xlfn.NORM.INV((RAND()),$E$35,$E$36)),2)</f>
        <v/>
      </c>
      <c r="I36" s="64">
        <f>TRUNC((_xlfn.NORM.INV((RAND()),$E$35,$E$36)),2)</f>
        <v/>
      </c>
      <c r="J36" s="64">
        <f>TRUNC((_xlfn.NORM.INV((RAND()),$E$35,$E$36)),2)</f>
        <v/>
      </c>
      <c r="Z36" s="64" t="n">
        <v>10</v>
      </c>
      <c r="AA36" s="20">
        <f>TRUNC(IF(H36&lt;0,0,H36),0)</f>
        <v/>
      </c>
      <c r="AB36" s="20">
        <f>TRUNC(IF(I36&lt;0,0,I36),0)</f>
        <v/>
      </c>
      <c r="AC36" s="20">
        <f>TRUNC(IF(J36&lt;0,0,J36),0)</f>
        <v/>
      </c>
      <c r="AS36" s="64" t="n">
        <v>10</v>
      </c>
      <c r="AT36" s="5" t="n">
        <v>4</v>
      </c>
      <c r="AU36" s="5" t="n">
        <v>5</v>
      </c>
      <c r="AV36" s="5" t="n">
        <v>7</v>
      </c>
      <c r="AZ36" s="2" t="n"/>
      <c r="BA36" s="2" t="n"/>
      <c r="BB36" s="2" t="n"/>
      <c r="BE36" s="2" t="n"/>
      <c r="BF36" s="2" t="n"/>
      <c r="BG36" s="2" t="n"/>
    </row>
    <row r="37">
      <c r="G37" s="64" t="n">
        <v>11</v>
      </c>
      <c r="H37" s="64">
        <f>TRUNC((_xlfn.NORM.INV((RAND()),$E$35,$E$36)),2)</f>
        <v/>
      </c>
      <c r="I37" s="64">
        <f>TRUNC((_xlfn.NORM.INV((RAND()),$E$35,$E$36)),2)</f>
        <v/>
      </c>
      <c r="J37" s="64">
        <f>TRUNC((_xlfn.NORM.INV((RAND()),$E$35,$E$36)),2)</f>
        <v/>
      </c>
      <c r="Z37" s="64" t="n">
        <v>11</v>
      </c>
      <c r="AA37" s="20">
        <f>TRUNC(IF(H37&lt;0,0,H37),0)</f>
        <v/>
      </c>
      <c r="AB37" s="20">
        <f>TRUNC(IF(I37&lt;0,0,I37),0)</f>
        <v/>
      </c>
      <c r="AC37" s="20">
        <f>TRUNC(IF(J37&lt;0,0,J37),0)</f>
        <v/>
      </c>
      <c r="AS37" s="64" t="n">
        <v>11</v>
      </c>
      <c r="AT37" s="5" t="n">
        <v>4</v>
      </c>
      <c r="AU37" s="5" t="n">
        <v>5</v>
      </c>
      <c r="AV37" s="5" t="n">
        <v>4</v>
      </c>
      <c r="AZ37" s="2" t="n"/>
      <c r="BA37" s="2" t="n"/>
      <c r="BB37" s="2" t="n"/>
      <c r="BE37" s="2" t="n"/>
      <c r="BF37" s="2" t="n"/>
      <c r="BG37" s="2" t="n"/>
    </row>
    <row r="38">
      <c r="G38" s="64" t="n">
        <v>12</v>
      </c>
      <c r="H38" s="64">
        <f>TRUNC((_xlfn.NORM.INV((RAND()),$E$35,$E$36)),2)</f>
        <v/>
      </c>
      <c r="I38" s="64">
        <f>TRUNC((_xlfn.NORM.INV((RAND()),$E$35,$E$36)),2)</f>
        <v/>
      </c>
      <c r="J38" s="64">
        <f>TRUNC((_xlfn.NORM.INV((RAND()),$E$35,$E$36)),2)</f>
        <v/>
      </c>
      <c r="Z38" s="64" t="n">
        <v>12</v>
      </c>
      <c r="AA38" s="20">
        <f>TRUNC(IF(H38&lt;0,0,H38),0)</f>
        <v/>
      </c>
      <c r="AB38" s="20">
        <f>TRUNC(IF(I38&lt;0,0,I38),0)</f>
        <v/>
      </c>
      <c r="AC38" s="20">
        <f>TRUNC(IF(J38&lt;0,0,J38),0)</f>
        <v/>
      </c>
      <c r="AS38" s="64" t="n">
        <v>12</v>
      </c>
      <c r="AT38" s="5" t="n">
        <v>4</v>
      </c>
      <c r="AU38" s="5" t="n">
        <v>7</v>
      </c>
      <c r="AV38" s="5" t="n">
        <v>6</v>
      </c>
      <c r="AZ38" s="2" t="n"/>
      <c r="BA38" s="2" t="n"/>
      <c r="BB38" s="2" t="n"/>
      <c r="BE38" s="2" t="n"/>
      <c r="BF38" s="2" t="n"/>
      <c r="BG38" s="2" t="n"/>
    </row>
    <row r="39">
      <c r="G39" s="64" t="n">
        <v>13</v>
      </c>
      <c r="H39" s="64">
        <f>TRUNC((_xlfn.NORM.INV((RAND()),$E$35,$E$36)),2)</f>
        <v/>
      </c>
      <c r="I39" s="64">
        <f>TRUNC((_xlfn.NORM.INV((RAND()),$E$35,$E$36)),2)</f>
        <v/>
      </c>
      <c r="J39" s="64">
        <f>TRUNC((_xlfn.NORM.INV((RAND()),$E$35,$E$36)),2)</f>
        <v/>
      </c>
      <c r="Z39" s="64" t="n">
        <v>13</v>
      </c>
      <c r="AA39" s="20">
        <f>TRUNC(IF(H39&lt;0,0,H39),0)</f>
        <v/>
      </c>
      <c r="AB39" s="20">
        <f>TRUNC(IF(I39&lt;0,0,I39),0)</f>
        <v/>
      </c>
      <c r="AC39" s="20">
        <f>TRUNC(IF(J39&lt;0,0,J39),0)</f>
        <v/>
      </c>
      <c r="AS39" s="64" t="n">
        <v>13</v>
      </c>
      <c r="AT39" s="5" t="n">
        <v>3</v>
      </c>
      <c r="AU39" s="5" t="n">
        <v>3</v>
      </c>
      <c r="AV39" s="5" t="n">
        <v>5</v>
      </c>
      <c r="AZ39" s="2" t="n"/>
      <c r="BA39" s="2" t="n"/>
      <c r="BB39" s="2" t="n"/>
      <c r="BE39" s="2" t="n"/>
      <c r="BF39" s="2" t="n"/>
      <c r="BG39" s="2" t="n"/>
    </row>
    <row r="40">
      <c r="G40" s="64" t="n">
        <v>14</v>
      </c>
      <c r="H40" s="64">
        <f>TRUNC((_xlfn.NORM.INV((RAND()),$E$35,$E$36)),2)</f>
        <v/>
      </c>
      <c r="I40" s="64">
        <f>TRUNC((_xlfn.NORM.INV((RAND()),$E$35,$E$36)),2)</f>
        <v/>
      </c>
      <c r="J40" s="64">
        <f>TRUNC((_xlfn.NORM.INV((RAND()),$E$35,$E$36)),2)</f>
        <v/>
      </c>
      <c r="Z40" s="64" t="n">
        <v>14</v>
      </c>
      <c r="AA40" s="20">
        <f>TRUNC(IF(H40&lt;0,0,H40),0)</f>
        <v/>
      </c>
      <c r="AB40" s="20">
        <f>TRUNC(IF(I40&lt;0,0,I40),0)</f>
        <v/>
      </c>
      <c r="AC40" s="20">
        <f>TRUNC(IF(J40&lt;0,0,J40),0)</f>
        <v/>
      </c>
      <c r="AS40" s="64" t="n">
        <v>14</v>
      </c>
      <c r="AT40" s="5" t="n">
        <v>6</v>
      </c>
      <c r="AU40" s="5" t="n">
        <v>4</v>
      </c>
      <c r="AV40" s="5" t="n">
        <v>5</v>
      </c>
      <c r="AZ40" s="2" t="n"/>
      <c r="BA40" s="2" t="n"/>
      <c r="BB40" s="2" t="n"/>
      <c r="BE40" s="2" t="n"/>
      <c r="BF40" s="2" t="n"/>
      <c r="BG40" s="2" t="n"/>
    </row>
    <row r="41">
      <c r="G41" s="64" t="n">
        <v>15</v>
      </c>
      <c r="H41" s="64">
        <f>TRUNC((_xlfn.NORM.INV((RAND()),$E$35,$E$36)),2)</f>
        <v/>
      </c>
      <c r="I41" s="64">
        <f>TRUNC((_xlfn.NORM.INV((RAND()),$E$35,$E$36)),2)</f>
        <v/>
      </c>
      <c r="J41" s="64">
        <f>TRUNC((_xlfn.NORM.INV((RAND()),$E$35,$E$36)),2)</f>
        <v/>
      </c>
      <c r="Z41" s="64" t="n">
        <v>15</v>
      </c>
      <c r="AA41" s="20">
        <f>TRUNC(IF(H41&lt;0,0,H41),0)</f>
        <v/>
      </c>
      <c r="AB41" s="20">
        <f>TRUNC(IF(I41&lt;0,0,I41),0)</f>
        <v/>
      </c>
      <c r="AC41" s="20">
        <f>TRUNC(IF(J41&lt;0,0,J41),0)</f>
        <v/>
      </c>
      <c r="AS41" s="64" t="n">
        <v>15</v>
      </c>
      <c r="AT41" s="5" t="n">
        <v>6</v>
      </c>
      <c r="AU41" s="5" t="n">
        <v>5</v>
      </c>
      <c r="AV41" s="5" t="n">
        <v>3</v>
      </c>
      <c r="AZ41" s="2" t="n"/>
      <c r="BA41" s="2" t="n"/>
      <c r="BB41" s="2" t="n"/>
      <c r="BE41" s="2" t="n"/>
      <c r="BF41" s="2" t="n"/>
      <c r="BG41" s="2" t="n"/>
    </row>
    <row r="42">
      <c r="G42" s="64" t="n">
        <v>16</v>
      </c>
      <c r="H42" s="64">
        <f>TRUNC((_xlfn.NORM.INV((RAND()),$E$35,$E$36)),2)</f>
        <v/>
      </c>
      <c r="I42" s="64">
        <f>TRUNC((_xlfn.NORM.INV((RAND()),$E$35,$E$36)),2)</f>
        <v/>
      </c>
      <c r="J42" s="64">
        <f>TRUNC((_xlfn.NORM.INV((RAND()),$E$35,$E$36)),2)</f>
        <v/>
      </c>
      <c r="Z42" s="64" t="n">
        <v>16</v>
      </c>
      <c r="AA42" s="20">
        <f>TRUNC(IF(H42&lt;0,0,H42),0)</f>
        <v/>
      </c>
      <c r="AB42" s="20">
        <f>TRUNC(IF(I42&lt;0,0,I42),0)</f>
        <v/>
      </c>
      <c r="AC42" s="20">
        <f>TRUNC(IF(J42&lt;0,0,J42),0)</f>
        <v/>
      </c>
      <c r="AS42" s="64" t="n">
        <v>16</v>
      </c>
      <c r="AT42" s="5" t="n">
        <v>4</v>
      </c>
      <c r="AU42" s="5" t="n">
        <v>2</v>
      </c>
      <c r="AV42" s="5" t="n">
        <v>6</v>
      </c>
      <c r="AZ42" s="2" t="n"/>
      <c r="BA42" s="2" t="n"/>
      <c r="BB42" s="2" t="n"/>
      <c r="BE42" s="2" t="n"/>
      <c r="BF42" s="2" t="n"/>
      <c r="BG42" s="2" t="n"/>
    </row>
    <row r="43">
      <c r="G43" s="64" t="n">
        <v>17</v>
      </c>
      <c r="H43" s="64">
        <f>TRUNC((_xlfn.NORM.INV((RAND()),$E$35,$E$36)),2)</f>
        <v/>
      </c>
      <c r="I43" s="64">
        <f>TRUNC((_xlfn.NORM.INV((RAND()),$E$35,$E$36)),2)</f>
        <v/>
      </c>
      <c r="J43" s="64">
        <f>TRUNC((_xlfn.NORM.INV((RAND()),$E$35,$E$36)),2)</f>
        <v/>
      </c>
      <c r="Z43" s="64" t="n">
        <v>17</v>
      </c>
      <c r="AA43" s="20">
        <f>TRUNC(IF(H43&lt;0,0,H43),0)</f>
        <v/>
      </c>
      <c r="AB43" s="20">
        <f>TRUNC(IF(I43&lt;0,0,I43),0)</f>
        <v/>
      </c>
      <c r="AC43" s="20">
        <f>TRUNC(IF(J43&lt;0,0,J43),0)</f>
        <v/>
      </c>
      <c r="AS43" s="64" t="n">
        <v>17</v>
      </c>
      <c r="AT43" s="5" t="n">
        <v>4</v>
      </c>
      <c r="AU43" s="5" t="n">
        <v>4</v>
      </c>
      <c r="AV43" s="5" t="n">
        <v>5</v>
      </c>
      <c r="AZ43" s="2" t="n"/>
      <c r="BA43" s="2" t="n"/>
      <c r="BB43" s="2" t="n"/>
      <c r="BE43" s="2" t="n"/>
      <c r="BF43" s="2" t="n"/>
      <c r="BG43" s="2" t="n"/>
    </row>
    <row r="44">
      <c r="G44" s="64" t="n">
        <v>18</v>
      </c>
      <c r="H44" s="64">
        <f>TRUNC((_xlfn.NORM.INV((RAND()),$E$35,$E$36)),2)</f>
        <v/>
      </c>
      <c r="I44" s="64">
        <f>TRUNC((_xlfn.NORM.INV((RAND()),$E$35,$E$36)),2)</f>
        <v/>
      </c>
      <c r="J44" s="64">
        <f>TRUNC((_xlfn.NORM.INV((RAND()),$E$35,$E$36)),2)</f>
        <v/>
      </c>
      <c r="Z44" s="64" t="n">
        <v>18</v>
      </c>
      <c r="AA44" s="20">
        <f>TRUNC(IF(H44&lt;0,0,H44),0)</f>
        <v/>
      </c>
      <c r="AB44" s="20">
        <f>TRUNC(IF(I44&lt;0,0,I44),0)</f>
        <v/>
      </c>
      <c r="AC44" s="20">
        <f>TRUNC(IF(J44&lt;0,0,J44),0)</f>
        <v/>
      </c>
      <c r="AS44" s="64" t="n">
        <v>18</v>
      </c>
      <c r="AT44" s="5" t="n">
        <v>1</v>
      </c>
      <c r="AU44" s="5" t="n">
        <v>4</v>
      </c>
      <c r="AV44" s="5" t="n">
        <v>5</v>
      </c>
      <c r="AZ44" s="2" t="n"/>
      <c r="BA44" s="2" t="n"/>
      <c r="BB44" s="2" t="n"/>
      <c r="BE44" s="2" t="n"/>
      <c r="BF44" s="2" t="n"/>
      <c r="BG44" s="2" t="n"/>
    </row>
    <row r="45">
      <c r="G45" s="64" t="n">
        <v>19</v>
      </c>
      <c r="H45" s="64">
        <f>TRUNC((_xlfn.NORM.INV((RAND()),$E$35,$E$36)),2)</f>
        <v/>
      </c>
      <c r="I45" s="64">
        <f>TRUNC((_xlfn.NORM.INV((RAND()),$E$35,$E$36)),2)</f>
        <v/>
      </c>
      <c r="J45" s="64">
        <f>TRUNC((_xlfn.NORM.INV((RAND()),$E$35,$E$36)),2)</f>
        <v/>
      </c>
      <c r="Z45" s="64" t="n">
        <v>19</v>
      </c>
      <c r="AA45" s="20">
        <f>TRUNC(IF(H45&lt;0,0,H45),0)</f>
        <v/>
      </c>
      <c r="AB45" s="20">
        <f>TRUNC(IF(I45&lt;0,0,I45),0)</f>
        <v/>
      </c>
      <c r="AC45" s="20">
        <f>TRUNC(IF(J45&lt;0,0,J45),0)</f>
        <v/>
      </c>
      <c r="AS45" s="64" t="n">
        <v>19</v>
      </c>
      <c r="AT45" s="5" t="n">
        <v>5</v>
      </c>
      <c r="AU45" s="5" t="n">
        <v>2</v>
      </c>
      <c r="AV45" s="5" t="n">
        <v>4</v>
      </c>
      <c r="AZ45" s="2" t="n"/>
      <c r="BA45" s="2" t="n"/>
      <c r="BB45" s="2" t="n"/>
      <c r="BE45" s="2" t="n"/>
      <c r="BF45" s="2" t="n"/>
      <c r="BG45" s="2" t="n"/>
    </row>
    <row r="46">
      <c r="G46" s="64" t="n">
        <v>20</v>
      </c>
      <c r="H46" s="64">
        <f>TRUNC((_xlfn.NORM.INV((RAND()),$E$35,$E$36)),2)</f>
        <v/>
      </c>
      <c r="I46" s="64">
        <f>TRUNC((_xlfn.NORM.INV((RAND()),$E$35,$E$36)),2)</f>
        <v/>
      </c>
      <c r="J46" s="64">
        <f>TRUNC((_xlfn.NORM.INV((RAND()),$E$35,$E$36)),2)</f>
        <v/>
      </c>
      <c r="Z46" s="64" t="n">
        <v>20</v>
      </c>
      <c r="AA46" s="20">
        <f>TRUNC(IF(H46&lt;0,0,H46),0)</f>
        <v/>
      </c>
      <c r="AB46" s="20">
        <f>TRUNC(IF(I46&lt;0,0,I46),0)</f>
        <v/>
      </c>
      <c r="AC46" s="20">
        <f>TRUNC(IF(J46&lt;0,0,J46),0)</f>
        <v/>
      </c>
      <c r="AS46" s="64" t="n">
        <v>20</v>
      </c>
      <c r="AT46" s="5" t="n">
        <v>5</v>
      </c>
      <c r="AU46" s="5" t="n">
        <v>6</v>
      </c>
      <c r="AV46" s="5" t="n">
        <v>3</v>
      </c>
      <c r="AZ46" s="2" t="n"/>
      <c r="BA46" s="2" t="n"/>
      <c r="BB46" s="2" t="n"/>
      <c r="BE46" s="2" t="n"/>
      <c r="BF46" s="2" t="n"/>
      <c r="BG46" s="2" t="n"/>
    </row>
    <row r="47">
      <c r="G47" s="64" t="n">
        <v>21</v>
      </c>
      <c r="H47" s="64">
        <f>TRUNC((_xlfn.NORM.INV((RAND()),$E$35,$E$36)),2)</f>
        <v/>
      </c>
      <c r="I47" s="64">
        <f>TRUNC((_xlfn.NORM.INV((RAND()),$E$35,$E$36)),2)</f>
        <v/>
      </c>
      <c r="J47" s="64">
        <f>TRUNC((_xlfn.NORM.INV((RAND()),$E$35,$E$36)),2)</f>
        <v/>
      </c>
      <c r="Z47" s="64" t="n">
        <v>21</v>
      </c>
      <c r="AA47" s="20">
        <f>TRUNC(IF(H47&lt;0,0,H47),0)</f>
        <v/>
      </c>
      <c r="AB47" s="20">
        <f>TRUNC(IF(I47&lt;0,0,I47),0)</f>
        <v/>
      </c>
      <c r="AC47" s="20">
        <f>TRUNC(IF(J47&lt;0,0,J47),0)</f>
        <v/>
      </c>
      <c r="AS47" s="64" t="n">
        <v>21</v>
      </c>
      <c r="AT47" s="5" t="n">
        <v>3</v>
      </c>
      <c r="AU47" s="5" t="n">
        <v>3</v>
      </c>
      <c r="AV47" s="5" t="n">
        <v>3</v>
      </c>
      <c r="AZ47" s="2" t="n"/>
      <c r="BA47" s="2" t="n"/>
      <c r="BB47" s="2" t="n"/>
      <c r="BE47" s="2" t="n"/>
      <c r="BF47" s="2" t="n"/>
      <c r="BG47" s="2" t="n"/>
    </row>
    <row r="48">
      <c r="G48" s="64" t="n">
        <v>22</v>
      </c>
      <c r="H48" s="64">
        <f>TRUNC((_xlfn.NORM.INV((RAND()),$E$35,$E$36)),2)</f>
        <v/>
      </c>
      <c r="I48" s="64">
        <f>TRUNC((_xlfn.NORM.INV((RAND()),$E$35,$E$36)),2)</f>
        <v/>
      </c>
      <c r="J48" s="64">
        <f>TRUNC((_xlfn.NORM.INV((RAND()),$E$35,$E$36)),2)</f>
        <v/>
      </c>
      <c r="Z48" s="64" t="n">
        <v>22</v>
      </c>
      <c r="AA48" s="20">
        <f>TRUNC(IF(H48&lt;0,0,H48),0)</f>
        <v/>
      </c>
      <c r="AB48" s="20">
        <f>TRUNC(IF(I48&lt;0,0,I48),0)</f>
        <v/>
      </c>
      <c r="AC48" s="20">
        <f>TRUNC(IF(J48&lt;0,0,J48),0)</f>
        <v/>
      </c>
      <c r="AS48" s="64" t="n">
        <v>22</v>
      </c>
      <c r="AT48" s="5" t="n">
        <v>7</v>
      </c>
      <c r="AU48" s="5" t="n">
        <v>4</v>
      </c>
      <c r="AV48" s="5" t="n">
        <v>6</v>
      </c>
      <c r="AZ48" s="2" t="n"/>
      <c r="BA48" s="2" t="n"/>
      <c r="BB48" s="2" t="n"/>
      <c r="BE48" s="2" t="n"/>
      <c r="BF48" s="2" t="n"/>
      <c r="BG48" s="2" t="n"/>
    </row>
    <row r="49">
      <c r="G49" s="64" t="n">
        <v>23</v>
      </c>
      <c r="H49" s="64">
        <f>TRUNC((_xlfn.NORM.INV((RAND()),$E$35,$E$36)),2)</f>
        <v/>
      </c>
      <c r="I49" s="64">
        <f>TRUNC((_xlfn.NORM.INV((RAND()),$E$35,$E$36)),2)</f>
        <v/>
      </c>
      <c r="J49" s="64">
        <f>TRUNC((_xlfn.NORM.INV((RAND()),$E$35,$E$36)),2)</f>
        <v/>
      </c>
      <c r="Z49" s="64" t="n">
        <v>23</v>
      </c>
      <c r="AA49" s="20">
        <f>TRUNC(IF(H49&lt;0,0,H49),0)</f>
        <v/>
      </c>
      <c r="AB49" s="20">
        <f>TRUNC(IF(I49&lt;0,0,I49),0)</f>
        <v/>
      </c>
      <c r="AC49" s="20">
        <f>TRUNC(IF(J49&lt;0,0,J49),0)</f>
        <v/>
      </c>
      <c r="AS49" s="64" t="n">
        <v>23</v>
      </c>
      <c r="AT49" s="5" t="n">
        <v>5</v>
      </c>
      <c r="AU49" s="5" t="n">
        <v>6</v>
      </c>
      <c r="AV49" s="5" t="n">
        <v>3</v>
      </c>
      <c r="AZ49" s="2" t="n"/>
      <c r="BA49" s="2" t="n"/>
      <c r="BB49" s="2" t="n"/>
      <c r="BE49" s="2" t="n"/>
      <c r="BF49" s="2" t="n"/>
      <c r="BG49" s="2" t="n"/>
    </row>
    <row r="50">
      <c r="G50" s="64" t="n">
        <v>24</v>
      </c>
      <c r="H50" s="64">
        <f>TRUNC((_xlfn.NORM.INV((RAND()),$E$35,$E$36)),2)</f>
        <v/>
      </c>
      <c r="I50" s="64">
        <f>TRUNC((_xlfn.NORM.INV((RAND()),$E$35,$E$36)),2)</f>
        <v/>
      </c>
      <c r="J50" s="64">
        <f>TRUNC((_xlfn.NORM.INV((RAND()),$E$35,$E$36)),2)</f>
        <v/>
      </c>
      <c r="Z50" s="64" t="n">
        <v>24</v>
      </c>
      <c r="AA50" s="20">
        <f>TRUNC(IF(H50&lt;0,0,H50),0)</f>
        <v/>
      </c>
      <c r="AB50" s="20">
        <f>TRUNC(IF(I50&lt;0,0,I50),0)</f>
        <v/>
      </c>
      <c r="AC50" s="20">
        <f>TRUNC(IF(J50&lt;0,0,J50),0)</f>
        <v/>
      </c>
      <c r="AS50" s="64" t="n">
        <v>24</v>
      </c>
      <c r="AT50" s="5" t="n">
        <v>6</v>
      </c>
      <c r="AU50" s="5" t="n">
        <v>5</v>
      </c>
      <c r="AV50" s="5" t="n">
        <v>3</v>
      </c>
      <c r="AZ50" s="2" t="n"/>
      <c r="BA50" s="2" t="n"/>
      <c r="BB50" s="2" t="n"/>
      <c r="BE50" s="2" t="n"/>
      <c r="BF50" s="2" t="n"/>
      <c r="BG50" s="2" t="n"/>
    </row>
    <row r="51">
      <c r="G51" s="64" t="n">
        <v>25</v>
      </c>
      <c r="H51" s="64">
        <f>TRUNC((_xlfn.NORM.INV((RAND()),$E$35,$E$36)),2)</f>
        <v/>
      </c>
      <c r="I51" s="64">
        <f>TRUNC((_xlfn.NORM.INV((RAND()),$E$35,$E$36)),2)</f>
        <v/>
      </c>
      <c r="J51" s="64">
        <f>TRUNC((_xlfn.NORM.INV((RAND()),$E$35,$E$36)),2)</f>
        <v/>
      </c>
      <c r="Z51" s="64" t="n">
        <v>25</v>
      </c>
      <c r="AA51" s="20">
        <f>TRUNC(IF(H51&lt;0,0,H51),0)</f>
        <v/>
      </c>
      <c r="AB51" s="20">
        <f>TRUNC(IF(I51&lt;0,0,I51),0)</f>
        <v/>
      </c>
      <c r="AC51" s="20">
        <f>TRUNC(IF(J51&lt;0,0,J51),0)</f>
        <v/>
      </c>
      <c r="AS51" s="64" t="n">
        <v>25</v>
      </c>
      <c r="AT51" s="5" t="n">
        <v>3</v>
      </c>
      <c r="AU51" s="5" t="n">
        <v>3</v>
      </c>
      <c r="AV51" s="5" t="n">
        <v>3</v>
      </c>
      <c r="AZ51" s="2" t="n"/>
      <c r="BA51" s="2" t="n"/>
      <c r="BB51" s="2" t="n"/>
      <c r="BE51" s="2" t="n"/>
      <c r="BF51" s="2" t="n"/>
      <c r="BG51" s="2" t="n"/>
    </row>
    <row r="52">
      <c r="G52" s="64" t="n">
        <v>26</v>
      </c>
      <c r="H52" s="64">
        <f>TRUNC((_xlfn.NORM.INV((RAND()),$E$35,$E$36)),2)</f>
        <v/>
      </c>
      <c r="I52" s="64">
        <f>TRUNC((_xlfn.NORM.INV((RAND()),$E$35,$E$36)),2)</f>
        <v/>
      </c>
      <c r="J52" s="64">
        <f>TRUNC((_xlfn.NORM.INV((RAND()),$E$35,$E$36)),2)</f>
        <v/>
      </c>
      <c r="Z52" s="64" t="n">
        <v>26</v>
      </c>
      <c r="AA52" s="20">
        <f>TRUNC(IF(H52&lt;0,0,H52),0)</f>
        <v/>
      </c>
      <c r="AB52" s="20">
        <f>TRUNC(IF(I52&lt;0,0,I52),0)</f>
        <v/>
      </c>
      <c r="AC52" s="20">
        <f>TRUNC(IF(J52&lt;0,0,J52),0)</f>
        <v/>
      </c>
      <c r="AS52" s="64" t="n">
        <v>26</v>
      </c>
      <c r="AT52" s="5" t="n">
        <v>6</v>
      </c>
      <c r="AU52" s="5" t="n">
        <v>4</v>
      </c>
      <c r="AV52" s="5" t="n">
        <v>6</v>
      </c>
      <c r="AZ52" s="2" t="n"/>
      <c r="BA52" s="2" t="n"/>
      <c r="BB52" s="2" t="n"/>
      <c r="BE52" s="2" t="n"/>
      <c r="BF52" s="2" t="n"/>
      <c r="BG52" s="2" t="n"/>
    </row>
    <row r="53">
      <c r="G53" s="64" t="n">
        <v>27</v>
      </c>
      <c r="H53" s="64">
        <f>TRUNC((_xlfn.NORM.INV((RAND()),$E$35,$E$36)),2)</f>
        <v/>
      </c>
      <c r="I53" s="64">
        <f>TRUNC((_xlfn.NORM.INV((RAND()),$E$35,$E$36)),2)</f>
        <v/>
      </c>
      <c r="J53" s="64">
        <f>TRUNC((_xlfn.NORM.INV((RAND()),$E$35,$E$36)),2)</f>
        <v/>
      </c>
      <c r="Z53" s="64" t="n">
        <v>27</v>
      </c>
      <c r="AA53" s="20">
        <f>TRUNC(IF(H53&lt;0,0,H53),0)</f>
        <v/>
      </c>
      <c r="AB53" s="20">
        <f>TRUNC(IF(I53&lt;0,0,I53),0)</f>
        <v/>
      </c>
      <c r="AC53" s="20">
        <f>TRUNC(IF(J53&lt;0,0,J53),0)</f>
        <v/>
      </c>
      <c r="AS53" s="64" t="n">
        <v>27</v>
      </c>
      <c r="AT53" s="5" t="n">
        <v>7</v>
      </c>
      <c r="AU53" s="5" t="n">
        <v>7</v>
      </c>
      <c r="AV53" s="5" t="n">
        <v>3</v>
      </c>
      <c r="AZ53" s="2" t="n"/>
      <c r="BA53" s="2" t="n"/>
      <c r="BB53" s="2" t="n"/>
      <c r="BE53" s="2" t="n"/>
      <c r="BF53" s="2" t="n"/>
      <c r="BG53" s="2" t="n"/>
    </row>
    <row r="54">
      <c r="G54" s="64" t="n">
        <v>28</v>
      </c>
      <c r="H54" s="64">
        <f>TRUNC((_xlfn.NORM.INV((RAND()),$E$35,$E$36)),2)</f>
        <v/>
      </c>
      <c r="I54" s="64">
        <f>TRUNC((_xlfn.NORM.INV((RAND()),$E$35,$E$36)),2)</f>
        <v/>
      </c>
      <c r="J54" s="64">
        <f>TRUNC((_xlfn.NORM.INV((RAND()),$E$35,$E$36)),2)</f>
        <v/>
      </c>
      <c r="Z54" s="64" t="n">
        <v>28</v>
      </c>
      <c r="AA54" s="20">
        <f>TRUNC(IF(H54&lt;0,0,H54),0)</f>
        <v/>
      </c>
      <c r="AB54" s="20">
        <f>TRUNC(IF(I54&lt;0,0,I54),0)</f>
        <v/>
      </c>
      <c r="AC54" s="20">
        <f>TRUNC(IF(J54&lt;0,0,J54),0)</f>
        <v/>
      </c>
      <c r="AS54" s="64" t="n">
        <v>28</v>
      </c>
      <c r="AT54" s="5" t="n">
        <v>5</v>
      </c>
      <c r="AU54" s="5" t="n">
        <v>5</v>
      </c>
      <c r="AV54" s="5" t="n">
        <v>5</v>
      </c>
      <c r="AZ54" s="2" t="n"/>
      <c r="BA54" s="2" t="n"/>
      <c r="BB54" s="2" t="n"/>
      <c r="BE54" s="2" t="n"/>
      <c r="BF54" s="2" t="n"/>
      <c r="BG54" s="2" t="n"/>
    </row>
    <row r="55">
      <c r="G55" s="64" t="n">
        <v>29</v>
      </c>
      <c r="H55" s="64">
        <f>TRUNC((_xlfn.NORM.INV((RAND()),$E$35,$E$36)),2)</f>
        <v/>
      </c>
      <c r="I55" s="64">
        <f>TRUNC((_xlfn.NORM.INV((RAND()),$E$35,$E$36)),2)</f>
        <v/>
      </c>
      <c r="J55" s="64">
        <f>TRUNC((_xlfn.NORM.INV((RAND()),$E$35,$E$36)),2)</f>
        <v/>
      </c>
      <c r="Z55" s="64" t="n">
        <v>29</v>
      </c>
      <c r="AA55" s="20">
        <f>TRUNC(IF(H55&lt;0,0,H55),0)</f>
        <v/>
      </c>
      <c r="AB55" s="20">
        <f>TRUNC(IF(I55&lt;0,0,I55),0)</f>
        <v/>
      </c>
      <c r="AC55" s="20">
        <f>TRUNC(IF(J55&lt;0,0,J55),0)</f>
        <v/>
      </c>
      <c r="AS55" s="64" t="n">
        <v>29</v>
      </c>
      <c r="AT55" s="5" t="n">
        <v>6</v>
      </c>
      <c r="AU55" s="5" t="n">
        <v>6</v>
      </c>
      <c r="AV55" s="5" t="n">
        <v>9</v>
      </c>
      <c r="AZ55" s="2" t="n"/>
      <c r="BA55" s="2" t="n"/>
      <c r="BB55" s="2" t="n"/>
      <c r="BE55" s="2" t="n"/>
      <c r="BF55" s="2" t="n"/>
      <c r="BG55" s="2" t="n"/>
    </row>
    <row r="56">
      <c r="G56" s="64" t="n">
        <v>30</v>
      </c>
      <c r="H56" s="64">
        <f>TRUNC((_xlfn.NORM.INV((RAND()),$E$35,$E$36)),2)</f>
        <v/>
      </c>
      <c r="I56" s="64">
        <f>TRUNC((_xlfn.NORM.INV((RAND()),$E$35,$E$36)),2)</f>
        <v/>
      </c>
      <c r="J56" s="64">
        <f>TRUNC((_xlfn.NORM.INV((RAND()),$E$35,$E$36)),2)</f>
        <v/>
      </c>
      <c r="Z56" s="64" t="n">
        <v>30</v>
      </c>
      <c r="AA56" s="20">
        <f>TRUNC(IF(H56&lt;0,0,H56),0)</f>
        <v/>
      </c>
      <c r="AB56" s="20">
        <f>TRUNC(IF(I56&lt;0,0,I56),0)</f>
        <v/>
      </c>
      <c r="AC56" s="20">
        <f>TRUNC(IF(J56&lt;0,0,J56),0)</f>
        <v/>
      </c>
      <c r="AS56" s="64" t="n">
        <v>30</v>
      </c>
      <c r="AT56" s="5" t="n">
        <v>6</v>
      </c>
      <c r="AU56" s="5" t="n">
        <v>5</v>
      </c>
      <c r="AV56" s="5" t="n">
        <v>8</v>
      </c>
      <c r="AZ56" s="2" t="n"/>
      <c r="BA56" s="2" t="n"/>
      <c r="BB56" s="2" t="n"/>
      <c r="BE56" s="2" t="n"/>
      <c r="BF56" s="2" t="n"/>
      <c r="BG56" s="2" t="n"/>
    </row>
    <row r="57">
      <c r="G57" s="64" t="n">
        <v>31</v>
      </c>
      <c r="H57" s="64">
        <f>TRUNC((_xlfn.NORM.INV((RAND()),$E$35,$E$36)),2)</f>
        <v/>
      </c>
      <c r="I57" s="64">
        <f>TRUNC((_xlfn.NORM.INV((RAND()),$E$35,$E$36)),2)</f>
        <v/>
      </c>
      <c r="J57" s="64">
        <f>TRUNC((_xlfn.NORM.INV((RAND()),$E$35,$E$36)),2)</f>
        <v/>
      </c>
      <c r="Z57" s="64" t="n">
        <v>31</v>
      </c>
      <c r="AA57" s="20">
        <f>TRUNC(IF(H57&lt;0,0,H57),0)</f>
        <v/>
      </c>
      <c r="AB57" s="20">
        <f>TRUNC(IF(I57&lt;0,0,I57),0)</f>
        <v/>
      </c>
      <c r="AC57" s="20">
        <f>TRUNC(IF(J57&lt;0,0,J57),0)</f>
        <v/>
      </c>
      <c r="AS57" s="64" t="n">
        <v>31</v>
      </c>
      <c r="AT57" s="5" t="n">
        <v>6</v>
      </c>
      <c r="AU57" s="5" t="n">
        <v>6</v>
      </c>
      <c r="AV57" s="5" t="n">
        <v>7</v>
      </c>
      <c r="AZ57" s="2" t="n"/>
      <c r="BA57" s="2" t="n"/>
      <c r="BB57" s="2" t="n"/>
      <c r="BE57" s="2" t="n"/>
      <c r="BF57" s="2" t="n"/>
      <c r="BG57" s="2" t="n"/>
    </row>
    <row r="58">
      <c r="G58" s="64" t="n">
        <v>32</v>
      </c>
      <c r="H58" s="64">
        <f>TRUNC((_xlfn.NORM.INV((RAND()),$E$35,$E$36)),2)</f>
        <v/>
      </c>
      <c r="I58" s="64">
        <f>TRUNC((_xlfn.NORM.INV((RAND()),$E$35,$E$36)),2)</f>
        <v/>
      </c>
      <c r="J58" s="64">
        <f>TRUNC((_xlfn.NORM.INV((RAND()),$E$35,$E$36)),2)</f>
        <v/>
      </c>
      <c r="Z58" s="64" t="n">
        <v>32</v>
      </c>
      <c r="AA58" s="20">
        <f>TRUNC(IF(H58&lt;0,0,H58),0)</f>
        <v/>
      </c>
      <c r="AB58" s="20">
        <f>TRUNC(IF(I58&lt;0,0,I58),0)</f>
        <v/>
      </c>
      <c r="AC58" s="20">
        <f>TRUNC(IF(J58&lt;0,0,J58),0)</f>
        <v/>
      </c>
      <c r="AS58" s="64" t="n">
        <v>32</v>
      </c>
      <c r="AT58" s="5" t="n">
        <v>7</v>
      </c>
      <c r="AU58" s="5" t="n">
        <v>4</v>
      </c>
      <c r="AV58" s="5" t="n">
        <v>5</v>
      </c>
      <c r="AZ58" s="2" t="n"/>
      <c r="BA58" s="2" t="n"/>
      <c r="BB58" s="2" t="n"/>
      <c r="BE58" s="2" t="n"/>
      <c r="BF58" s="2" t="n"/>
      <c r="BG58" s="2" t="n"/>
    </row>
    <row r="59">
      <c r="G59" s="64" t="n">
        <v>33</v>
      </c>
      <c r="H59" s="64">
        <f>TRUNC((_xlfn.NORM.INV((RAND()),$E$35,$E$36)),2)</f>
        <v/>
      </c>
      <c r="I59" s="64">
        <f>TRUNC((_xlfn.NORM.INV((RAND()),$E$35,$E$36)),2)</f>
        <v/>
      </c>
      <c r="J59" s="64">
        <f>TRUNC((_xlfn.NORM.INV((RAND()),$E$35,$E$36)),2)</f>
        <v/>
      </c>
      <c r="Z59" s="64" t="n">
        <v>33</v>
      </c>
      <c r="AA59" s="20">
        <f>TRUNC(IF(H59&lt;0,0,H59),0)</f>
        <v/>
      </c>
      <c r="AB59" s="20">
        <f>TRUNC(IF(I59&lt;0,0,I59),0)</f>
        <v/>
      </c>
      <c r="AC59" s="20">
        <f>TRUNC(IF(J59&lt;0,0,J59),0)</f>
        <v/>
      </c>
      <c r="AS59" s="64" t="n">
        <v>33</v>
      </c>
      <c r="AT59" s="5" t="n">
        <v>6</v>
      </c>
      <c r="AU59" s="5" t="n">
        <v>6</v>
      </c>
      <c r="AV59" s="5" t="n">
        <v>5</v>
      </c>
      <c r="AZ59" s="2" t="n"/>
      <c r="BA59" s="2" t="n"/>
      <c r="BB59" s="2" t="n"/>
      <c r="BE59" s="2" t="n"/>
      <c r="BF59" s="2" t="n"/>
      <c r="BG59" s="2" t="n"/>
    </row>
    <row r="60">
      <c r="G60" s="64" t="n">
        <v>34</v>
      </c>
      <c r="H60" s="64">
        <f>TRUNC((_xlfn.NORM.INV((RAND()),$E$35,$E$36)),2)</f>
        <v/>
      </c>
      <c r="I60" s="64">
        <f>TRUNC((_xlfn.NORM.INV((RAND()),$E$35,$E$36)),2)</f>
        <v/>
      </c>
      <c r="J60" s="64">
        <f>TRUNC((_xlfn.NORM.INV((RAND()),$E$35,$E$36)),2)</f>
        <v/>
      </c>
      <c r="Z60" s="64" t="n">
        <v>34</v>
      </c>
      <c r="AA60" s="20">
        <f>TRUNC(IF(H60&lt;0,0,H60),0)</f>
        <v/>
      </c>
      <c r="AB60" s="20">
        <f>TRUNC(IF(I60&lt;0,0,I60),0)</f>
        <v/>
      </c>
      <c r="AC60" s="20">
        <f>TRUNC(IF(J60&lt;0,0,J60),0)</f>
        <v/>
      </c>
      <c r="AS60" s="64" t="n">
        <v>34</v>
      </c>
      <c r="AT60" s="5" t="n">
        <v>5</v>
      </c>
      <c r="AU60" s="5" t="n">
        <v>5</v>
      </c>
      <c r="AV60" s="5" t="n">
        <v>5</v>
      </c>
      <c r="AZ60" s="2" t="n"/>
      <c r="BA60" s="2" t="n"/>
      <c r="BB60" s="2" t="n"/>
      <c r="BE60" s="2" t="n"/>
      <c r="BF60" s="2" t="n"/>
      <c r="BG60" s="2" t="n"/>
    </row>
    <row r="61">
      <c r="G61" s="64" t="n">
        <v>35</v>
      </c>
      <c r="H61" s="64">
        <f>TRUNC((_xlfn.NORM.INV((RAND()),$E$35,$E$36)),2)</f>
        <v/>
      </c>
      <c r="I61" s="64">
        <f>TRUNC((_xlfn.NORM.INV((RAND()),$E$35,$E$36)),2)</f>
        <v/>
      </c>
      <c r="J61" s="64">
        <f>TRUNC((_xlfn.NORM.INV((RAND()),$E$35,$E$36)),2)</f>
        <v/>
      </c>
      <c r="Z61" s="64" t="n">
        <v>35</v>
      </c>
      <c r="AA61" s="20">
        <f>TRUNC(IF(H61&lt;0,0,H61),0)</f>
        <v/>
      </c>
      <c r="AB61" s="20">
        <f>TRUNC(IF(I61&lt;0,0,I61),0)</f>
        <v/>
      </c>
      <c r="AC61" s="20">
        <f>TRUNC(IF(J61&lt;0,0,J61),0)</f>
        <v/>
      </c>
      <c r="AS61" s="64" t="n">
        <v>35</v>
      </c>
      <c r="AT61" s="5" t="n">
        <v>4</v>
      </c>
      <c r="AU61" s="5" t="n">
        <v>4</v>
      </c>
      <c r="AV61" s="5" t="n">
        <v>4</v>
      </c>
      <c r="AZ61" s="2" t="n"/>
      <c r="BA61" s="2" t="n"/>
      <c r="BB61" s="2" t="n"/>
      <c r="BE61" s="2" t="n"/>
      <c r="BF61" s="2" t="n"/>
      <c r="BG61" s="2" t="n"/>
    </row>
    <row r="62">
      <c r="G62" s="64" t="n">
        <v>36</v>
      </c>
      <c r="H62" s="64">
        <f>TRUNC((_xlfn.NORM.INV((RAND()),$E$35,$E$36)),2)</f>
        <v/>
      </c>
      <c r="I62" s="64">
        <f>TRUNC((_xlfn.NORM.INV((RAND()),$E$35,$E$36)),2)</f>
        <v/>
      </c>
      <c r="J62" s="64">
        <f>TRUNC((_xlfn.NORM.INV((RAND()),$E$35,$E$36)),2)</f>
        <v/>
      </c>
      <c r="Z62" s="64" t="n">
        <v>36</v>
      </c>
      <c r="AA62" s="20">
        <f>TRUNC(IF(H62&lt;0,0,H62),0)</f>
        <v/>
      </c>
      <c r="AB62" s="20">
        <f>TRUNC(IF(I62&lt;0,0,I62),0)</f>
        <v/>
      </c>
      <c r="AC62" s="20">
        <f>TRUNC(IF(J62&lt;0,0,J62),0)</f>
        <v/>
      </c>
      <c r="AS62" s="64" t="n">
        <v>36</v>
      </c>
      <c r="AT62" s="5" t="n">
        <v>7</v>
      </c>
      <c r="AU62" s="5" t="n">
        <v>5</v>
      </c>
      <c r="AV62" s="5" t="n">
        <v>5</v>
      </c>
      <c r="AZ62" s="2" t="n"/>
      <c r="BA62" s="2" t="n"/>
      <c r="BB62" s="2" t="n"/>
      <c r="BE62" s="2" t="n"/>
      <c r="BF62" s="2" t="n"/>
      <c r="BG62" s="2" t="n"/>
    </row>
    <row r="63">
      <c r="G63" s="64" t="n">
        <v>37</v>
      </c>
      <c r="H63" s="64">
        <f>TRUNC((_xlfn.NORM.INV((RAND()),$E$35,$E$36)),2)</f>
        <v/>
      </c>
      <c r="I63" s="64">
        <f>TRUNC((_xlfn.NORM.INV((RAND()),$E$35,$E$36)),2)</f>
        <v/>
      </c>
      <c r="J63" s="64">
        <f>TRUNC((_xlfn.NORM.INV((RAND()),$E$35,$E$36)),2)</f>
        <v/>
      </c>
      <c r="Z63" s="64" t="n">
        <v>37</v>
      </c>
      <c r="AA63" s="20">
        <f>TRUNC(IF(H63&lt;0,0,H63),0)</f>
        <v/>
      </c>
      <c r="AB63" s="20">
        <f>TRUNC(IF(I63&lt;0,0,I63),0)</f>
        <v/>
      </c>
      <c r="AC63" s="20">
        <f>TRUNC(IF(J63&lt;0,0,J63),0)</f>
        <v/>
      </c>
      <c r="AS63" s="64" t="n">
        <v>37</v>
      </c>
      <c r="AT63" s="5" t="n">
        <v>5</v>
      </c>
      <c r="AU63" s="5" t="n">
        <v>5</v>
      </c>
      <c r="AV63" s="5" t="n">
        <v>6</v>
      </c>
      <c r="AZ63" s="2" t="n"/>
      <c r="BA63" s="2" t="n"/>
      <c r="BB63" s="2" t="n"/>
      <c r="BE63" s="2" t="n"/>
      <c r="BF63" s="2" t="n"/>
      <c r="BG63" s="2" t="n"/>
    </row>
    <row r="64">
      <c r="G64" s="64" t="n">
        <v>38</v>
      </c>
      <c r="H64" s="64">
        <f>TRUNC((_xlfn.NORM.INV((RAND()),$E$35,$E$36)),2)</f>
        <v/>
      </c>
      <c r="I64" s="64">
        <f>TRUNC((_xlfn.NORM.INV((RAND()),$E$35,$E$36)),2)</f>
        <v/>
      </c>
      <c r="J64" s="64">
        <f>TRUNC((_xlfn.NORM.INV((RAND()),$E$35,$E$36)),2)</f>
        <v/>
      </c>
      <c r="Z64" s="64" t="n">
        <v>38</v>
      </c>
      <c r="AA64" s="20">
        <f>TRUNC(IF(H64&lt;0,0,H64),0)</f>
        <v/>
      </c>
      <c r="AB64" s="20">
        <f>TRUNC(IF(I64&lt;0,0,I64),0)</f>
        <v/>
      </c>
      <c r="AC64" s="20">
        <f>TRUNC(IF(J64&lt;0,0,J64),0)</f>
        <v/>
      </c>
      <c r="AS64" s="64" t="n">
        <v>38</v>
      </c>
      <c r="AT64" s="5" t="n">
        <v>5</v>
      </c>
      <c r="AU64" s="5" t="n">
        <v>6</v>
      </c>
      <c r="AV64" s="5" t="n">
        <v>7</v>
      </c>
      <c r="AZ64" s="2" t="n"/>
      <c r="BA64" s="2" t="n"/>
      <c r="BB64" s="2" t="n"/>
      <c r="BE64" s="2" t="n"/>
      <c r="BF64" s="2" t="n"/>
      <c r="BG64" s="2" t="n"/>
    </row>
    <row r="65">
      <c r="G65" s="64" t="n">
        <v>39</v>
      </c>
      <c r="H65" s="64">
        <f>TRUNC((_xlfn.NORM.INV((RAND()),$E$35,$E$36)),2)</f>
        <v/>
      </c>
      <c r="I65" s="64">
        <f>TRUNC((_xlfn.NORM.INV((RAND()),$E$35,$E$36)),2)</f>
        <v/>
      </c>
      <c r="J65" s="64">
        <f>TRUNC((_xlfn.NORM.INV((RAND()),$E$35,$E$36)),2)</f>
        <v/>
      </c>
      <c r="Z65" s="64" t="n">
        <v>39</v>
      </c>
      <c r="AA65" s="20">
        <f>TRUNC(IF(H65&lt;0,0,H65),0)</f>
        <v/>
      </c>
      <c r="AB65" s="20">
        <f>TRUNC(IF(I65&lt;0,0,I65),0)</f>
        <v/>
      </c>
      <c r="AC65" s="20">
        <f>TRUNC(IF(J65&lt;0,0,J65),0)</f>
        <v/>
      </c>
      <c r="AS65" s="64" t="n">
        <v>39</v>
      </c>
      <c r="AT65" s="5" t="n">
        <v>5</v>
      </c>
      <c r="AU65" s="5" t="n">
        <v>2</v>
      </c>
      <c r="AV65" s="5" t="n">
        <v>2</v>
      </c>
      <c r="AZ65" s="2" t="n"/>
      <c r="BA65" s="2" t="n"/>
      <c r="BB65" s="2" t="n"/>
      <c r="BE65" s="2" t="n"/>
      <c r="BF65" s="2" t="n"/>
      <c r="BG65" s="2" t="n"/>
    </row>
    <row r="66">
      <c r="G66" s="64" t="n">
        <v>40</v>
      </c>
      <c r="H66" s="64">
        <f>TRUNC((_xlfn.NORM.INV((RAND()),$E$35,$E$36)),2)</f>
        <v/>
      </c>
      <c r="I66" s="64">
        <f>TRUNC((_xlfn.NORM.INV((RAND()),$E$35,$E$36)),2)</f>
        <v/>
      </c>
      <c r="J66" s="64">
        <f>TRUNC((_xlfn.NORM.INV((RAND()),$E$35,$E$36)),2)</f>
        <v/>
      </c>
      <c r="Z66" s="64" t="n">
        <v>40</v>
      </c>
      <c r="AA66" s="20">
        <f>TRUNC(IF(H66&lt;0,0,H66),0)</f>
        <v/>
      </c>
      <c r="AB66" s="20">
        <f>TRUNC(IF(I66&lt;0,0,I66),0)</f>
        <v/>
      </c>
      <c r="AC66" s="20">
        <f>TRUNC(IF(J66&lt;0,0,J66),0)</f>
        <v/>
      </c>
      <c r="AS66" s="64" t="n">
        <v>40</v>
      </c>
      <c r="AT66" s="5" t="n">
        <v>6</v>
      </c>
      <c r="AU66" s="5" t="n">
        <v>5</v>
      </c>
      <c r="AV66" s="5" t="n">
        <v>8</v>
      </c>
      <c r="AZ66" s="2" t="n"/>
      <c r="BA66" s="2" t="n"/>
      <c r="BB66" s="2" t="n"/>
      <c r="BE66" s="2" t="n"/>
      <c r="BF66" s="2" t="n"/>
      <c r="BG66" s="2" t="n"/>
    </row>
    <row r="67">
      <c r="G67" s="64" t="n">
        <v>41</v>
      </c>
      <c r="H67" s="64">
        <f>TRUNC((_xlfn.NORM.INV((RAND()),$E$35,$E$36)),2)</f>
        <v/>
      </c>
      <c r="I67" s="64">
        <f>TRUNC((_xlfn.NORM.INV((RAND()),$E$35,$E$36)),2)</f>
        <v/>
      </c>
      <c r="J67" s="64">
        <f>TRUNC((_xlfn.NORM.INV((RAND()),$E$35,$E$36)),2)</f>
        <v/>
      </c>
      <c r="Z67" s="64" t="n">
        <v>41</v>
      </c>
      <c r="AA67" s="20">
        <f>TRUNC(IF(H67&lt;0,0,H67),0)</f>
        <v/>
      </c>
      <c r="AB67" s="20">
        <f>TRUNC(IF(I67&lt;0,0,I67),0)</f>
        <v/>
      </c>
      <c r="AC67" s="20">
        <f>TRUNC(IF(J67&lt;0,0,J67),0)</f>
        <v/>
      </c>
      <c r="AS67" s="64" t="n">
        <v>41</v>
      </c>
      <c r="AT67" s="5" t="n">
        <v>5</v>
      </c>
      <c r="AU67" s="5" t="n">
        <v>4</v>
      </c>
      <c r="AV67" s="5" t="n">
        <v>3</v>
      </c>
      <c r="AZ67" s="2" t="n"/>
      <c r="BA67" s="2" t="n"/>
      <c r="BB67" s="2" t="n"/>
      <c r="BE67" s="2" t="n"/>
      <c r="BF67" s="2" t="n"/>
      <c r="BG67" s="2" t="n"/>
    </row>
    <row r="68">
      <c r="G68" s="64" t="n">
        <v>42</v>
      </c>
      <c r="H68" s="64">
        <f>TRUNC((_xlfn.NORM.INV((RAND()),$E$35,$E$36)),2)</f>
        <v/>
      </c>
      <c r="I68" s="64">
        <f>TRUNC((_xlfn.NORM.INV((RAND()),$E$35,$E$36)),2)</f>
        <v/>
      </c>
      <c r="J68" s="64">
        <f>TRUNC((_xlfn.NORM.INV((RAND()),$E$35,$E$36)),2)</f>
        <v/>
      </c>
      <c r="Z68" s="64" t="n">
        <v>42</v>
      </c>
      <c r="AA68" s="20">
        <f>TRUNC(IF(H68&lt;0,0,H68),0)</f>
        <v/>
      </c>
      <c r="AB68" s="20">
        <f>TRUNC(IF(I68&lt;0,0,I68),0)</f>
        <v/>
      </c>
      <c r="AC68" s="20">
        <f>TRUNC(IF(J68&lt;0,0,J68),0)</f>
        <v/>
      </c>
      <c r="AS68" s="64" t="n">
        <v>42</v>
      </c>
      <c r="AT68" s="5" t="n">
        <v>6</v>
      </c>
      <c r="AU68" s="5" t="n">
        <v>3</v>
      </c>
      <c r="AV68" s="5" t="n">
        <v>5</v>
      </c>
      <c r="AZ68" s="2" t="n"/>
      <c r="BA68" s="2" t="n"/>
      <c r="BB68" s="2" t="n"/>
      <c r="BE68" s="2" t="n"/>
      <c r="BF68" s="2" t="n"/>
      <c r="BG68" s="2" t="n"/>
    </row>
    <row r="69">
      <c r="G69" s="64" t="n">
        <v>43</v>
      </c>
      <c r="H69" s="64">
        <f>TRUNC((_xlfn.NORM.INV((RAND()),$E$35,$E$36)),2)</f>
        <v/>
      </c>
      <c r="I69" s="64">
        <f>TRUNC((_xlfn.NORM.INV((RAND()),$E$35,$E$36)),2)</f>
        <v/>
      </c>
      <c r="J69" s="64">
        <f>TRUNC((_xlfn.NORM.INV((RAND()),$E$35,$E$36)),2)</f>
        <v/>
      </c>
      <c r="Z69" s="64" t="n">
        <v>43</v>
      </c>
      <c r="AA69" s="20">
        <f>TRUNC(IF(H69&lt;0,0,H69),0)</f>
        <v/>
      </c>
      <c r="AB69" s="20">
        <f>TRUNC(IF(I69&lt;0,0,I69),0)</f>
        <v/>
      </c>
      <c r="AC69" s="20">
        <f>TRUNC(IF(J69&lt;0,0,J69),0)</f>
        <v/>
      </c>
      <c r="AS69" s="64" t="n">
        <v>43</v>
      </c>
      <c r="AT69" s="5" t="n">
        <v>6</v>
      </c>
      <c r="AU69" s="5" t="n">
        <v>6</v>
      </c>
      <c r="AV69" s="5" t="n">
        <v>5</v>
      </c>
      <c r="AZ69" s="2" t="n"/>
      <c r="BA69" s="2" t="n"/>
      <c r="BB69" s="2" t="n"/>
      <c r="BE69" s="2" t="n"/>
      <c r="BF69" s="2" t="n"/>
      <c r="BG69" s="2" t="n"/>
    </row>
    <row r="70">
      <c r="G70" s="64" t="n">
        <v>44</v>
      </c>
      <c r="H70" s="64">
        <f>TRUNC((_xlfn.NORM.INV((RAND()),$E$35,$E$36)),2)</f>
        <v/>
      </c>
      <c r="I70" s="64">
        <f>TRUNC((_xlfn.NORM.INV((RAND()),$E$35,$E$36)),2)</f>
        <v/>
      </c>
      <c r="J70" s="64">
        <f>TRUNC((_xlfn.NORM.INV((RAND()),$E$35,$E$36)),2)</f>
        <v/>
      </c>
      <c r="Z70" s="64" t="n">
        <v>44</v>
      </c>
      <c r="AA70" s="20">
        <f>TRUNC(IF(H70&lt;0,0,H70),0)</f>
        <v/>
      </c>
      <c r="AB70" s="20">
        <f>TRUNC(IF(I70&lt;0,0,I70),0)</f>
        <v/>
      </c>
      <c r="AC70" s="20">
        <f>TRUNC(IF(J70&lt;0,0,J70),0)</f>
        <v/>
      </c>
      <c r="AS70" s="64" t="n">
        <v>44</v>
      </c>
      <c r="AT70" s="5" t="n">
        <v>4</v>
      </c>
      <c r="AU70" s="5" t="n">
        <v>5</v>
      </c>
      <c r="AV70" s="5" t="n">
        <v>6</v>
      </c>
      <c r="AZ70" s="2" t="n"/>
      <c r="BA70" s="2" t="n"/>
      <c r="BB70" s="2" t="n"/>
      <c r="BE70" s="2" t="n"/>
      <c r="BF70" s="2" t="n"/>
      <c r="BG70" s="2" t="n"/>
    </row>
    <row r="71">
      <c r="G71" s="64" t="n">
        <v>45</v>
      </c>
      <c r="H71" s="64">
        <f>TRUNC((_xlfn.NORM.INV((RAND()),$E$35,$E$36)),2)</f>
        <v/>
      </c>
      <c r="I71" s="64">
        <f>TRUNC((_xlfn.NORM.INV((RAND()),$E$35,$E$36)),2)</f>
        <v/>
      </c>
      <c r="J71" s="64">
        <f>TRUNC((_xlfn.NORM.INV((RAND()),$E$35,$E$36)),2)</f>
        <v/>
      </c>
      <c r="Z71" s="64" t="n">
        <v>45</v>
      </c>
      <c r="AA71" s="20">
        <f>TRUNC(IF(H71&lt;0,0,H71),0)</f>
        <v/>
      </c>
      <c r="AB71" s="20">
        <f>TRUNC(IF(I71&lt;0,0,I71),0)</f>
        <v/>
      </c>
      <c r="AC71" s="20">
        <f>TRUNC(IF(J71&lt;0,0,J71),0)</f>
        <v/>
      </c>
      <c r="AS71" s="64" t="n">
        <v>45</v>
      </c>
      <c r="AT71" s="5" t="n">
        <v>3</v>
      </c>
      <c r="AU71" s="5" t="n">
        <v>4</v>
      </c>
      <c r="AV71" s="5" t="n">
        <v>6</v>
      </c>
      <c r="AZ71" s="2" t="n"/>
      <c r="BA71" s="2" t="n"/>
      <c r="BB71" s="2" t="n"/>
      <c r="BE71" s="2" t="n"/>
      <c r="BF71" s="2" t="n"/>
      <c r="BG71" s="2" t="n"/>
    </row>
    <row r="72">
      <c r="G72" s="64" t="n">
        <v>46</v>
      </c>
      <c r="H72" s="64">
        <f>TRUNC((_xlfn.NORM.INV((RAND()),$E$35,$E$36)),2)</f>
        <v/>
      </c>
      <c r="I72" s="64">
        <f>TRUNC((_xlfn.NORM.INV((RAND()),$E$35,$E$36)),2)</f>
        <v/>
      </c>
      <c r="J72" s="64">
        <f>TRUNC((_xlfn.NORM.INV((RAND()),$E$35,$E$36)),2)</f>
        <v/>
      </c>
      <c r="Z72" s="64" t="n">
        <v>46</v>
      </c>
      <c r="AA72" s="20">
        <f>TRUNC(IF(H72&lt;0,0,H72),0)</f>
        <v/>
      </c>
      <c r="AB72" s="20">
        <f>TRUNC(IF(I72&lt;0,0,I72),0)</f>
        <v/>
      </c>
      <c r="AC72" s="20">
        <f>TRUNC(IF(J72&lt;0,0,J72),0)</f>
        <v/>
      </c>
      <c r="AS72" s="64" t="n">
        <v>46</v>
      </c>
      <c r="AT72" s="5" t="n">
        <v>4</v>
      </c>
      <c r="AU72" s="5" t="n">
        <v>4</v>
      </c>
      <c r="AV72" s="5" t="n">
        <v>4</v>
      </c>
      <c r="AZ72" s="2" t="n"/>
      <c r="BA72" s="2" t="n"/>
      <c r="BB72" s="2" t="n"/>
      <c r="BE72" s="2" t="n"/>
      <c r="BF72" s="2" t="n"/>
      <c r="BG72" s="2" t="n"/>
    </row>
    <row r="73">
      <c r="G73" s="64" t="n">
        <v>47</v>
      </c>
      <c r="H73" s="64">
        <f>TRUNC((_xlfn.NORM.INV((RAND()),$E$35,$E$36)),2)</f>
        <v/>
      </c>
      <c r="I73" s="64">
        <f>TRUNC((_xlfn.NORM.INV((RAND()),$E$35,$E$36)),2)</f>
        <v/>
      </c>
      <c r="J73" s="64">
        <f>TRUNC((_xlfn.NORM.INV((RAND()),$E$35,$E$36)),2)</f>
        <v/>
      </c>
      <c r="Z73" s="64" t="n">
        <v>47</v>
      </c>
      <c r="AA73" s="20">
        <f>TRUNC(IF(H73&lt;0,0,H73),0)</f>
        <v/>
      </c>
      <c r="AB73" s="20">
        <f>TRUNC(IF(I73&lt;0,0,I73),0)</f>
        <v/>
      </c>
      <c r="AC73" s="20">
        <f>TRUNC(IF(J73&lt;0,0,J73),0)</f>
        <v/>
      </c>
      <c r="AS73" s="64" t="n">
        <v>47</v>
      </c>
      <c r="AT73" s="5" t="n">
        <v>6</v>
      </c>
      <c r="AU73" s="5" t="n">
        <v>5</v>
      </c>
      <c r="AV73" s="5" t="n">
        <v>6</v>
      </c>
      <c r="AZ73" s="2" t="n"/>
      <c r="BA73" s="2" t="n"/>
      <c r="BB73" s="2" t="n"/>
      <c r="BE73" s="2" t="n"/>
      <c r="BF73" s="2" t="n"/>
      <c r="BG73" s="2" t="n"/>
    </row>
    <row r="74">
      <c r="G74" s="64" t="n">
        <v>48</v>
      </c>
      <c r="H74" s="64">
        <f>TRUNC((_xlfn.NORM.INV((RAND()),$E$35,$E$36)),2)</f>
        <v/>
      </c>
      <c r="I74" s="64">
        <f>TRUNC((_xlfn.NORM.INV((RAND()),$E$35,$E$36)),2)</f>
        <v/>
      </c>
      <c r="J74" s="64">
        <f>TRUNC((_xlfn.NORM.INV((RAND()),$E$35,$E$36)),2)</f>
        <v/>
      </c>
      <c r="Z74" s="64" t="n">
        <v>48</v>
      </c>
      <c r="AA74" s="20">
        <f>TRUNC(IF(H74&lt;0,0,H74),0)</f>
        <v/>
      </c>
      <c r="AB74" s="20">
        <f>TRUNC(IF(I74&lt;0,0,I74),0)</f>
        <v/>
      </c>
      <c r="AC74" s="20">
        <f>TRUNC(IF(J74&lt;0,0,J74),0)</f>
        <v/>
      </c>
      <c r="AS74" s="64" t="n">
        <v>48</v>
      </c>
      <c r="AT74" s="5" t="n">
        <v>6</v>
      </c>
      <c r="AU74" s="5" t="n">
        <v>4</v>
      </c>
      <c r="AV74" s="5" t="n">
        <v>5</v>
      </c>
      <c r="AZ74" s="2" t="n"/>
      <c r="BA74" s="2" t="n"/>
      <c r="BB74" s="2" t="n"/>
      <c r="BE74" s="2" t="n"/>
      <c r="BF74" s="2" t="n"/>
      <c r="BG74" s="2" t="n"/>
    </row>
    <row r="75">
      <c r="G75" s="64" t="n">
        <v>49</v>
      </c>
      <c r="H75" s="64">
        <f>TRUNC((_xlfn.NORM.INV((RAND()),$E$35,$E$36)),2)</f>
        <v/>
      </c>
      <c r="I75" s="64">
        <f>TRUNC((_xlfn.NORM.INV((RAND()),$E$35,$E$36)),2)</f>
        <v/>
      </c>
      <c r="J75" s="64">
        <f>TRUNC((_xlfn.NORM.INV((RAND()),$E$35,$E$36)),2)</f>
        <v/>
      </c>
      <c r="Z75" s="64" t="n">
        <v>49</v>
      </c>
      <c r="AA75" s="20">
        <f>TRUNC(IF(H75&lt;0,0,H75),0)</f>
        <v/>
      </c>
      <c r="AB75" s="20">
        <f>TRUNC(IF(I75&lt;0,0,I75),0)</f>
        <v/>
      </c>
      <c r="AC75" s="20">
        <f>TRUNC(IF(J75&lt;0,0,J75),0)</f>
        <v/>
      </c>
      <c r="AS75" s="64" t="n">
        <v>49</v>
      </c>
      <c r="AT75" s="5" t="n">
        <v>4</v>
      </c>
      <c r="AU75" s="5" t="n">
        <v>6</v>
      </c>
      <c r="AV75" s="5" t="n">
        <v>3</v>
      </c>
      <c r="AZ75" s="2" t="n"/>
      <c r="BA75" s="2" t="n"/>
      <c r="BB75" s="2" t="n"/>
      <c r="BE75" s="2" t="n"/>
      <c r="BF75" s="2" t="n"/>
      <c r="BG75" s="2" t="n"/>
    </row>
    <row r="76">
      <c r="G76" s="64" t="n">
        <v>50</v>
      </c>
      <c r="H76" s="64">
        <f>TRUNC((_xlfn.NORM.INV((RAND()),$E$35,$E$36)),2)</f>
        <v/>
      </c>
      <c r="I76" s="64">
        <f>TRUNC((_xlfn.NORM.INV((RAND()),$E$35,$E$36)),2)</f>
        <v/>
      </c>
      <c r="J76" s="64">
        <f>TRUNC((_xlfn.NORM.INV((RAND()),$E$35,$E$36)),2)</f>
        <v/>
      </c>
      <c r="Z76" s="64" t="n">
        <v>50</v>
      </c>
      <c r="AA76" s="20">
        <f>TRUNC(IF(H76&lt;0,0,H76),0)</f>
        <v/>
      </c>
      <c r="AB76" s="20">
        <f>TRUNC(IF(I76&lt;0,0,I76),0)</f>
        <v/>
      </c>
      <c r="AC76" s="20">
        <f>TRUNC(IF(J76&lt;0,0,J76),0)</f>
        <v/>
      </c>
      <c r="AS76" s="64" t="n">
        <v>50</v>
      </c>
      <c r="AT76" s="5" t="n">
        <v>5</v>
      </c>
      <c r="AU76" s="5" t="n">
        <v>5</v>
      </c>
      <c r="AV76" s="5" t="n">
        <v>5</v>
      </c>
      <c r="AZ76" s="2" t="n"/>
      <c r="BA76" s="2" t="n"/>
      <c r="BB76" s="2" t="n"/>
      <c r="BE76" s="2" t="n"/>
      <c r="BF76" s="2" t="n"/>
      <c r="BG76" s="2" t="n"/>
    </row>
    <row r="77">
      <c r="G77" s="64" t="n">
        <v>51</v>
      </c>
      <c r="H77" s="64">
        <f>TRUNC((_xlfn.NORM.INV((RAND()),$E$35,$E$36)),2)</f>
        <v/>
      </c>
      <c r="I77" s="64">
        <f>TRUNC((_xlfn.NORM.INV((RAND()),$E$35,$E$36)),2)</f>
        <v/>
      </c>
      <c r="J77" s="64">
        <f>TRUNC((_xlfn.NORM.INV((RAND()),$E$35,$E$36)),2)</f>
        <v/>
      </c>
      <c r="Z77" s="64" t="n">
        <v>51</v>
      </c>
      <c r="AA77" s="20">
        <f>TRUNC(IF(H77&lt;0,0,H77),0)</f>
        <v/>
      </c>
      <c r="AB77" s="20">
        <f>TRUNC(IF(I77&lt;0,0,I77),0)</f>
        <v/>
      </c>
      <c r="AC77" s="20">
        <f>TRUNC(IF(J77&lt;0,0,J77),0)</f>
        <v/>
      </c>
      <c r="AS77" s="64" t="n">
        <v>51</v>
      </c>
      <c r="AT77" s="5" t="n">
        <v>8</v>
      </c>
      <c r="AU77" s="5" t="n">
        <v>8</v>
      </c>
      <c r="AV77" s="5" t="n">
        <v>3</v>
      </c>
      <c r="AZ77" s="2" t="n"/>
      <c r="BA77" s="2" t="n"/>
      <c r="BB77" s="2" t="n"/>
      <c r="BE77" s="2" t="n"/>
      <c r="BF77" s="2" t="n"/>
      <c r="BG77" s="2" t="n"/>
    </row>
    <row r="78">
      <c r="G78" s="64" t="n">
        <v>52</v>
      </c>
      <c r="H78" s="64">
        <f>TRUNC((_xlfn.NORM.INV((RAND()),$E$35,$E$36)),2)</f>
        <v/>
      </c>
      <c r="I78" s="64">
        <f>TRUNC((_xlfn.NORM.INV((RAND()),$E$35,$E$36)),2)</f>
        <v/>
      </c>
      <c r="J78" s="64">
        <f>TRUNC((_xlfn.NORM.INV((RAND()),$E$35,$E$36)),2)</f>
        <v/>
      </c>
      <c r="Z78" s="64" t="n">
        <v>52</v>
      </c>
      <c r="AA78" s="20">
        <f>TRUNC(IF(H78&lt;0,0,H78),0)</f>
        <v/>
      </c>
      <c r="AB78" s="20">
        <f>TRUNC(IF(I78&lt;0,0,I78),0)</f>
        <v/>
      </c>
      <c r="AC78" s="20">
        <f>TRUNC(IF(J78&lt;0,0,J78),0)</f>
        <v/>
      </c>
      <c r="AS78" s="64" t="n">
        <v>52</v>
      </c>
      <c r="AT78" s="5" t="n">
        <v>7</v>
      </c>
      <c r="AU78" s="5" t="n">
        <v>5</v>
      </c>
      <c r="AV78" s="5" t="n">
        <v>3</v>
      </c>
      <c r="AZ78" s="2" t="n"/>
      <c r="BA78" s="2" t="n"/>
      <c r="BB78" s="2" t="n"/>
      <c r="BE78" s="2" t="n"/>
      <c r="BF78" s="2" t="n"/>
      <c r="BG78" s="2" t="n"/>
    </row>
    <row r="79">
      <c r="G79" s="64" t="n">
        <v>53</v>
      </c>
      <c r="H79" s="64">
        <f>TRUNC((_xlfn.NORM.INV((RAND()),$E$35,$E$36)),2)</f>
        <v/>
      </c>
      <c r="I79" s="64">
        <f>TRUNC((_xlfn.NORM.INV((RAND()),$E$35,$E$36)),2)</f>
        <v/>
      </c>
      <c r="J79" s="64">
        <f>TRUNC((_xlfn.NORM.INV((RAND()),$E$35,$E$36)),2)</f>
        <v/>
      </c>
      <c r="Z79" s="64" t="n">
        <v>53</v>
      </c>
      <c r="AA79" s="20">
        <f>TRUNC(IF(H79&lt;0,0,H79),0)</f>
        <v/>
      </c>
      <c r="AB79" s="20">
        <f>TRUNC(IF(I79&lt;0,0,I79),0)</f>
        <v/>
      </c>
      <c r="AC79" s="20">
        <f>TRUNC(IF(J79&lt;0,0,J79),0)</f>
        <v/>
      </c>
      <c r="AS79" s="64" t="n">
        <v>53</v>
      </c>
      <c r="AT79" s="5" t="n">
        <v>6</v>
      </c>
      <c r="AU79" s="5" t="n">
        <v>5</v>
      </c>
      <c r="AV79" s="5" t="n">
        <v>4</v>
      </c>
      <c r="AZ79" s="2" t="n"/>
      <c r="BA79" s="2" t="n"/>
      <c r="BB79" s="2" t="n"/>
      <c r="BE79" s="2" t="n"/>
      <c r="BF79" s="2" t="n"/>
      <c r="BG79" s="2" t="n"/>
    </row>
    <row r="80">
      <c r="G80" s="64" t="n">
        <v>54</v>
      </c>
      <c r="H80" s="64">
        <f>TRUNC((_xlfn.NORM.INV((RAND()),$E$35,$E$36)),2)</f>
        <v/>
      </c>
      <c r="I80" s="64">
        <f>TRUNC((_xlfn.NORM.INV((RAND()),$E$35,$E$36)),2)</f>
        <v/>
      </c>
      <c r="J80" s="64">
        <f>TRUNC((_xlfn.NORM.INV((RAND()),$E$35,$E$36)),2)</f>
        <v/>
      </c>
      <c r="Z80" s="64" t="n">
        <v>54</v>
      </c>
      <c r="AA80" s="20">
        <f>TRUNC(IF(H80&lt;0,0,H80),0)</f>
        <v/>
      </c>
      <c r="AB80" s="20">
        <f>TRUNC(IF(I80&lt;0,0,I80),0)</f>
        <v/>
      </c>
      <c r="AC80" s="20">
        <f>TRUNC(IF(J80&lt;0,0,J80),0)</f>
        <v/>
      </c>
      <c r="AS80" s="64" t="n">
        <v>54</v>
      </c>
      <c r="AT80" s="5" t="n">
        <v>5</v>
      </c>
      <c r="AU80" s="5" t="n">
        <v>4</v>
      </c>
      <c r="AV80" s="5" t="n">
        <v>6</v>
      </c>
      <c r="AZ80" s="2" t="n"/>
      <c r="BA80" s="2" t="n"/>
      <c r="BB80" s="2" t="n"/>
      <c r="BE80" s="2" t="n"/>
      <c r="BF80" s="2" t="n"/>
      <c r="BG80" s="2" t="n"/>
    </row>
    <row r="81">
      <c r="G81" s="64" t="n">
        <v>55</v>
      </c>
      <c r="H81" s="64">
        <f>TRUNC((_xlfn.NORM.INV((RAND()),$E$35,$E$36)),2)</f>
        <v/>
      </c>
      <c r="I81" s="64">
        <f>TRUNC((_xlfn.NORM.INV((RAND()),$E$35,$E$36)),2)</f>
        <v/>
      </c>
      <c r="J81" s="64">
        <f>TRUNC((_xlfn.NORM.INV((RAND()),$E$35,$E$36)),2)</f>
        <v/>
      </c>
      <c r="Z81" s="64" t="n">
        <v>55</v>
      </c>
      <c r="AA81" s="20">
        <f>TRUNC(IF(H81&lt;0,0,H81),0)</f>
        <v/>
      </c>
      <c r="AB81" s="20">
        <f>TRUNC(IF(I81&lt;0,0,I81),0)</f>
        <v/>
      </c>
      <c r="AC81" s="20">
        <f>TRUNC(IF(J81&lt;0,0,J81),0)</f>
        <v/>
      </c>
      <c r="AS81" s="64" t="n">
        <v>55</v>
      </c>
      <c r="AT81" s="5" t="n">
        <v>5</v>
      </c>
      <c r="AU81" s="5" t="n">
        <v>5</v>
      </c>
      <c r="AV81" s="5" t="n">
        <v>6</v>
      </c>
      <c r="AZ81" s="2" t="n"/>
      <c r="BA81" s="2" t="n"/>
      <c r="BB81" s="2" t="n"/>
      <c r="BE81" s="2" t="n"/>
      <c r="BF81" s="2" t="n"/>
      <c r="BG81" s="2" t="n"/>
    </row>
    <row r="82">
      <c r="G82" s="64" t="n">
        <v>56</v>
      </c>
      <c r="H82" s="64">
        <f>TRUNC((_xlfn.NORM.INV((RAND()),$E$35,$E$36)),2)</f>
        <v/>
      </c>
      <c r="I82" s="64">
        <f>TRUNC((_xlfn.NORM.INV((RAND()),$E$35,$E$36)),2)</f>
        <v/>
      </c>
      <c r="J82" s="64">
        <f>TRUNC((_xlfn.NORM.INV((RAND()),$E$35,$E$36)),2)</f>
        <v/>
      </c>
      <c r="Z82" s="64" t="n">
        <v>56</v>
      </c>
      <c r="AA82" s="20">
        <f>TRUNC(IF(H82&lt;0,0,H82),0)</f>
        <v/>
      </c>
      <c r="AB82" s="20">
        <f>TRUNC(IF(I82&lt;0,0,I82),0)</f>
        <v/>
      </c>
      <c r="AC82" s="20">
        <f>TRUNC(IF(J82&lt;0,0,J82),0)</f>
        <v/>
      </c>
      <c r="AS82" s="64" t="n">
        <v>56</v>
      </c>
      <c r="AT82" s="5" t="n">
        <v>5</v>
      </c>
      <c r="AU82" s="5" t="n">
        <v>7</v>
      </c>
      <c r="AV82" s="5" t="n">
        <v>2</v>
      </c>
      <c r="AZ82" s="2" t="n"/>
      <c r="BA82" s="2" t="n"/>
      <c r="BB82" s="2" t="n"/>
      <c r="BE82" s="2" t="n"/>
      <c r="BF82" s="2" t="n"/>
      <c r="BG82" s="2" t="n"/>
    </row>
    <row r="83">
      <c r="G83" s="64" t="n">
        <v>57</v>
      </c>
      <c r="H83" s="64">
        <f>TRUNC((_xlfn.NORM.INV((RAND()),$E$35,$E$36)),2)</f>
        <v/>
      </c>
      <c r="I83" s="64">
        <f>TRUNC((_xlfn.NORM.INV((RAND()),$E$35,$E$36)),2)</f>
        <v/>
      </c>
      <c r="J83" s="64">
        <f>TRUNC((_xlfn.NORM.INV((RAND()),$E$35,$E$36)),2)</f>
        <v/>
      </c>
      <c r="Z83" s="64" t="n">
        <v>57</v>
      </c>
      <c r="AA83" s="20">
        <f>TRUNC(IF(H83&lt;0,0,H83),0)</f>
        <v/>
      </c>
      <c r="AB83" s="20">
        <f>TRUNC(IF(I83&lt;0,0,I83),0)</f>
        <v/>
      </c>
      <c r="AC83" s="20">
        <f>TRUNC(IF(J83&lt;0,0,J83),0)</f>
        <v/>
      </c>
      <c r="AS83" s="64" t="n">
        <v>57</v>
      </c>
      <c r="AT83" s="5" t="n">
        <v>3</v>
      </c>
      <c r="AU83" s="5" t="n">
        <v>6</v>
      </c>
      <c r="AV83" s="5" t="n">
        <v>6</v>
      </c>
      <c r="AZ83" s="2" t="n"/>
      <c r="BA83" s="2" t="n"/>
      <c r="BB83" s="2" t="n"/>
      <c r="BE83" s="2" t="n"/>
      <c r="BF83" s="2" t="n"/>
      <c r="BG83" s="2" t="n"/>
    </row>
    <row r="84">
      <c r="G84" s="64" t="n">
        <v>58</v>
      </c>
      <c r="H84" s="64">
        <f>TRUNC((_xlfn.NORM.INV((RAND()),$E$35,$E$36)),2)</f>
        <v/>
      </c>
      <c r="I84" s="64">
        <f>TRUNC((_xlfn.NORM.INV((RAND()),$E$35,$E$36)),2)</f>
        <v/>
      </c>
      <c r="J84" s="64">
        <f>TRUNC((_xlfn.NORM.INV((RAND()),$E$35,$E$36)),2)</f>
        <v/>
      </c>
      <c r="Z84" s="64" t="n">
        <v>58</v>
      </c>
      <c r="AA84" s="20">
        <f>TRUNC(IF(H84&lt;0,0,H84),0)</f>
        <v/>
      </c>
      <c r="AB84" s="20">
        <f>TRUNC(IF(I84&lt;0,0,I84),0)</f>
        <v/>
      </c>
      <c r="AC84" s="20">
        <f>TRUNC(IF(J84&lt;0,0,J84),0)</f>
        <v/>
      </c>
      <c r="AS84" s="64" t="n">
        <v>58</v>
      </c>
      <c r="AT84" s="5" t="n">
        <v>3</v>
      </c>
      <c r="AU84" s="5" t="n">
        <v>7</v>
      </c>
      <c r="AV84" s="5" t="n">
        <v>5</v>
      </c>
      <c r="AZ84" s="2" t="n"/>
      <c r="BA84" s="2" t="n"/>
      <c r="BB84" s="2" t="n"/>
      <c r="BE84" s="2" t="n"/>
      <c r="BF84" s="2" t="n"/>
      <c r="BG84" s="2" t="n"/>
    </row>
    <row r="85">
      <c r="G85" s="64" t="n">
        <v>59</v>
      </c>
      <c r="H85" s="64">
        <f>TRUNC((_xlfn.NORM.INV((RAND()),$E$35,$E$36)),2)</f>
        <v/>
      </c>
      <c r="I85" s="64">
        <f>TRUNC((_xlfn.NORM.INV((RAND()),$E$35,$E$36)),2)</f>
        <v/>
      </c>
      <c r="J85" s="64">
        <f>TRUNC((_xlfn.NORM.INV((RAND()),$E$35,$E$36)),2)</f>
        <v/>
      </c>
      <c r="Z85" s="64" t="n">
        <v>59</v>
      </c>
      <c r="AA85" s="20">
        <f>TRUNC(IF(H85&lt;0,0,H85),0)</f>
        <v/>
      </c>
      <c r="AB85" s="20">
        <f>TRUNC(IF(I85&lt;0,0,I85),0)</f>
        <v/>
      </c>
      <c r="AC85" s="20">
        <f>TRUNC(IF(J85&lt;0,0,J85),0)</f>
        <v/>
      </c>
      <c r="AS85" s="64" t="n">
        <v>59</v>
      </c>
      <c r="AT85" s="5" t="n">
        <v>3</v>
      </c>
      <c r="AU85" s="5" t="n">
        <v>5</v>
      </c>
      <c r="AV85" s="5" t="n">
        <v>6</v>
      </c>
      <c r="AZ85" s="2" t="n"/>
      <c r="BA85" s="2" t="n"/>
      <c r="BB85" s="2" t="n"/>
      <c r="BE85" s="2" t="n"/>
      <c r="BF85" s="2" t="n"/>
      <c r="BG85" s="2" t="n"/>
    </row>
    <row r="86">
      <c r="G86" s="64" t="n">
        <v>60</v>
      </c>
      <c r="H86" s="64">
        <f>TRUNC((_xlfn.NORM.INV((RAND()),$E$35,$E$36)),2)</f>
        <v/>
      </c>
      <c r="I86" s="64">
        <f>TRUNC((_xlfn.NORM.INV((RAND()),$E$35,$E$36)),2)</f>
        <v/>
      </c>
      <c r="J86" s="64">
        <f>TRUNC((_xlfn.NORM.INV((RAND()),$E$35,$E$36)),2)</f>
        <v/>
      </c>
      <c r="Z86" s="64" t="n">
        <v>60</v>
      </c>
      <c r="AA86" s="20">
        <f>TRUNC(IF(H86&lt;0,0,H86),0)</f>
        <v/>
      </c>
      <c r="AB86" s="20">
        <f>TRUNC(IF(I86&lt;0,0,I86),0)</f>
        <v/>
      </c>
      <c r="AC86" s="20">
        <f>TRUNC(IF(J86&lt;0,0,J86),0)</f>
        <v/>
      </c>
      <c r="AS86" s="64" t="n">
        <v>60</v>
      </c>
      <c r="AT86" s="5" t="n">
        <v>4</v>
      </c>
      <c r="AU86" s="5" t="n">
        <v>4</v>
      </c>
      <c r="AV86" s="5" t="n">
        <v>7</v>
      </c>
      <c r="AZ86" s="2" t="n"/>
      <c r="BA86" s="2" t="n"/>
      <c r="BB86" s="2" t="n"/>
      <c r="BE86" s="2" t="n"/>
      <c r="BF86" s="2" t="n"/>
      <c r="BG86" s="2" t="n"/>
    </row>
    <row r="87">
      <c r="G87" s="64" t="n">
        <v>61</v>
      </c>
      <c r="H87" s="64">
        <f>TRUNC((_xlfn.NORM.INV((RAND()),$E$35,$E$36)),2)</f>
        <v/>
      </c>
      <c r="I87" s="64">
        <f>TRUNC((_xlfn.NORM.INV((RAND()),$E$35,$E$36)),2)</f>
        <v/>
      </c>
      <c r="J87" s="64">
        <f>TRUNC((_xlfn.NORM.INV((RAND()),$E$35,$E$36)),2)</f>
        <v/>
      </c>
      <c r="Z87" s="64" t="n">
        <v>61</v>
      </c>
      <c r="AA87" s="20">
        <f>TRUNC(IF(H87&lt;0,0,H87),0)</f>
        <v/>
      </c>
      <c r="AB87" s="20">
        <f>TRUNC(IF(I87&lt;0,0,I87),0)</f>
        <v/>
      </c>
      <c r="AC87" s="20">
        <f>TRUNC(IF(J87&lt;0,0,J87),0)</f>
        <v/>
      </c>
      <c r="AS87" s="64" t="n">
        <v>61</v>
      </c>
      <c r="AT87" s="5" t="n">
        <v>4</v>
      </c>
      <c r="AU87" s="5" t="n">
        <v>6</v>
      </c>
      <c r="AV87" s="5" t="n">
        <v>4</v>
      </c>
      <c r="AZ87" s="2" t="n"/>
      <c r="BA87" s="2" t="n"/>
      <c r="BB87" s="2" t="n"/>
      <c r="BE87" s="2" t="n"/>
      <c r="BF87" s="2" t="n"/>
      <c r="BG87" s="2" t="n"/>
    </row>
    <row r="88">
      <c r="G88" s="64" t="n">
        <v>62</v>
      </c>
      <c r="H88" s="64">
        <f>TRUNC((_xlfn.NORM.INV((RAND()),$E$35,$E$36)),2)</f>
        <v/>
      </c>
      <c r="I88" s="64">
        <f>TRUNC((_xlfn.NORM.INV((RAND()),$E$35,$E$36)),2)</f>
        <v/>
      </c>
      <c r="J88" s="64">
        <f>TRUNC((_xlfn.NORM.INV((RAND()),$E$35,$E$36)),2)</f>
        <v/>
      </c>
      <c r="Z88" s="64" t="n">
        <v>62</v>
      </c>
      <c r="AA88" s="20">
        <f>TRUNC(IF(H88&lt;0,0,H88),0)</f>
        <v/>
      </c>
      <c r="AB88" s="20">
        <f>TRUNC(IF(I88&lt;0,0,I88),0)</f>
        <v/>
      </c>
      <c r="AC88" s="20">
        <f>TRUNC(IF(J88&lt;0,0,J88),0)</f>
        <v/>
      </c>
      <c r="AS88" s="64" t="n">
        <v>62</v>
      </c>
      <c r="AT88" s="5" t="n">
        <v>3</v>
      </c>
      <c r="AU88" s="5" t="n">
        <v>6</v>
      </c>
      <c r="AV88" s="5" t="n">
        <v>4</v>
      </c>
      <c r="AZ88" s="2" t="n"/>
      <c r="BA88" s="2" t="n"/>
      <c r="BB88" s="2" t="n"/>
      <c r="BE88" s="2" t="n"/>
      <c r="BF88" s="2" t="n"/>
      <c r="BG88" s="2" t="n"/>
    </row>
    <row r="89">
      <c r="G89" s="64" t="n">
        <v>63</v>
      </c>
      <c r="H89" s="64">
        <f>TRUNC((_xlfn.NORM.INV((RAND()),$E$35,$E$36)),2)</f>
        <v/>
      </c>
      <c r="I89" s="64">
        <f>TRUNC((_xlfn.NORM.INV((RAND()),$E$35,$E$36)),2)</f>
        <v/>
      </c>
      <c r="J89" s="64">
        <f>TRUNC((_xlfn.NORM.INV((RAND()),$E$35,$E$36)),2)</f>
        <v/>
      </c>
      <c r="Z89" s="64" t="n">
        <v>63</v>
      </c>
      <c r="AA89" s="20">
        <f>TRUNC(IF(H89&lt;0,0,H89),0)</f>
        <v/>
      </c>
      <c r="AB89" s="20">
        <f>TRUNC(IF(I89&lt;0,0,I89),0)</f>
        <v/>
      </c>
      <c r="AC89" s="20">
        <f>TRUNC(IF(J89&lt;0,0,J89),0)</f>
        <v/>
      </c>
      <c r="AS89" s="64" t="n">
        <v>63</v>
      </c>
      <c r="AT89" s="5" t="n">
        <v>4</v>
      </c>
      <c r="AU89" s="5" t="n">
        <v>7</v>
      </c>
      <c r="AV89" s="5" t="n">
        <v>2</v>
      </c>
      <c r="AZ89" s="2" t="n"/>
      <c r="BA89" s="2" t="n"/>
      <c r="BB89" s="2" t="n"/>
      <c r="BE89" s="2" t="n"/>
      <c r="BF89" s="2" t="n"/>
      <c r="BG89" s="2" t="n"/>
    </row>
    <row r="90">
      <c r="G90" s="64" t="n">
        <v>64</v>
      </c>
      <c r="H90" s="64">
        <f>TRUNC((_xlfn.NORM.INV((RAND()),$E$35,$E$36)),2)</f>
        <v/>
      </c>
      <c r="I90" s="64">
        <f>TRUNC((_xlfn.NORM.INV((RAND()),$E$35,$E$36)),2)</f>
        <v/>
      </c>
      <c r="J90" s="64">
        <f>TRUNC((_xlfn.NORM.INV((RAND()),$E$35,$E$36)),2)</f>
        <v/>
      </c>
      <c r="Z90" s="64" t="n">
        <v>64</v>
      </c>
      <c r="AA90" s="20">
        <f>TRUNC(IF(H90&lt;0,0,H90),0)</f>
        <v/>
      </c>
      <c r="AB90" s="20">
        <f>TRUNC(IF(I90&lt;0,0,I90),0)</f>
        <v/>
      </c>
      <c r="AC90" s="20">
        <f>TRUNC(IF(J90&lt;0,0,J90),0)</f>
        <v/>
      </c>
      <c r="AS90" s="64" t="n">
        <v>64</v>
      </c>
      <c r="AT90" s="5" t="n">
        <v>6</v>
      </c>
      <c r="AU90" s="5" t="n">
        <v>2</v>
      </c>
      <c r="AV90" s="5" t="n">
        <v>2</v>
      </c>
      <c r="AZ90" s="2" t="n"/>
      <c r="BA90" s="2" t="n"/>
      <c r="BB90" s="2" t="n"/>
      <c r="BE90" s="2" t="n"/>
      <c r="BF90" s="2" t="n"/>
      <c r="BG90" s="2" t="n"/>
    </row>
    <row r="91">
      <c r="G91" s="64" t="n">
        <v>65</v>
      </c>
      <c r="H91" s="64">
        <f>TRUNC((_xlfn.NORM.INV((RAND()),$E$35,$E$36)),2)</f>
        <v/>
      </c>
      <c r="I91" s="64">
        <f>TRUNC((_xlfn.NORM.INV((RAND()),$E$35,$E$36)),2)</f>
        <v/>
      </c>
      <c r="J91" s="64">
        <f>TRUNC((_xlfn.NORM.INV((RAND()),$E$35,$E$36)),2)</f>
        <v/>
      </c>
      <c r="Z91" s="64" t="n">
        <v>65</v>
      </c>
      <c r="AA91" s="20">
        <f>TRUNC(IF(H91&lt;0,0,H91),0)</f>
        <v/>
      </c>
      <c r="AB91" s="20">
        <f>TRUNC(IF(I91&lt;0,0,I91),0)</f>
        <v/>
      </c>
      <c r="AC91" s="20">
        <f>TRUNC(IF(J91&lt;0,0,J91),0)</f>
        <v/>
      </c>
      <c r="AS91" s="64" t="n">
        <v>65</v>
      </c>
      <c r="AT91" s="5" t="n">
        <v>4</v>
      </c>
      <c r="AU91" s="5" t="n">
        <v>6</v>
      </c>
      <c r="AV91" s="5" t="n">
        <v>4</v>
      </c>
      <c r="AZ91" s="2" t="n"/>
      <c r="BA91" s="2" t="n"/>
      <c r="BB91" s="2" t="n"/>
      <c r="BE91" s="2" t="n"/>
      <c r="BF91" s="2" t="n"/>
      <c r="BG91" s="2" t="n"/>
    </row>
    <row r="92">
      <c r="G92" s="64" t="n">
        <v>66</v>
      </c>
      <c r="H92" s="64">
        <f>TRUNC((_xlfn.NORM.INV((RAND()),$E$35,$E$36)),2)</f>
        <v/>
      </c>
      <c r="I92" s="64">
        <f>TRUNC((_xlfn.NORM.INV((RAND()),$E$35,$E$36)),2)</f>
        <v/>
      </c>
      <c r="J92" s="64">
        <f>TRUNC((_xlfn.NORM.INV((RAND()),$E$35,$E$36)),2)</f>
        <v/>
      </c>
      <c r="Z92" s="64" t="n">
        <v>66</v>
      </c>
      <c r="AA92" s="20">
        <f>TRUNC(IF(H92&lt;0,0,H92),0)</f>
        <v/>
      </c>
      <c r="AB92" s="20">
        <f>TRUNC(IF(I92&lt;0,0,I92),0)</f>
        <v/>
      </c>
      <c r="AC92" s="20">
        <f>TRUNC(IF(J92&lt;0,0,J92),0)</f>
        <v/>
      </c>
      <c r="AS92" s="64" t="n">
        <v>66</v>
      </c>
      <c r="AT92" s="5" t="n">
        <v>4</v>
      </c>
      <c r="AU92" s="5" t="n">
        <v>7</v>
      </c>
      <c r="AV92" s="5" t="n">
        <v>4</v>
      </c>
      <c r="AZ92" s="2" t="n"/>
      <c r="BA92" s="2" t="n"/>
      <c r="BB92" s="2" t="n"/>
      <c r="BE92" s="2" t="n"/>
      <c r="BF92" s="2" t="n"/>
      <c r="BG92" s="2" t="n"/>
    </row>
    <row r="93">
      <c r="G93" s="64" t="n">
        <v>67</v>
      </c>
      <c r="H93" s="64">
        <f>TRUNC((_xlfn.NORM.INV((RAND()),$E$35,$E$36)),2)</f>
        <v/>
      </c>
      <c r="I93" s="64">
        <f>TRUNC((_xlfn.NORM.INV((RAND()),$E$35,$E$36)),2)</f>
        <v/>
      </c>
      <c r="J93" s="64">
        <f>TRUNC((_xlfn.NORM.INV((RAND()),$E$35,$E$36)),2)</f>
        <v/>
      </c>
      <c r="Z93" s="64" t="n">
        <v>67</v>
      </c>
      <c r="AA93" s="20">
        <f>TRUNC(IF(H93&lt;0,0,H93),0)</f>
        <v/>
      </c>
      <c r="AB93" s="20">
        <f>TRUNC(IF(I93&lt;0,0,I93),0)</f>
        <v/>
      </c>
      <c r="AC93" s="20">
        <f>TRUNC(IF(J93&lt;0,0,J93),0)</f>
        <v/>
      </c>
      <c r="AS93" s="64" t="n">
        <v>67</v>
      </c>
      <c r="AT93" s="5" t="n">
        <v>4</v>
      </c>
      <c r="AU93" s="5" t="n">
        <v>5</v>
      </c>
      <c r="AV93" s="5" t="n">
        <v>4</v>
      </c>
      <c r="AZ93" s="2" t="n"/>
      <c r="BA93" s="2" t="n"/>
      <c r="BB93" s="2" t="n"/>
      <c r="BE93" s="2" t="n"/>
      <c r="BF93" s="2" t="n"/>
      <c r="BG93" s="2" t="n"/>
    </row>
    <row r="94">
      <c r="G94" s="64" t="n">
        <v>68</v>
      </c>
      <c r="H94" s="64">
        <f>TRUNC((_xlfn.NORM.INV((RAND()),$E$35,$E$36)),2)</f>
        <v/>
      </c>
      <c r="I94" s="64">
        <f>TRUNC((_xlfn.NORM.INV((RAND()),$E$35,$E$36)),2)</f>
        <v/>
      </c>
      <c r="J94" s="64">
        <f>TRUNC((_xlfn.NORM.INV((RAND()),$E$35,$E$36)),2)</f>
        <v/>
      </c>
      <c r="Z94" s="64" t="n">
        <v>68</v>
      </c>
      <c r="AA94" s="20">
        <f>TRUNC(IF(H94&lt;0,0,H94),0)</f>
        <v/>
      </c>
      <c r="AB94" s="20">
        <f>TRUNC(IF(I94&lt;0,0,I94),0)</f>
        <v/>
      </c>
      <c r="AC94" s="20">
        <f>TRUNC(IF(J94&lt;0,0,J94),0)</f>
        <v/>
      </c>
      <c r="AS94" s="64" t="n">
        <v>68</v>
      </c>
      <c r="AT94" s="5" t="n">
        <v>7</v>
      </c>
      <c r="AU94" s="5" t="n">
        <v>6</v>
      </c>
      <c r="AV94" s="5" t="n">
        <v>3</v>
      </c>
      <c r="AZ94" s="2" t="n"/>
      <c r="BA94" s="2" t="n"/>
      <c r="BB94" s="2" t="n"/>
      <c r="BE94" s="2" t="n"/>
      <c r="BF94" s="2" t="n"/>
      <c r="BG94" s="2" t="n"/>
    </row>
    <row r="95">
      <c r="G95" s="64" t="n">
        <v>69</v>
      </c>
      <c r="H95" s="64">
        <f>TRUNC((_xlfn.NORM.INV((RAND()),$E$35,$E$36)),2)</f>
        <v/>
      </c>
      <c r="I95" s="64">
        <f>TRUNC((_xlfn.NORM.INV((RAND()),$E$35,$E$36)),2)</f>
        <v/>
      </c>
      <c r="J95" s="64">
        <f>TRUNC((_xlfn.NORM.INV((RAND()),$E$35,$E$36)),2)</f>
        <v/>
      </c>
      <c r="Z95" s="64" t="n">
        <v>69</v>
      </c>
      <c r="AA95" s="20">
        <f>TRUNC(IF(H95&lt;0,0,H95),0)</f>
        <v/>
      </c>
      <c r="AB95" s="20">
        <f>TRUNC(IF(I95&lt;0,0,I95),0)</f>
        <v/>
      </c>
      <c r="AC95" s="20">
        <f>TRUNC(IF(J95&lt;0,0,J95),0)</f>
        <v/>
      </c>
      <c r="AS95" s="64" t="n">
        <v>69</v>
      </c>
      <c r="AT95" s="5" t="n">
        <v>6</v>
      </c>
      <c r="AU95" s="5" t="n">
        <v>3</v>
      </c>
      <c r="AV95" s="5" t="n">
        <v>6</v>
      </c>
      <c r="AZ95" s="2" t="n"/>
      <c r="BA95" s="2" t="n"/>
      <c r="BB95" s="2" t="n"/>
      <c r="BE95" s="2" t="n"/>
      <c r="BF95" s="2" t="n"/>
      <c r="BG95" s="2" t="n"/>
    </row>
    <row r="96">
      <c r="G96" s="64" t="n">
        <v>70</v>
      </c>
      <c r="H96" s="64">
        <f>TRUNC((_xlfn.NORM.INV((RAND()),$E$35,$E$36)),2)</f>
        <v/>
      </c>
      <c r="I96" s="64">
        <f>TRUNC((_xlfn.NORM.INV((RAND()),$E$35,$E$36)),2)</f>
        <v/>
      </c>
      <c r="J96" s="64">
        <f>TRUNC((_xlfn.NORM.INV((RAND()),$E$35,$E$36)),2)</f>
        <v/>
      </c>
      <c r="Z96" s="64" t="n">
        <v>70</v>
      </c>
      <c r="AA96" s="20">
        <f>TRUNC(IF(H96&lt;0,0,H96),0)</f>
        <v/>
      </c>
      <c r="AB96" s="20">
        <f>TRUNC(IF(I96&lt;0,0,I96),0)</f>
        <v/>
      </c>
      <c r="AC96" s="20">
        <f>TRUNC(IF(J96&lt;0,0,J96),0)</f>
        <v/>
      </c>
      <c r="AS96" s="64" t="n">
        <v>70</v>
      </c>
      <c r="AT96" s="5" t="n">
        <v>2</v>
      </c>
      <c r="AU96" s="5" t="n">
        <v>3</v>
      </c>
      <c r="AV96" s="5" t="n">
        <v>5</v>
      </c>
      <c r="AZ96" s="2" t="n"/>
      <c r="BA96" s="2" t="n"/>
      <c r="BB96" s="2" t="n"/>
      <c r="BE96" s="2" t="n"/>
      <c r="BF96" s="2" t="n"/>
      <c r="BG96" s="2" t="n"/>
    </row>
    <row r="97">
      <c r="G97" s="64" t="n">
        <v>71</v>
      </c>
      <c r="H97" s="64">
        <f>TRUNC((_xlfn.NORM.INV((RAND()),$E$35,$E$36)),2)</f>
        <v/>
      </c>
      <c r="I97" s="64">
        <f>TRUNC((_xlfn.NORM.INV((RAND()),$E$35,$E$36)),2)</f>
        <v/>
      </c>
      <c r="J97" s="64">
        <f>TRUNC((_xlfn.NORM.INV((RAND()),$E$35,$E$36)),2)</f>
        <v/>
      </c>
      <c r="Z97" s="64" t="n">
        <v>71</v>
      </c>
      <c r="AA97" s="20">
        <f>TRUNC(IF(H97&lt;0,0,H97),0)</f>
        <v/>
      </c>
      <c r="AB97" s="20">
        <f>TRUNC(IF(I97&lt;0,0,I97),0)</f>
        <v/>
      </c>
      <c r="AC97" s="20">
        <f>TRUNC(IF(J97&lt;0,0,J97),0)</f>
        <v/>
      </c>
      <c r="AS97" s="64" t="n">
        <v>71</v>
      </c>
      <c r="AT97" s="5" t="n">
        <v>6</v>
      </c>
      <c r="AU97" s="5" t="n">
        <v>5</v>
      </c>
      <c r="AV97" s="5" t="n">
        <v>3</v>
      </c>
      <c r="AZ97" s="2" t="n"/>
      <c r="BA97" s="2" t="n"/>
      <c r="BB97" s="2" t="n"/>
      <c r="BE97" s="2" t="n"/>
      <c r="BF97" s="2" t="n"/>
      <c r="BG97" s="2" t="n"/>
    </row>
    <row r="98">
      <c r="G98" s="64" t="n">
        <v>72</v>
      </c>
      <c r="H98" s="64">
        <f>TRUNC((_xlfn.NORM.INV((RAND()),$E$35,$E$36)),2)</f>
        <v/>
      </c>
      <c r="I98" s="64">
        <f>TRUNC((_xlfn.NORM.INV((RAND()),$E$35,$E$36)),2)</f>
        <v/>
      </c>
      <c r="J98" s="64">
        <f>TRUNC((_xlfn.NORM.INV((RAND()),$E$35,$E$36)),2)</f>
        <v/>
      </c>
      <c r="Z98" s="64" t="n">
        <v>72</v>
      </c>
      <c r="AA98" s="20">
        <f>TRUNC(IF(H98&lt;0,0,H98),0)</f>
        <v/>
      </c>
      <c r="AB98" s="20">
        <f>TRUNC(IF(I98&lt;0,0,I98),0)</f>
        <v/>
      </c>
      <c r="AC98" s="20">
        <f>TRUNC(IF(J98&lt;0,0,J98),0)</f>
        <v/>
      </c>
      <c r="AS98" s="64" t="n">
        <v>72</v>
      </c>
      <c r="AT98" s="5" t="n">
        <v>4</v>
      </c>
      <c r="AU98" s="5" t="n">
        <v>7</v>
      </c>
      <c r="AV98" s="5" t="n">
        <v>7</v>
      </c>
      <c r="AZ98" s="2" t="n"/>
      <c r="BA98" s="2" t="n"/>
      <c r="BB98" s="2" t="n"/>
      <c r="BE98" s="2" t="n"/>
      <c r="BF98" s="2" t="n"/>
      <c r="BG98" s="2" t="n"/>
    </row>
    <row r="99">
      <c r="G99" s="64" t="n">
        <v>73</v>
      </c>
      <c r="H99" s="64">
        <f>TRUNC((_xlfn.NORM.INV((RAND()),$E$35,$E$36)),2)</f>
        <v/>
      </c>
      <c r="I99" s="64">
        <f>TRUNC((_xlfn.NORM.INV((RAND()),$E$35,$E$36)),2)</f>
        <v/>
      </c>
      <c r="J99" s="64">
        <f>TRUNC((_xlfn.NORM.INV((RAND()),$E$35,$E$36)),2)</f>
        <v/>
      </c>
      <c r="Z99" s="64" t="n">
        <v>73</v>
      </c>
      <c r="AA99" s="20">
        <f>TRUNC(IF(H99&lt;0,0,H99),0)</f>
        <v/>
      </c>
      <c r="AB99" s="20">
        <f>TRUNC(IF(I99&lt;0,0,I99),0)</f>
        <v/>
      </c>
      <c r="AC99" s="20">
        <f>TRUNC(IF(J99&lt;0,0,J99),0)</f>
        <v/>
      </c>
      <c r="AS99" s="64" t="n">
        <v>73</v>
      </c>
      <c r="AT99" s="5" t="n">
        <v>5</v>
      </c>
      <c r="AU99" s="5" t="n">
        <v>5</v>
      </c>
      <c r="AV99" s="5" t="n">
        <v>6</v>
      </c>
      <c r="AZ99" s="2" t="n"/>
      <c r="BA99" s="2" t="n"/>
      <c r="BB99" s="2" t="n"/>
      <c r="BE99" s="2" t="n"/>
      <c r="BF99" s="2" t="n"/>
      <c r="BG99" s="2" t="n"/>
    </row>
    <row r="100">
      <c r="G100" s="64" t="n">
        <v>74</v>
      </c>
      <c r="H100" s="64">
        <f>TRUNC((_xlfn.NORM.INV((RAND()),$E$35,$E$36)),2)</f>
        <v/>
      </c>
      <c r="I100" s="64">
        <f>TRUNC((_xlfn.NORM.INV((RAND()),$E$35,$E$36)),2)</f>
        <v/>
      </c>
      <c r="J100" s="64">
        <f>TRUNC((_xlfn.NORM.INV((RAND()),$E$35,$E$36)),2)</f>
        <v/>
      </c>
      <c r="Z100" s="64" t="n">
        <v>74</v>
      </c>
      <c r="AA100" s="20">
        <f>TRUNC(IF(H100&lt;0,0,H100),0)</f>
        <v/>
      </c>
      <c r="AB100" s="20">
        <f>TRUNC(IF(I100&lt;0,0,I100),0)</f>
        <v/>
      </c>
      <c r="AC100" s="20">
        <f>TRUNC(IF(J100&lt;0,0,J100),0)</f>
        <v/>
      </c>
      <c r="AS100" s="64" t="n">
        <v>74</v>
      </c>
      <c r="AT100" s="5" t="n">
        <v>5</v>
      </c>
      <c r="AU100" s="5" t="n">
        <v>6</v>
      </c>
      <c r="AV100" s="5" t="n">
        <v>6</v>
      </c>
      <c r="AZ100" s="2" t="n"/>
      <c r="BA100" s="2" t="n"/>
      <c r="BB100" s="2" t="n"/>
      <c r="BE100" s="2" t="n"/>
      <c r="BF100" s="2" t="n"/>
      <c r="BG100" s="2" t="n"/>
    </row>
    <row r="101">
      <c r="G101" s="64" t="n">
        <v>75</v>
      </c>
      <c r="H101" s="64">
        <f>TRUNC((_xlfn.NORM.INV((RAND()),$E$35,$E$36)),2)</f>
        <v/>
      </c>
      <c r="I101" s="64">
        <f>TRUNC((_xlfn.NORM.INV((RAND()),$E$35,$E$36)),2)</f>
        <v/>
      </c>
      <c r="J101" s="64">
        <f>TRUNC((_xlfn.NORM.INV((RAND()),$E$35,$E$36)),2)</f>
        <v/>
      </c>
      <c r="Z101" s="64" t="n">
        <v>75</v>
      </c>
      <c r="AA101" s="20">
        <f>TRUNC(IF(H101&lt;0,0,H101),0)</f>
        <v/>
      </c>
      <c r="AB101" s="20">
        <f>TRUNC(IF(I101&lt;0,0,I101),0)</f>
        <v/>
      </c>
      <c r="AC101" s="20">
        <f>TRUNC(IF(J101&lt;0,0,J101),0)</f>
        <v/>
      </c>
      <c r="AS101" s="64" t="n">
        <v>75</v>
      </c>
      <c r="AT101" s="5" t="n">
        <v>4</v>
      </c>
      <c r="AU101" s="5" t="n">
        <v>5</v>
      </c>
      <c r="AV101" s="5" t="n">
        <v>2</v>
      </c>
      <c r="AZ101" s="2" t="n"/>
      <c r="BA101" s="2" t="n"/>
      <c r="BB101" s="2" t="n"/>
      <c r="BE101" s="2" t="n"/>
      <c r="BF101" s="2" t="n"/>
      <c r="BG101" s="2" t="n"/>
    </row>
    <row r="102">
      <c r="G102" s="64" t="n">
        <v>76</v>
      </c>
      <c r="H102" s="64">
        <f>TRUNC((_xlfn.NORM.INV((RAND()),$E$35,$E$36)),2)</f>
        <v/>
      </c>
      <c r="I102" s="64">
        <f>TRUNC((_xlfn.NORM.INV((RAND()),$E$35,$E$36)),2)</f>
        <v/>
      </c>
      <c r="J102" s="64">
        <f>TRUNC((_xlfn.NORM.INV((RAND()),$E$35,$E$36)),2)</f>
        <v/>
      </c>
      <c r="Z102" s="64" t="n">
        <v>76</v>
      </c>
      <c r="AA102" s="20">
        <f>TRUNC(IF(H102&lt;0,0,H102),0)</f>
        <v/>
      </c>
      <c r="AB102" s="20">
        <f>TRUNC(IF(I102&lt;0,0,I102),0)</f>
        <v/>
      </c>
      <c r="AC102" s="20">
        <f>TRUNC(IF(J102&lt;0,0,J102),0)</f>
        <v/>
      </c>
      <c r="AS102" s="64" t="n">
        <v>76</v>
      </c>
      <c r="AT102" s="5" t="n">
        <v>4</v>
      </c>
      <c r="AU102" s="5" t="n">
        <v>4</v>
      </c>
      <c r="AV102" s="5" t="n">
        <v>3</v>
      </c>
      <c r="AZ102" s="2" t="n"/>
      <c r="BA102" s="2" t="n"/>
      <c r="BB102" s="2" t="n"/>
      <c r="BE102" s="2" t="n"/>
      <c r="BF102" s="2" t="n"/>
      <c r="BG102" s="2" t="n"/>
    </row>
    <row r="103">
      <c r="G103" s="64" t="n">
        <v>77</v>
      </c>
      <c r="H103" s="64">
        <f>TRUNC((_xlfn.NORM.INV((RAND()),$E$35,$E$36)),2)</f>
        <v/>
      </c>
      <c r="I103" s="64">
        <f>TRUNC((_xlfn.NORM.INV((RAND()),$E$35,$E$36)),2)</f>
        <v/>
      </c>
      <c r="J103" s="64">
        <f>TRUNC((_xlfn.NORM.INV((RAND()),$E$35,$E$36)),2)</f>
        <v/>
      </c>
      <c r="Z103" s="64" t="n">
        <v>77</v>
      </c>
      <c r="AA103" s="20">
        <f>TRUNC(IF(H103&lt;0,0,H103),0)</f>
        <v/>
      </c>
      <c r="AB103" s="20">
        <f>TRUNC(IF(I103&lt;0,0,I103),0)</f>
        <v/>
      </c>
      <c r="AC103" s="20">
        <f>TRUNC(IF(J103&lt;0,0,J103),0)</f>
        <v/>
      </c>
      <c r="AS103" s="64" t="n">
        <v>77</v>
      </c>
      <c r="AT103" s="5" t="n">
        <v>6</v>
      </c>
      <c r="AU103" s="5" t="n">
        <v>5</v>
      </c>
      <c r="AV103" s="5" t="n">
        <v>4</v>
      </c>
      <c r="AZ103" s="2" t="n"/>
      <c r="BA103" s="2" t="n"/>
      <c r="BB103" s="2" t="n"/>
      <c r="BE103" s="2" t="n"/>
      <c r="BF103" s="2" t="n"/>
      <c r="BG103" s="2" t="n"/>
    </row>
    <row r="104">
      <c r="G104" s="64" t="n">
        <v>78</v>
      </c>
      <c r="H104" s="64">
        <f>TRUNC((_xlfn.NORM.INV((RAND()),$E$35,$E$36)),2)</f>
        <v/>
      </c>
      <c r="I104" s="64">
        <f>TRUNC((_xlfn.NORM.INV((RAND()),$E$35,$E$36)),2)</f>
        <v/>
      </c>
      <c r="J104" s="64">
        <f>TRUNC((_xlfn.NORM.INV((RAND()),$E$35,$E$36)),2)</f>
        <v/>
      </c>
      <c r="Z104" s="64" t="n">
        <v>78</v>
      </c>
      <c r="AA104" s="20">
        <f>TRUNC(IF(H104&lt;0,0,H104),0)</f>
        <v/>
      </c>
      <c r="AB104" s="20">
        <f>TRUNC(IF(I104&lt;0,0,I104),0)</f>
        <v/>
      </c>
      <c r="AC104" s="20">
        <f>TRUNC(IF(J104&lt;0,0,J104),0)</f>
        <v/>
      </c>
      <c r="AS104" s="64" t="n">
        <v>78</v>
      </c>
      <c r="AT104" s="5" t="n">
        <v>5</v>
      </c>
      <c r="AU104" s="5" t="n">
        <v>2</v>
      </c>
      <c r="AV104" s="5" t="n">
        <v>5</v>
      </c>
      <c r="AZ104" s="2" t="n"/>
      <c r="BA104" s="2" t="n"/>
      <c r="BB104" s="2" t="n"/>
      <c r="BE104" s="2" t="n"/>
      <c r="BF104" s="2" t="n"/>
      <c r="BG104" s="2" t="n"/>
    </row>
    <row r="105">
      <c r="G105" s="64" t="n">
        <v>79</v>
      </c>
      <c r="H105" s="64">
        <f>TRUNC((_xlfn.NORM.INV((RAND()),$E$35,$E$36)),2)</f>
        <v/>
      </c>
      <c r="I105" s="64">
        <f>TRUNC((_xlfn.NORM.INV((RAND()),$E$35,$E$36)),2)</f>
        <v/>
      </c>
      <c r="J105" s="64">
        <f>TRUNC((_xlfn.NORM.INV((RAND()),$E$35,$E$36)),2)</f>
        <v/>
      </c>
      <c r="Z105" s="64" t="n">
        <v>79</v>
      </c>
      <c r="AA105" s="20">
        <f>TRUNC(IF(H105&lt;0,0,H105),0)</f>
        <v/>
      </c>
      <c r="AB105" s="20">
        <f>TRUNC(IF(I105&lt;0,0,I105),0)</f>
        <v/>
      </c>
      <c r="AC105" s="20">
        <f>TRUNC(IF(J105&lt;0,0,J105),0)</f>
        <v/>
      </c>
      <c r="AS105" s="64" t="n">
        <v>79</v>
      </c>
      <c r="AT105" s="5" t="n">
        <v>5</v>
      </c>
      <c r="AU105" s="5" t="n">
        <v>4</v>
      </c>
      <c r="AV105" s="5" t="n">
        <v>4</v>
      </c>
      <c r="AZ105" s="2" t="n"/>
      <c r="BA105" s="2" t="n"/>
      <c r="BB105" s="2" t="n"/>
      <c r="BE105" s="2" t="n"/>
      <c r="BF105" s="2" t="n"/>
      <c r="BG105" s="2" t="n"/>
    </row>
    <row r="106">
      <c r="G106" s="64" t="n">
        <v>80</v>
      </c>
      <c r="H106" s="64">
        <f>TRUNC((_xlfn.NORM.INV((RAND()),$E$35,$E$36)),2)</f>
        <v/>
      </c>
      <c r="I106" s="64">
        <f>TRUNC((_xlfn.NORM.INV((RAND()),$E$35,$E$36)),2)</f>
        <v/>
      </c>
      <c r="J106" s="64">
        <f>TRUNC((_xlfn.NORM.INV((RAND()),$E$35,$E$36)),2)</f>
        <v/>
      </c>
      <c r="Z106" s="64" t="n">
        <v>80</v>
      </c>
      <c r="AA106" s="20">
        <f>TRUNC(IF(H106&lt;0,0,H106),0)</f>
        <v/>
      </c>
      <c r="AB106" s="20">
        <f>TRUNC(IF(I106&lt;0,0,I106),0)</f>
        <v/>
      </c>
      <c r="AC106" s="20">
        <f>TRUNC(IF(J106&lt;0,0,J106),0)</f>
        <v/>
      </c>
      <c r="AS106" s="64" t="n">
        <v>80</v>
      </c>
      <c r="AT106" s="5" t="n">
        <v>4</v>
      </c>
      <c r="AU106" s="5" t="n">
        <v>5</v>
      </c>
      <c r="AV106" s="5" t="n">
        <v>5</v>
      </c>
      <c r="AZ106" s="2" t="n"/>
      <c r="BA106" s="2" t="n"/>
      <c r="BB106" s="2" t="n"/>
      <c r="BE106" s="2" t="n"/>
      <c r="BF106" s="2" t="n"/>
      <c r="BG106" s="2" t="n"/>
    </row>
    <row r="107">
      <c r="G107" s="64" t="n">
        <v>81</v>
      </c>
      <c r="H107" s="64">
        <f>TRUNC((_xlfn.NORM.INV((RAND()),$E$35,$E$36)),2)</f>
        <v/>
      </c>
      <c r="I107" s="64">
        <f>TRUNC((_xlfn.NORM.INV((RAND()),$E$35,$E$36)),2)</f>
        <v/>
      </c>
      <c r="J107" s="64">
        <f>TRUNC((_xlfn.NORM.INV((RAND()),$E$35,$E$36)),2)</f>
        <v/>
      </c>
      <c r="Z107" s="64" t="n">
        <v>81</v>
      </c>
      <c r="AA107" s="20">
        <f>TRUNC(IF(H107&lt;0,0,H107),0)</f>
        <v/>
      </c>
      <c r="AB107" s="20">
        <f>TRUNC(IF(I107&lt;0,0,I107),0)</f>
        <v/>
      </c>
      <c r="AC107" s="20">
        <f>TRUNC(IF(J107&lt;0,0,J107),0)</f>
        <v/>
      </c>
      <c r="AS107" s="64" t="n">
        <v>81</v>
      </c>
      <c r="AT107" s="5" t="n">
        <v>3</v>
      </c>
      <c r="AU107" s="5" t="n">
        <v>3</v>
      </c>
      <c r="AV107" s="5" t="n">
        <v>6</v>
      </c>
      <c r="AZ107" s="2" t="n"/>
      <c r="BA107" s="2" t="n"/>
      <c r="BB107" s="2" t="n"/>
      <c r="BE107" s="2" t="n"/>
      <c r="BF107" s="2" t="n"/>
      <c r="BG107" s="2" t="n"/>
    </row>
    <row r="108">
      <c r="G108" s="64" t="n">
        <v>82</v>
      </c>
      <c r="H108" s="64">
        <f>TRUNC((_xlfn.NORM.INV((RAND()),$E$35,$E$36)),2)</f>
        <v/>
      </c>
      <c r="I108" s="64">
        <f>TRUNC((_xlfn.NORM.INV((RAND()),$E$35,$E$36)),2)</f>
        <v/>
      </c>
      <c r="J108" s="64">
        <f>TRUNC((_xlfn.NORM.INV((RAND()),$E$35,$E$36)),2)</f>
        <v/>
      </c>
      <c r="Z108" s="64" t="n">
        <v>82</v>
      </c>
      <c r="AA108" s="20">
        <f>TRUNC(IF(H108&lt;0,0,H108),0)</f>
        <v/>
      </c>
      <c r="AB108" s="20">
        <f>TRUNC(IF(I108&lt;0,0,I108),0)</f>
        <v/>
      </c>
      <c r="AC108" s="20">
        <f>TRUNC(IF(J108&lt;0,0,J108),0)</f>
        <v/>
      </c>
      <c r="AS108" s="64" t="n">
        <v>82</v>
      </c>
      <c r="AT108" s="5" t="n">
        <v>8</v>
      </c>
      <c r="AU108" s="5" t="n">
        <v>7</v>
      </c>
      <c r="AV108" s="5" t="n">
        <v>6</v>
      </c>
      <c r="AZ108" s="2" t="n"/>
      <c r="BA108" s="2" t="n"/>
      <c r="BB108" s="2" t="n"/>
      <c r="BE108" s="2" t="n"/>
      <c r="BF108" s="2" t="n"/>
      <c r="BG108" s="2" t="n"/>
    </row>
    <row r="109">
      <c r="G109" s="64" t="n">
        <v>83</v>
      </c>
      <c r="H109" s="64">
        <f>TRUNC((_xlfn.NORM.INV((RAND()),$E$35,$E$36)),2)</f>
        <v/>
      </c>
      <c r="I109" s="64">
        <f>TRUNC((_xlfn.NORM.INV((RAND()),$E$35,$E$36)),2)</f>
        <v/>
      </c>
      <c r="J109" s="64">
        <f>TRUNC((_xlfn.NORM.INV((RAND()),$E$35,$E$36)),2)</f>
        <v/>
      </c>
      <c r="Z109" s="64" t="n">
        <v>83</v>
      </c>
      <c r="AA109" s="20">
        <f>TRUNC(IF(H109&lt;0,0,H109),0)</f>
        <v/>
      </c>
      <c r="AB109" s="20">
        <f>TRUNC(IF(I109&lt;0,0,I109),0)</f>
        <v/>
      </c>
      <c r="AC109" s="20">
        <f>TRUNC(IF(J109&lt;0,0,J109),0)</f>
        <v/>
      </c>
      <c r="AS109" s="64" t="n">
        <v>83</v>
      </c>
      <c r="AT109" s="5" t="n">
        <v>5</v>
      </c>
      <c r="AU109" s="5" t="n">
        <v>4</v>
      </c>
      <c r="AV109" s="5" t="n">
        <v>5</v>
      </c>
      <c r="AZ109" s="2" t="n"/>
      <c r="BA109" s="2" t="n"/>
      <c r="BB109" s="2" t="n"/>
      <c r="BE109" s="2" t="n"/>
      <c r="BF109" s="2" t="n"/>
      <c r="BG109" s="2" t="n"/>
    </row>
    <row r="110">
      <c r="G110" s="64" t="n">
        <v>84</v>
      </c>
      <c r="H110" s="64">
        <f>TRUNC((_xlfn.NORM.INV((RAND()),$E$35,$E$36)),2)</f>
        <v/>
      </c>
      <c r="I110" s="64">
        <f>TRUNC((_xlfn.NORM.INV((RAND()),$E$35,$E$36)),2)</f>
        <v/>
      </c>
      <c r="J110" s="64">
        <f>TRUNC((_xlfn.NORM.INV((RAND()),$E$35,$E$36)),2)</f>
        <v/>
      </c>
      <c r="Z110" s="64" t="n">
        <v>84</v>
      </c>
      <c r="AA110" s="20">
        <f>TRUNC(IF(H110&lt;0,0,H110),0)</f>
        <v/>
      </c>
      <c r="AB110" s="20">
        <f>TRUNC(IF(I110&lt;0,0,I110),0)</f>
        <v/>
      </c>
      <c r="AC110" s="20">
        <f>TRUNC(IF(J110&lt;0,0,J110),0)</f>
        <v/>
      </c>
      <c r="AS110" s="64" t="n">
        <v>84</v>
      </c>
      <c r="AT110" s="5" t="n">
        <v>4</v>
      </c>
      <c r="AU110" s="5" t="n">
        <v>4</v>
      </c>
      <c r="AV110" s="5" t="n">
        <v>6</v>
      </c>
      <c r="AZ110" s="2" t="n"/>
      <c r="BA110" s="2" t="n"/>
      <c r="BB110" s="2" t="n"/>
      <c r="BE110" s="2" t="n"/>
      <c r="BF110" s="2" t="n"/>
      <c r="BG110" s="2" t="n"/>
    </row>
    <row r="111">
      <c r="G111" s="64" t="n">
        <v>85</v>
      </c>
      <c r="H111" s="64">
        <f>TRUNC((_xlfn.NORM.INV((RAND()),$E$35,$E$36)),2)</f>
        <v/>
      </c>
      <c r="I111" s="64">
        <f>TRUNC((_xlfn.NORM.INV((RAND()),$E$35,$E$36)),2)</f>
        <v/>
      </c>
      <c r="J111" s="64">
        <f>TRUNC((_xlfn.NORM.INV((RAND()),$E$35,$E$36)),2)</f>
        <v/>
      </c>
      <c r="Z111" s="64" t="n">
        <v>85</v>
      </c>
      <c r="AA111" s="20">
        <f>TRUNC(IF(H111&lt;0,0,H111),0)</f>
        <v/>
      </c>
      <c r="AB111" s="20">
        <f>TRUNC(IF(I111&lt;0,0,I111),0)</f>
        <v/>
      </c>
      <c r="AC111" s="20">
        <f>TRUNC(IF(J111&lt;0,0,J111),0)</f>
        <v/>
      </c>
      <c r="AS111" s="64" t="n">
        <v>85</v>
      </c>
      <c r="AT111" s="5" t="n">
        <v>7</v>
      </c>
      <c r="AU111" s="5" t="n">
        <v>5</v>
      </c>
      <c r="AV111" s="5" t="n">
        <v>4</v>
      </c>
      <c r="AZ111" s="2" t="n"/>
      <c r="BA111" s="2" t="n"/>
      <c r="BB111" s="2" t="n"/>
      <c r="BE111" s="2" t="n"/>
      <c r="BF111" s="2" t="n"/>
      <c r="BG111" s="2" t="n"/>
    </row>
    <row r="112">
      <c r="G112" s="64" t="n">
        <v>86</v>
      </c>
      <c r="H112" s="64">
        <f>TRUNC((_xlfn.NORM.INV((RAND()),$E$35,$E$36)),2)</f>
        <v/>
      </c>
      <c r="I112" s="64">
        <f>TRUNC((_xlfn.NORM.INV((RAND()),$E$35,$E$36)),2)</f>
        <v/>
      </c>
      <c r="J112" s="64">
        <f>TRUNC((_xlfn.NORM.INV((RAND()),$E$35,$E$36)),2)</f>
        <v/>
      </c>
      <c r="Z112" s="64" t="n">
        <v>86</v>
      </c>
      <c r="AA112" s="20">
        <f>TRUNC(IF(H112&lt;0,0,H112),0)</f>
        <v/>
      </c>
      <c r="AB112" s="20">
        <f>TRUNC(IF(I112&lt;0,0,I112),0)</f>
        <v/>
      </c>
      <c r="AC112" s="20">
        <f>TRUNC(IF(J112&lt;0,0,J112),0)</f>
        <v/>
      </c>
      <c r="AS112" s="64" t="n">
        <v>86</v>
      </c>
      <c r="AT112" s="5" t="n">
        <v>5</v>
      </c>
      <c r="AU112" s="5" t="n">
        <v>7</v>
      </c>
      <c r="AV112" s="5" t="n">
        <v>5</v>
      </c>
      <c r="AZ112" s="2" t="n"/>
      <c r="BA112" s="2" t="n"/>
      <c r="BB112" s="2" t="n"/>
      <c r="BE112" s="2" t="n"/>
      <c r="BF112" s="2" t="n"/>
      <c r="BG112" s="2" t="n"/>
    </row>
    <row r="113">
      <c r="G113" s="64" t="n">
        <v>87</v>
      </c>
      <c r="H113" s="64">
        <f>TRUNC((_xlfn.NORM.INV((RAND()),$E$35,$E$36)),2)</f>
        <v/>
      </c>
      <c r="I113" s="64">
        <f>TRUNC((_xlfn.NORM.INV((RAND()),$E$35,$E$36)),2)</f>
        <v/>
      </c>
      <c r="J113" s="64">
        <f>TRUNC((_xlfn.NORM.INV((RAND()),$E$35,$E$36)),2)</f>
        <v/>
      </c>
      <c r="Z113" s="64" t="n">
        <v>87</v>
      </c>
      <c r="AA113" s="20">
        <f>TRUNC(IF(H113&lt;0,0,H113),0)</f>
        <v/>
      </c>
      <c r="AB113" s="20">
        <f>TRUNC(IF(I113&lt;0,0,I113),0)</f>
        <v/>
      </c>
      <c r="AC113" s="20">
        <f>TRUNC(IF(J113&lt;0,0,J113),0)</f>
        <v/>
      </c>
      <c r="AS113" s="64" t="n">
        <v>87</v>
      </c>
      <c r="AT113" s="5" t="n">
        <v>3</v>
      </c>
      <c r="AU113" s="5" t="n">
        <v>5</v>
      </c>
      <c r="AV113" s="5" t="n">
        <v>5</v>
      </c>
      <c r="AZ113" s="2" t="n"/>
      <c r="BA113" s="2" t="n"/>
      <c r="BB113" s="2" t="n"/>
      <c r="BE113" s="2" t="n"/>
      <c r="BF113" s="2" t="n"/>
      <c r="BG113" s="2" t="n"/>
    </row>
    <row r="114">
      <c r="G114" s="64" t="n">
        <v>88</v>
      </c>
      <c r="H114" s="64">
        <f>TRUNC((_xlfn.NORM.INV((RAND()),$E$35,$E$36)),2)</f>
        <v/>
      </c>
      <c r="I114" s="64">
        <f>TRUNC((_xlfn.NORM.INV((RAND()),$E$35,$E$36)),2)</f>
        <v/>
      </c>
      <c r="J114" s="64">
        <f>TRUNC((_xlfn.NORM.INV((RAND()),$E$35,$E$36)),2)</f>
        <v/>
      </c>
      <c r="Z114" s="64" t="n">
        <v>88</v>
      </c>
      <c r="AA114" s="20">
        <f>TRUNC(IF(H114&lt;0,0,H114),0)</f>
        <v/>
      </c>
      <c r="AB114" s="20">
        <f>TRUNC(IF(I114&lt;0,0,I114),0)</f>
        <v/>
      </c>
      <c r="AC114" s="20">
        <f>TRUNC(IF(J114&lt;0,0,J114),0)</f>
        <v/>
      </c>
      <c r="AS114" s="64" t="n">
        <v>88</v>
      </c>
      <c r="AT114" s="5" t="n">
        <v>3</v>
      </c>
      <c r="AU114" s="5" t="n">
        <v>3</v>
      </c>
      <c r="AV114" s="5" t="n">
        <v>8</v>
      </c>
      <c r="AZ114" s="2" t="n"/>
      <c r="BA114" s="2" t="n"/>
      <c r="BB114" s="2" t="n"/>
      <c r="BE114" s="2" t="n"/>
      <c r="BF114" s="2" t="n"/>
      <c r="BG114" s="2" t="n"/>
    </row>
    <row r="115">
      <c r="G115" s="64" t="n">
        <v>89</v>
      </c>
      <c r="H115" s="64">
        <f>TRUNC((_xlfn.NORM.INV((RAND()),$E$35,$E$36)),2)</f>
        <v/>
      </c>
      <c r="I115" s="64">
        <f>TRUNC((_xlfn.NORM.INV((RAND()),$E$35,$E$36)),2)</f>
        <v/>
      </c>
      <c r="J115" s="64">
        <f>TRUNC((_xlfn.NORM.INV((RAND()),$E$35,$E$36)),2)</f>
        <v/>
      </c>
      <c r="Z115" s="64" t="n">
        <v>89</v>
      </c>
      <c r="AA115" s="20">
        <f>TRUNC(IF(H115&lt;0,0,H115),0)</f>
        <v/>
      </c>
      <c r="AB115" s="20">
        <f>TRUNC(IF(I115&lt;0,0,I115),0)</f>
        <v/>
      </c>
      <c r="AC115" s="20">
        <f>TRUNC(IF(J115&lt;0,0,J115),0)</f>
        <v/>
      </c>
      <c r="AS115" s="64" t="n">
        <v>89</v>
      </c>
      <c r="AT115" s="5" t="n">
        <v>6</v>
      </c>
      <c r="AU115" s="5" t="n">
        <v>4</v>
      </c>
      <c r="AV115" s="5" t="n">
        <v>6</v>
      </c>
      <c r="AZ115" s="2" t="n"/>
      <c r="BA115" s="2" t="n"/>
      <c r="BB115" s="2" t="n"/>
      <c r="BE115" s="2" t="n"/>
      <c r="BF115" s="2" t="n"/>
      <c r="BG115" s="2" t="n"/>
    </row>
    <row r="116">
      <c r="G116" s="64" t="n">
        <v>90</v>
      </c>
      <c r="H116" s="64">
        <f>TRUNC((_xlfn.NORM.INV((RAND()),$E$35,$E$36)),2)</f>
        <v/>
      </c>
      <c r="I116" s="64">
        <f>TRUNC((_xlfn.NORM.INV((RAND()),$E$35,$E$36)),2)</f>
        <v/>
      </c>
      <c r="J116" s="64">
        <f>TRUNC((_xlfn.NORM.INV((RAND()),$E$35,$E$36)),2)</f>
        <v/>
      </c>
      <c r="Z116" s="64" t="n">
        <v>90</v>
      </c>
      <c r="AA116" s="20">
        <f>TRUNC(IF(H116&lt;0,0,H116),0)</f>
        <v/>
      </c>
      <c r="AB116" s="20">
        <f>TRUNC(IF(I116&lt;0,0,I116),0)</f>
        <v/>
      </c>
      <c r="AC116" s="20">
        <f>TRUNC(IF(J116&lt;0,0,J116),0)</f>
        <v/>
      </c>
      <c r="AS116" s="64" t="n">
        <v>90</v>
      </c>
      <c r="AT116" s="5" t="n">
        <v>3</v>
      </c>
      <c r="AU116" s="5" t="n">
        <v>4</v>
      </c>
      <c r="AV116" s="5" t="n">
        <v>3</v>
      </c>
      <c r="AZ116" s="2" t="n"/>
      <c r="BA116" s="2" t="n"/>
      <c r="BB116" s="2" t="n"/>
      <c r="BE116" s="2" t="n"/>
      <c r="BF116" s="2" t="n"/>
      <c r="BG116" s="2" t="n"/>
    </row>
    <row r="117">
      <c r="G117" s="64" t="n">
        <v>91</v>
      </c>
      <c r="H117" s="64">
        <f>TRUNC((_xlfn.NORM.INV((RAND()),$E$35,$E$36)),2)</f>
        <v/>
      </c>
      <c r="I117" s="64">
        <f>TRUNC((_xlfn.NORM.INV((RAND()),$E$35,$E$36)),2)</f>
        <v/>
      </c>
      <c r="J117" s="64">
        <f>TRUNC((_xlfn.NORM.INV((RAND()),$E$35,$E$36)),2)</f>
        <v/>
      </c>
      <c r="Z117" s="64" t="n">
        <v>91</v>
      </c>
      <c r="AA117" s="20">
        <f>TRUNC(IF(H117&lt;0,0,H117),0)</f>
        <v/>
      </c>
      <c r="AB117" s="20">
        <f>TRUNC(IF(I117&lt;0,0,I117),0)</f>
        <v/>
      </c>
      <c r="AC117" s="20">
        <f>TRUNC(IF(J117&lt;0,0,J117),0)</f>
        <v/>
      </c>
      <c r="AS117" s="64" t="n">
        <v>91</v>
      </c>
      <c r="AT117" s="5" t="n">
        <v>1</v>
      </c>
      <c r="AU117" s="5" t="n">
        <v>3</v>
      </c>
      <c r="AV117" s="5" t="n">
        <v>5</v>
      </c>
      <c r="AZ117" s="2" t="n"/>
      <c r="BA117" s="2" t="n"/>
      <c r="BB117" s="2" t="n"/>
      <c r="BE117" s="2" t="n"/>
      <c r="BF117" s="2" t="n"/>
      <c r="BG117" s="2" t="n"/>
    </row>
    <row r="118">
      <c r="G118" s="64" t="n">
        <v>92</v>
      </c>
      <c r="H118" s="64">
        <f>TRUNC((_xlfn.NORM.INV((RAND()),$E$35,$E$36)),2)</f>
        <v/>
      </c>
      <c r="I118" s="64">
        <f>TRUNC((_xlfn.NORM.INV((RAND()),$E$35,$E$36)),2)</f>
        <v/>
      </c>
      <c r="J118" s="64">
        <f>TRUNC((_xlfn.NORM.INV((RAND()),$E$35,$E$36)),2)</f>
        <v/>
      </c>
      <c r="Z118" s="64" t="n">
        <v>92</v>
      </c>
      <c r="AA118" s="20">
        <f>TRUNC(IF(H118&lt;0,0,H118),0)</f>
        <v/>
      </c>
      <c r="AB118" s="20">
        <f>TRUNC(IF(I118&lt;0,0,I118),0)</f>
        <v/>
      </c>
      <c r="AC118" s="20">
        <f>TRUNC(IF(J118&lt;0,0,J118),0)</f>
        <v/>
      </c>
      <c r="AS118" s="64" t="n">
        <v>92</v>
      </c>
      <c r="AT118" s="5" t="n">
        <v>6</v>
      </c>
      <c r="AU118" s="5" t="n">
        <v>5</v>
      </c>
      <c r="AV118" s="5" t="n">
        <v>8</v>
      </c>
      <c r="AZ118" s="2" t="n"/>
      <c r="BA118" s="2" t="n"/>
      <c r="BB118" s="2" t="n"/>
      <c r="BE118" s="2" t="n"/>
      <c r="BF118" s="2" t="n"/>
      <c r="BG118" s="2" t="n"/>
    </row>
    <row r="119">
      <c r="G119" s="64" t="n">
        <v>93</v>
      </c>
      <c r="H119" s="64">
        <f>TRUNC((_xlfn.NORM.INV((RAND()),$E$35,$E$36)),2)</f>
        <v/>
      </c>
      <c r="I119" s="64">
        <f>TRUNC((_xlfn.NORM.INV((RAND()),$E$35,$E$36)),2)</f>
        <v/>
      </c>
      <c r="J119" s="64">
        <f>TRUNC((_xlfn.NORM.INV((RAND()),$E$35,$E$36)),2)</f>
        <v/>
      </c>
      <c r="Z119" s="64" t="n">
        <v>93</v>
      </c>
      <c r="AA119" s="20">
        <f>TRUNC(IF(H119&lt;0,0,H119),0)</f>
        <v/>
      </c>
      <c r="AB119" s="20">
        <f>TRUNC(IF(I119&lt;0,0,I119),0)</f>
        <v/>
      </c>
      <c r="AC119" s="20">
        <f>TRUNC(IF(J119&lt;0,0,J119),0)</f>
        <v/>
      </c>
      <c r="AS119" s="64" t="n">
        <v>93</v>
      </c>
      <c r="AT119" s="5" t="n">
        <v>3</v>
      </c>
      <c r="AU119" s="5" t="n">
        <v>3</v>
      </c>
      <c r="AV119" s="5" t="n">
        <v>5</v>
      </c>
      <c r="AZ119" s="2" t="n"/>
      <c r="BA119" s="2" t="n"/>
      <c r="BB119" s="2" t="n"/>
      <c r="BE119" s="2" t="n"/>
      <c r="BF119" s="2" t="n"/>
      <c r="BG119" s="2" t="n"/>
    </row>
    <row r="120">
      <c r="G120" s="64" t="n">
        <v>94</v>
      </c>
      <c r="H120" s="64">
        <f>TRUNC((_xlfn.NORM.INV((RAND()),$E$35,$E$36)),2)</f>
        <v/>
      </c>
      <c r="I120" s="64">
        <f>TRUNC((_xlfn.NORM.INV((RAND()),$E$35,$E$36)),2)</f>
        <v/>
      </c>
      <c r="J120" s="64">
        <f>TRUNC((_xlfn.NORM.INV((RAND()),$E$35,$E$36)),2)</f>
        <v/>
      </c>
      <c r="Z120" s="64" t="n">
        <v>94</v>
      </c>
      <c r="AA120" s="20">
        <f>TRUNC(IF(H120&lt;0,0,H120),0)</f>
        <v/>
      </c>
      <c r="AB120" s="20">
        <f>TRUNC(IF(I120&lt;0,0,I120),0)</f>
        <v/>
      </c>
      <c r="AC120" s="20">
        <f>TRUNC(IF(J120&lt;0,0,J120),0)</f>
        <v/>
      </c>
      <c r="AS120" s="64" t="n">
        <v>94</v>
      </c>
      <c r="AT120" s="5" t="n">
        <v>7</v>
      </c>
      <c r="AU120" s="5" t="n">
        <v>4</v>
      </c>
      <c r="AV120" s="5" t="n">
        <v>4</v>
      </c>
      <c r="AZ120" s="2" t="n"/>
      <c r="BA120" s="2" t="n"/>
      <c r="BB120" s="2" t="n"/>
      <c r="BE120" s="2" t="n"/>
      <c r="BF120" s="2" t="n"/>
      <c r="BG120" s="2" t="n"/>
    </row>
    <row r="121">
      <c r="G121" s="64" t="n">
        <v>95</v>
      </c>
      <c r="H121" s="64">
        <f>TRUNC((_xlfn.NORM.INV((RAND()),$E$35,$E$36)),2)</f>
        <v/>
      </c>
      <c r="I121" s="64">
        <f>TRUNC((_xlfn.NORM.INV((RAND()),$E$35,$E$36)),2)</f>
        <v/>
      </c>
      <c r="J121" s="64">
        <f>TRUNC((_xlfn.NORM.INV((RAND()),$E$35,$E$36)),2)</f>
        <v/>
      </c>
      <c r="Z121" s="64" t="n">
        <v>95</v>
      </c>
      <c r="AA121" s="20">
        <f>TRUNC(IF(H121&lt;0,0,H121),0)</f>
        <v/>
      </c>
      <c r="AB121" s="20">
        <f>TRUNC(IF(I121&lt;0,0,I121),0)</f>
        <v/>
      </c>
      <c r="AC121" s="20">
        <f>TRUNC(IF(J121&lt;0,0,J121),0)</f>
        <v/>
      </c>
      <c r="AS121" s="64" t="n">
        <v>95</v>
      </c>
      <c r="AT121" s="5" t="n">
        <v>4</v>
      </c>
      <c r="AU121" s="5" t="n">
        <v>5</v>
      </c>
      <c r="AV121" s="5" t="n">
        <v>4</v>
      </c>
      <c r="AZ121" s="2" t="n"/>
      <c r="BA121" s="2" t="n"/>
      <c r="BB121" s="2" t="n"/>
      <c r="BE121" s="2" t="n"/>
      <c r="BF121" s="2" t="n"/>
      <c r="BG121" s="2" t="n"/>
    </row>
    <row r="122">
      <c r="G122" s="64" t="n">
        <v>96</v>
      </c>
      <c r="H122" s="64">
        <f>TRUNC((_xlfn.NORM.INV((RAND()),$E$35,$E$36)),2)</f>
        <v/>
      </c>
      <c r="I122" s="64">
        <f>TRUNC((_xlfn.NORM.INV((RAND()),$E$35,$E$36)),2)</f>
        <v/>
      </c>
      <c r="J122" s="64">
        <f>TRUNC((_xlfn.NORM.INV((RAND()),$E$35,$E$36)),2)</f>
        <v/>
      </c>
      <c r="Z122" s="64" t="n">
        <v>96</v>
      </c>
      <c r="AA122" s="20">
        <f>TRUNC(IF(H122&lt;0,0,H122),0)</f>
        <v/>
      </c>
      <c r="AB122" s="20">
        <f>TRUNC(IF(I122&lt;0,0,I122),0)</f>
        <v/>
      </c>
      <c r="AC122" s="20">
        <f>TRUNC(IF(J122&lt;0,0,J122),0)</f>
        <v/>
      </c>
      <c r="AS122" s="64" t="n">
        <v>96</v>
      </c>
      <c r="AT122" s="5" t="n">
        <v>4</v>
      </c>
      <c r="AU122" s="5" t="n">
        <v>5</v>
      </c>
      <c r="AV122" s="5" t="n">
        <v>5</v>
      </c>
      <c r="AZ122" s="2" t="n"/>
      <c r="BA122" s="2" t="n"/>
      <c r="BB122" s="2" t="n"/>
      <c r="BE122" s="2" t="n"/>
      <c r="BF122" s="2" t="n"/>
      <c r="BG122" s="2" t="n"/>
    </row>
    <row r="123">
      <c r="G123" s="64" t="n">
        <v>97</v>
      </c>
      <c r="H123" s="64">
        <f>TRUNC((_xlfn.NORM.INV((RAND()),$E$35,$E$36)),2)</f>
        <v/>
      </c>
      <c r="I123" s="64">
        <f>TRUNC((_xlfn.NORM.INV((RAND()),$E$35,$E$36)),2)</f>
        <v/>
      </c>
      <c r="J123" s="64">
        <f>TRUNC((_xlfn.NORM.INV((RAND()),$E$35,$E$36)),2)</f>
        <v/>
      </c>
      <c r="Z123" s="64" t="n">
        <v>97</v>
      </c>
      <c r="AA123" s="20">
        <f>TRUNC(IF(H123&lt;0,0,H123),0)</f>
        <v/>
      </c>
      <c r="AB123" s="20">
        <f>TRUNC(IF(I123&lt;0,0,I123),0)</f>
        <v/>
      </c>
      <c r="AC123" s="20">
        <f>TRUNC(IF(J123&lt;0,0,J123),0)</f>
        <v/>
      </c>
      <c r="AS123" s="64" t="n">
        <v>97</v>
      </c>
      <c r="AT123" s="5" t="n">
        <v>4</v>
      </c>
      <c r="AU123" s="5" t="n">
        <v>6</v>
      </c>
      <c r="AV123" s="5" t="n">
        <v>5</v>
      </c>
      <c r="AZ123" s="2" t="n"/>
      <c r="BA123" s="2" t="n"/>
      <c r="BB123" s="2" t="n"/>
      <c r="BE123" s="2" t="n"/>
      <c r="BF123" s="2" t="n"/>
      <c r="BG123" s="2" t="n"/>
    </row>
    <row r="124">
      <c r="G124" s="64" t="n">
        <v>98</v>
      </c>
      <c r="H124" s="64">
        <f>TRUNC((_xlfn.NORM.INV((RAND()),$E$35,$E$36)),2)</f>
        <v/>
      </c>
      <c r="I124" s="64">
        <f>TRUNC((_xlfn.NORM.INV((RAND()),$E$35,$E$36)),2)</f>
        <v/>
      </c>
      <c r="J124" s="64">
        <f>TRUNC((_xlfn.NORM.INV((RAND()),$E$35,$E$36)),2)</f>
        <v/>
      </c>
      <c r="Z124" s="64" t="n">
        <v>98</v>
      </c>
      <c r="AA124" s="20">
        <f>TRUNC(IF(H124&lt;0,0,H124),0)</f>
        <v/>
      </c>
      <c r="AB124" s="20">
        <f>TRUNC(IF(I124&lt;0,0,I124),0)</f>
        <v/>
      </c>
      <c r="AC124" s="20">
        <f>TRUNC(IF(J124&lt;0,0,J124),0)</f>
        <v/>
      </c>
      <c r="AS124" s="64" t="n">
        <v>98</v>
      </c>
      <c r="AT124" s="5" t="n">
        <v>6</v>
      </c>
      <c r="AU124" s="5" t="n">
        <v>5</v>
      </c>
      <c r="AV124" s="5" t="n">
        <v>6</v>
      </c>
      <c r="AZ124" s="2" t="n"/>
      <c r="BA124" s="2" t="n"/>
      <c r="BB124" s="2" t="n"/>
      <c r="BE124" s="2" t="n"/>
      <c r="BF124" s="2" t="n"/>
      <c r="BG124" s="2" t="n"/>
    </row>
    <row r="125">
      <c r="G125" s="64" t="n">
        <v>99</v>
      </c>
      <c r="H125" s="64">
        <f>TRUNC((_xlfn.NORM.INV((RAND()),$E$35,$E$36)),2)</f>
        <v/>
      </c>
      <c r="I125" s="64">
        <f>TRUNC((_xlfn.NORM.INV((RAND()),$E$35,$E$36)),2)</f>
        <v/>
      </c>
      <c r="J125" s="64">
        <f>TRUNC((_xlfn.NORM.INV((RAND()),$E$35,$E$36)),2)</f>
        <v/>
      </c>
      <c r="Z125" s="64" t="n">
        <v>99</v>
      </c>
      <c r="AA125" s="20">
        <f>TRUNC(IF(H125&lt;0,0,H125),0)</f>
        <v/>
      </c>
      <c r="AB125" s="20">
        <f>TRUNC(IF(I125&lt;0,0,I125),0)</f>
        <v/>
      </c>
      <c r="AC125" s="20">
        <f>TRUNC(IF(J125&lt;0,0,J125),0)</f>
        <v/>
      </c>
      <c r="AS125" s="64" t="n">
        <v>99</v>
      </c>
      <c r="AT125" s="5" t="n">
        <v>4</v>
      </c>
      <c r="AU125" s="5" t="n">
        <v>4</v>
      </c>
      <c r="AV125" s="5" t="n">
        <v>2</v>
      </c>
      <c r="AZ125" s="2" t="n"/>
      <c r="BA125" s="2" t="n"/>
      <c r="BB125" s="2" t="n"/>
      <c r="BE125" s="2" t="n"/>
      <c r="BF125" s="2" t="n"/>
      <c r="BG125" s="2" t="n"/>
    </row>
    <row r="126">
      <c r="G126" s="64" t="n">
        <v>100</v>
      </c>
      <c r="H126" s="64">
        <f>TRUNC((_xlfn.NORM.INV((RAND()),$E$35,$E$36)),2)</f>
        <v/>
      </c>
      <c r="I126" s="64">
        <f>TRUNC((_xlfn.NORM.INV((RAND()),$E$35,$E$36)),2)</f>
        <v/>
      </c>
      <c r="J126" s="64">
        <f>TRUNC((_xlfn.NORM.INV((RAND()),$E$35,$E$36)),2)</f>
        <v/>
      </c>
      <c r="Z126" s="64" t="n">
        <v>100</v>
      </c>
      <c r="AA126" s="20">
        <f>TRUNC(IF(H126&lt;0,0,H126),0)</f>
        <v/>
      </c>
      <c r="AB126" s="20">
        <f>TRUNC(IF(I126&lt;0,0,I126),0)</f>
        <v/>
      </c>
      <c r="AC126" s="20">
        <f>TRUNC(IF(J126&lt;0,0,J126),0)</f>
        <v/>
      </c>
      <c r="AS126" s="64" t="n">
        <v>100</v>
      </c>
      <c r="AT126" s="5" t="n">
        <v>5</v>
      </c>
      <c r="AU126" s="5" t="n">
        <v>3</v>
      </c>
      <c r="AV126" s="5" t="n">
        <v>2</v>
      </c>
      <c r="AZ126" s="2" t="n"/>
      <c r="BA126" s="2" t="n"/>
      <c r="BB126" s="2" t="n"/>
      <c r="BE126" s="2" t="n"/>
      <c r="BF126" s="2" t="n"/>
      <c r="BG126" s="2" t="n"/>
    </row>
    <row r="127">
      <c r="G127" s="64" t="n">
        <v>101</v>
      </c>
      <c r="H127" s="64">
        <f>TRUNC((_xlfn.NORM.INV((RAND()),$E$35,$E$36)),2)</f>
        <v/>
      </c>
      <c r="I127" s="64">
        <f>TRUNC((_xlfn.NORM.INV((RAND()),$E$35,$E$36)),2)</f>
        <v/>
      </c>
      <c r="J127" s="64">
        <f>TRUNC((_xlfn.NORM.INV((RAND()),$E$35,$E$36)),2)</f>
        <v/>
      </c>
      <c r="Z127" s="64" t="n">
        <v>101</v>
      </c>
      <c r="AA127" s="20">
        <f>TRUNC(IF(H127&lt;0,0,H127),0)</f>
        <v/>
      </c>
      <c r="AB127" s="20">
        <f>TRUNC(IF(I127&lt;0,0,I127),0)</f>
        <v/>
      </c>
      <c r="AC127" s="20">
        <f>TRUNC(IF(J127&lt;0,0,J127),0)</f>
        <v/>
      </c>
      <c r="AS127" s="64" t="n">
        <v>101</v>
      </c>
      <c r="AT127" s="5" t="n">
        <v>6</v>
      </c>
      <c r="AU127" s="5" t="n">
        <v>4</v>
      </c>
      <c r="AV127" s="5" t="n">
        <v>6</v>
      </c>
      <c r="AZ127" s="2" t="n"/>
      <c r="BA127" s="2" t="n"/>
      <c r="BB127" s="2" t="n"/>
      <c r="BE127" s="2" t="n"/>
      <c r="BF127" s="2" t="n"/>
      <c r="BG127" s="2" t="n"/>
    </row>
    <row r="128">
      <c r="G128" s="64" t="n">
        <v>102</v>
      </c>
      <c r="H128" s="64">
        <f>TRUNC((_xlfn.NORM.INV((RAND()),$E$35,$E$36)),2)</f>
        <v/>
      </c>
      <c r="I128" s="64">
        <f>TRUNC((_xlfn.NORM.INV((RAND()),$E$35,$E$36)),2)</f>
        <v/>
      </c>
      <c r="J128" s="64">
        <f>TRUNC((_xlfn.NORM.INV((RAND()),$E$35,$E$36)),2)</f>
        <v/>
      </c>
      <c r="Z128" s="64" t="n">
        <v>102</v>
      </c>
      <c r="AA128" s="20">
        <f>TRUNC(IF(H128&lt;0,0,H128),0)</f>
        <v/>
      </c>
      <c r="AB128" s="20">
        <f>TRUNC(IF(I128&lt;0,0,I128),0)</f>
        <v/>
      </c>
      <c r="AC128" s="20">
        <f>TRUNC(IF(J128&lt;0,0,J128),0)</f>
        <v/>
      </c>
      <c r="AS128" s="64" t="n">
        <v>102</v>
      </c>
      <c r="AT128" s="5" t="n">
        <v>6</v>
      </c>
      <c r="AU128" s="5" t="n">
        <v>3</v>
      </c>
      <c r="AV128" s="5" t="n">
        <v>6</v>
      </c>
      <c r="AZ128" s="2" t="n"/>
      <c r="BA128" s="2" t="n"/>
      <c r="BB128" s="2" t="n"/>
      <c r="BE128" s="2" t="n"/>
      <c r="BF128" s="2" t="n"/>
      <c r="BG128" s="2" t="n"/>
    </row>
    <row r="129">
      <c r="G129" s="64" t="n">
        <v>103</v>
      </c>
      <c r="H129" s="64">
        <f>TRUNC((_xlfn.NORM.INV((RAND()),$E$35,$E$36)),2)</f>
        <v/>
      </c>
      <c r="I129" s="64">
        <f>TRUNC((_xlfn.NORM.INV((RAND()),$E$35,$E$36)),2)</f>
        <v/>
      </c>
      <c r="J129" s="64">
        <f>TRUNC((_xlfn.NORM.INV((RAND()),$E$35,$E$36)),2)</f>
        <v/>
      </c>
      <c r="Z129" s="64" t="n">
        <v>103</v>
      </c>
      <c r="AA129" s="20">
        <f>TRUNC(IF(H129&lt;0,0,H129),0)</f>
        <v/>
      </c>
      <c r="AB129" s="20">
        <f>TRUNC(IF(I129&lt;0,0,I129),0)</f>
        <v/>
      </c>
      <c r="AC129" s="20">
        <f>TRUNC(IF(J129&lt;0,0,J129),0)</f>
        <v/>
      </c>
      <c r="AS129" s="64" t="n">
        <v>103</v>
      </c>
      <c r="AT129" s="5" t="n">
        <v>6</v>
      </c>
      <c r="AU129" s="5" t="n">
        <v>4</v>
      </c>
      <c r="AV129" s="5" t="n">
        <v>4</v>
      </c>
      <c r="AZ129" s="2" t="n"/>
      <c r="BA129" s="2" t="n"/>
      <c r="BB129" s="2" t="n"/>
      <c r="BE129" s="2" t="n"/>
      <c r="BF129" s="2" t="n"/>
      <c r="BG129" s="2" t="n"/>
    </row>
    <row r="130">
      <c r="G130" s="64" t="n">
        <v>104</v>
      </c>
      <c r="H130" s="64">
        <f>TRUNC((_xlfn.NORM.INV((RAND()),$E$35,$E$36)),2)</f>
        <v/>
      </c>
      <c r="I130" s="64">
        <f>TRUNC((_xlfn.NORM.INV((RAND()),$E$35,$E$36)),2)</f>
        <v/>
      </c>
      <c r="J130" s="64">
        <f>TRUNC((_xlfn.NORM.INV((RAND()),$E$35,$E$36)),2)</f>
        <v/>
      </c>
      <c r="Z130" s="64" t="n">
        <v>104</v>
      </c>
      <c r="AA130" s="20">
        <f>TRUNC(IF(H130&lt;0,0,H130),0)</f>
        <v/>
      </c>
      <c r="AB130" s="20">
        <f>TRUNC(IF(I130&lt;0,0,I130),0)</f>
        <v/>
      </c>
      <c r="AC130" s="20">
        <f>TRUNC(IF(J130&lt;0,0,J130),0)</f>
        <v/>
      </c>
      <c r="AS130" s="64" t="n">
        <v>104</v>
      </c>
      <c r="AT130" s="5" t="n">
        <v>2</v>
      </c>
      <c r="AU130" s="5" t="n">
        <v>4</v>
      </c>
      <c r="AV130" s="5" t="n">
        <v>5</v>
      </c>
      <c r="AZ130" s="2" t="n"/>
      <c r="BA130" s="2" t="n"/>
      <c r="BB130" s="2" t="n"/>
      <c r="BE130" s="2" t="n"/>
      <c r="BF130" s="2" t="n"/>
      <c r="BG130" s="2" t="n"/>
    </row>
    <row r="131">
      <c r="G131" s="64" t="n">
        <v>105</v>
      </c>
      <c r="H131" s="64">
        <f>TRUNC((_xlfn.NORM.INV((RAND()),$E$35,$E$36)),2)</f>
        <v/>
      </c>
      <c r="I131" s="64">
        <f>TRUNC((_xlfn.NORM.INV((RAND()),$E$35,$E$36)),2)</f>
        <v/>
      </c>
      <c r="J131" s="64">
        <f>TRUNC((_xlfn.NORM.INV((RAND()),$E$35,$E$36)),2)</f>
        <v/>
      </c>
      <c r="Z131" s="64" t="n">
        <v>105</v>
      </c>
      <c r="AA131" s="20">
        <f>TRUNC(IF(H131&lt;0,0,H131),0)</f>
        <v/>
      </c>
      <c r="AB131" s="20">
        <f>TRUNC(IF(I131&lt;0,0,I131),0)</f>
        <v/>
      </c>
      <c r="AC131" s="20">
        <f>TRUNC(IF(J131&lt;0,0,J131),0)</f>
        <v/>
      </c>
      <c r="AS131" s="64" t="n">
        <v>105</v>
      </c>
      <c r="AT131" s="5" t="n">
        <v>6</v>
      </c>
      <c r="AU131" s="5" t="n">
        <v>7</v>
      </c>
      <c r="AV131" s="5" t="n">
        <v>6</v>
      </c>
      <c r="AZ131" s="2" t="n"/>
      <c r="BA131" s="2" t="n"/>
      <c r="BB131" s="2" t="n"/>
      <c r="BE131" s="2" t="n"/>
      <c r="BF131" s="2" t="n"/>
      <c r="BG131" s="2" t="n"/>
    </row>
    <row r="132">
      <c r="G132" s="64" t="n">
        <v>106</v>
      </c>
      <c r="H132" s="64">
        <f>TRUNC((_xlfn.NORM.INV((RAND()),$E$35,$E$36)),2)</f>
        <v/>
      </c>
      <c r="I132" s="64">
        <f>TRUNC((_xlfn.NORM.INV((RAND()),$E$35,$E$36)),2)</f>
        <v/>
      </c>
      <c r="J132" s="64">
        <f>TRUNC((_xlfn.NORM.INV((RAND()),$E$35,$E$36)),2)</f>
        <v/>
      </c>
      <c r="Z132" s="64" t="n">
        <v>106</v>
      </c>
      <c r="AA132" s="20">
        <f>TRUNC(IF(H132&lt;0,0,H132),0)</f>
        <v/>
      </c>
      <c r="AB132" s="20">
        <f>TRUNC(IF(I132&lt;0,0,I132),0)</f>
        <v/>
      </c>
      <c r="AC132" s="20">
        <f>TRUNC(IF(J132&lt;0,0,J132),0)</f>
        <v/>
      </c>
      <c r="AS132" s="64" t="n">
        <v>106</v>
      </c>
      <c r="AT132" s="5" t="n">
        <v>4</v>
      </c>
      <c r="AU132" s="5" t="n">
        <v>3</v>
      </c>
      <c r="AV132" s="5" t="n">
        <v>5</v>
      </c>
      <c r="AZ132" s="2" t="n"/>
      <c r="BA132" s="2" t="n"/>
      <c r="BB132" s="2" t="n"/>
      <c r="BE132" s="2" t="n"/>
      <c r="BF132" s="2" t="n"/>
      <c r="BG132" s="2" t="n"/>
    </row>
    <row r="133">
      <c r="G133" s="64" t="n">
        <v>107</v>
      </c>
      <c r="H133" s="64">
        <f>TRUNC((_xlfn.NORM.INV((RAND()),$E$35,$E$36)),2)</f>
        <v/>
      </c>
      <c r="I133" s="64">
        <f>TRUNC((_xlfn.NORM.INV((RAND()),$E$35,$E$36)),2)</f>
        <v/>
      </c>
      <c r="J133" s="64">
        <f>TRUNC((_xlfn.NORM.INV((RAND()),$E$35,$E$36)),2)</f>
        <v/>
      </c>
      <c r="Z133" s="64" t="n">
        <v>107</v>
      </c>
      <c r="AA133" s="20">
        <f>TRUNC(IF(H133&lt;0,0,H133),0)</f>
        <v/>
      </c>
      <c r="AB133" s="20">
        <f>TRUNC(IF(I133&lt;0,0,I133),0)</f>
        <v/>
      </c>
      <c r="AC133" s="20">
        <f>TRUNC(IF(J133&lt;0,0,J133),0)</f>
        <v/>
      </c>
      <c r="AS133" s="64" t="n">
        <v>107</v>
      </c>
      <c r="AT133" s="5" t="n">
        <v>3</v>
      </c>
      <c r="AU133" s="5" t="n">
        <v>5</v>
      </c>
      <c r="AV133" s="5" t="n">
        <v>6</v>
      </c>
      <c r="AZ133" s="2" t="n"/>
      <c r="BA133" s="2" t="n"/>
      <c r="BB133" s="2" t="n"/>
      <c r="BE133" s="2" t="n"/>
      <c r="BF133" s="2" t="n"/>
      <c r="BG133" s="2" t="n"/>
    </row>
    <row r="134">
      <c r="G134" s="64" t="n">
        <v>108</v>
      </c>
      <c r="H134" s="64">
        <f>TRUNC((_xlfn.NORM.INV((RAND()),$E$35,$E$36)),2)</f>
        <v/>
      </c>
      <c r="I134" s="64">
        <f>TRUNC((_xlfn.NORM.INV((RAND()),$E$35,$E$36)),2)</f>
        <v/>
      </c>
      <c r="J134" s="64">
        <f>TRUNC((_xlfn.NORM.INV((RAND()),$E$35,$E$36)),2)</f>
        <v/>
      </c>
      <c r="Z134" s="64" t="n">
        <v>108</v>
      </c>
      <c r="AA134" s="20">
        <f>TRUNC(IF(H134&lt;0,0,H134),0)</f>
        <v/>
      </c>
      <c r="AB134" s="20">
        <f>TRUNC(IF(I134&lt;0,0,I134),0)</f>
        <v/>
      </c>
      <c r="AC134" s="20">
        <f>TRUNC(IF(J134&lt;0,0,J134),0)</f>
        <v/>
      </c>
      <c r="AS134" s="64" t="n">
        <v>108</v>
      </c>
      <c r="AT134" s="5" t="n">
        <v>5</v>
      </c>
      <c r="AU134" s="5" t="n">
        <v>4</v>
      </c>
      <c r="AV134" s="5" t="n">
        <v>6</v>
      </c>
      <c r="AZ134" s="2" t="n"/>
      <c r="BA134" s="2" t="n"/>
      <c r="BB134" s="2" t="n"/>
      <c r="BE134" s="2" t="n"/>
      <c r="BF134" s="2" t="n"/>
      <c r="BG134" s="2" t="n"/>
    </row>
    <row r="135">
      <c r="G135" s="64" t="n">
        <v>109</v>
      </c>
      <c r="H135" s="64">
        <f>TRUNC((_xlfn.NORM.INV((RAND()),$E$35,$E$36)),2)</f>
        <v/>
      </c>
      <c r="I135" s="64">
        <f>TRUNC((_xlfn.NORM.INV((RAND()),$E$35,$E$36)),2)</f>
        <v/>
      </c>
      <c r="J135" s="64">
        <f>TRUNC((_xlfn.NORM.INV((RAND()),$E$35,$E$36)),2)</f>
        <v/>
      </c>
      <c r="Z135" s="64" t="n">
        <v>109</v>
      </c>
      <c r="AA135" s="20">
        <f>TRUNC(IF(H135&lt;0,0,H135),0)</f>
        <v/>
      </c>
      <c r="AB135" s="20">
        <f>TRUNC(IF(I135&lt;0,0,I135),0)</f>
        <v/>
      </c>
      <c r="AC135" s="20">
        <f>TRUNC(IF(J135&lt;0,0,J135),0)</f>
        <v/>
      </c>
      <c r="AS135" s="64" t="n">
        <v>109</v>
      </c>
      <c r="AT135" s="5" t="n">
        <v>5</v>
      </c>
      <c r="AU135" s="5" t="n">
        <v>6</v>
      </c>
      <c r="AV135" s="5" t="n">
        <v>6</v>
      </c>
      <c r="AZ135" s="2" t="n"/>
      <c r="BA135" s="2" t="n"/>
      <c r="BB135" s="2" t="n"/>
      <c r="BE135" s="2" t="n"/>
      <c r="BF135" s="2" t="n"/>
      <c r="BG135" s="2" t="n"/>
    </row>
    <row r="136">
      <c r="G136" s="64" t="n">
        <v>110</v>
      </c>
      <c r="H136" s="64">
        <f>TRUNC((_xlfn.NORM.INV((RAND()),$E$35,$E$36)),2)</f>
        <v/>
      </c>
      <c r="I136" s="64">
        <f>TRUNC((_xlfn.NORM.INV((RAND()),$E$35,$E$36)),2)</f>
        <v/>
      </c>
      <c r="J136" s="64">
        <f>TRUNC((_xlfn.NORM.INV((RAND()),$E$35,$E$36)),2)</f>
        <v/>
      </c>
      <c r="Z136" s="64" t="n">
        <v>110</v>
      </c>
      <c r="AA136" s="20">
        <f>TRUNC(IF(H136&lt;0,0,H136),0)</f>
        <v/>
      </c>
      <c r="AB136" s="20">
        <f>TRUNC(IF(I136&lt;0,0,I136),0)</f>
        <v/>
      </c>
      <c r="AC136" s="20">
        <f>TRUNC(IF(J136&lt;0,0,J136),0)</f>
        <v/>
      </c>
      <c r="AS136" s="64" t="n">
        <v>110</v>
      </c>
      <c r="AT136" s="5" t="n">
        <v>7</v>
      </c>
      <c r="AU136" s="5" t="n">
        <v>5</v>
      </c>
      <c r="AV136" s="5" t="n">
        <v>5</v>
      </c>
      <c r="AZ136" s="2" t="n"/>
      <c r="BA136" s="2" t="n"/>
      <c r="BB136" s="2" t="n"/>
      <c r="BE136" s="2" t="n"/>
      <c r="BF136" s="2" t="n"/>
      <c r="BG136" s="2" t="n"/>
    </row>
    <row r="137">
      <c r="G137" s="64" t="n">
        <v>111</v>
      </c>
      <c r="H137" s="64">
        <f>TRUNC((_xlfn.NORM.INV((RAND()),$E$35,$E$36)),2)</f>
        <v/>
      </c>
      <c r="I137" s="64">
        <f>TRUNC((_xlfn.NORM.INV((RAND()),$E$35,$E$36)),2)</f>
        <v/>
      </c>
      <c r="J137" s="64">
        <f>TRUNC((_xlfn.NORM.INV((RAND()),$E$35,$E$36)),2)</f>
        <v/>
      </c>
      <c r="Z137" s="64" t="n">
        <v>111</v>
      </c>
      <c r="AA137" s="20">
        <f>TRUNC(IF(H137&lt;0,0,H137),0)</f>
        <v/>
      </c>
      <c r="AB137" s="20">
        <f>TRUNC(IF(I137&lt;0,0,I137),0)</f>
        <v/>
      </c>
      <c r="AC137" s="20">
        <f>TRUNC(IF(J137&lt;0,0,J137),0)</f>
        <v/>
      </c>
      <c r="AS137" s="64" t="n">
        <v>111</v>
      </c>
      <c r="AT137" s="5" t="n">
        <v>3</v>
      </c>
      <c r="AU137" s="5" t="n">
        <v>5</v>
      </c>
      <c r="AV137" s="5" t="n">
        <v>7</v>
      </c>
      <c r="AZ137" s="2" t="n"/>
      <c r="BA137" s="2" t="n"/>
      <c r="BB137" s="2" t="n"/>
      <c r="BE137" s="2" t="n"/>
      <c r="BF137" s="2" t="n"/>
      <c r="BG137" s="2" t="n"/>
    </row>
    <row r="138">
      <c r="G138" s="64" t="n">
        <v>112</v>
      </c>
      <c r="H138" s="64">
        <f>TRUNC((_xlfn.NORM.INV((RAND()),$E$35,$E$36)),2)</f>
        <v/>
      </c>
      <c r="I138" s="64">
        <f>TRUNC((_xlfn.NORM.INV((RAND()),$E$35,$E$36)),2)</f>
        <v/>
      </c>
      <c r="J138" s="64">
        <f>TRUNC((_xlfn.NORM.INV((RAND()),$E$35,$E$36)),2)</f>
        <v/>
      </c>
      <c r="Z138" s="64" t="n">
        <v>112</v>
      </c>
      <c r="AA138" s="20">
        <f>TRUNC(IF(H138&lt;0,0,H138),0)</f>
        <v/>
      </c>
      <c r="AB138" s="20">
        <f>TRUNC(IF(I138&lt;0,0,I138),0)</f>
        <v/>
      </c>
      <c r="AC138" s="20">
        <f>TRUNC(IF(J138&lt;0,0,J138),0)</f>
        <v/>
      </c>
      <c r="AS138" s="64" t="n">
        <v>112</v>
      </c>
      <c r="AT138" s="5" t="n">
        <v>4</v>
      </c>
      <c r="AU138" s="5" t="n">
        <v>6</v>
      </c>
      <c r="AV138" s="5" t="n">
        <v>5</v>
      </c>
      <c r="AZ138" s="2" t="n"/>
      <c r="BA138" s="2" t="n"/>
      <c r="BB138" s="2" t="n"/>
      <c r="BE138" s="2" t="n"/>
      <c r="BF138" s="2" t="n"/>
      <c r="BG138" s="2" t="n"/>
    </row>
    <row r="139">
      <c r="G139" s="64" t="n">
        <v>113</v>
      </c>
      <c r="H139" s="64">
        <f>TRUNC((_xlfn.NORM.INV((RAND()),$E$35,$E$36)),2)</f>
        <v/>
      </c>
      <c r="I139" s="64">
        <f>TRUNC((_xlfn.NORM.INV((RAND()),$E$35,$E$36)),2)</f>
        <v/>
      </c>
      <c r="J139" s="64">
        <f>TRUNC((_xlfn.NORM.INV((RAND()),$E$35,$E$36)),2)</f>
        <v/>
      </c>
      <c r="Z139" s="64" t="n">
        <v>113</v>
      </c>
      <c r="AA139" s="20">
        <f>TRUNC(IF(H139&lt;0,0,H139),0)</f>
        <v/>
      </c>
      <c r="AB139" s="20">
        <f>TRUNC(IF(I139&lt;0,0,I139),0)</f>
        <v/>
      </c>
      <c r="AC139" s="20">
        <f>TRUNC(IF(J139&lt;0,0,J139),0)</f>
        <v/>
      </c>
      <c r="AS139" s="64" t="n">
        <v>113</v>
      </c>
      <c r="AT139" s="5" t="n">
        <v>6</v>
      </c>
      <c r="AU139" s="5" t="n">
        <v>6</v>
      </c>
      <c r="AV139" s="5" t="n">
        <v>4</v>
      </c>
      <c r="AZ139" s="2" t="n"/>
      <c r="BA139" s="2" t="n"/>
      <c r="BB139" s="2" t="n"/>
      <c r="BE139" s="2" t="n"/>
      <c r="BF139" s="2" t="n"/>
      <c r="BG139" s="2" t="n"/>
    </row>
    <row r="140">
      <c r="G140" s="64" t="n">
        <v>114</v>
      </c>
      <c r="H140" s="64">
        <f>TRUNC((_xlfn.NORM.INV((RAND()),$E$35,$E$36)),2)</f>
        <v/>
      </c>
      <c r="I140" s="64">
        <f>TRUNC((_xlfn.NORM.INV((RAND()),$E$35,$E$36)),2)</f>
        <v/>
      </c>
      <c r="J140" s="64">
        <f>TRUNC((_xlfn.NORM.INV((RAND()),$E$35,$E$36)),2)</f>
        <v/>
      </c>
      <c r="Z140" s="64" t="n">
        <v>114</v>
      </c>
      <c r="AA140" s="20">
        <f>TRUNC(IF(H140&lt;0,0,H140),0)</f>
        <v/>
      </c>
      <c r="AB140" s="20">
        <f>TRUNC(IF(I140&lt;0,0,I140),0)</f>
        <v/>
      </c>
      <c r="AC140" s="20">
        <f>TRUNC(IF(J140&lt;0,0,J140),0)</f>
        <v/>
      </c>
      <c r="AS140" s="64" t="n">
        <v>114</v>
      </c>
      <c r="AT140" s="5" t="n">
        <v>4</v>
      </c>
      <c r="AU140" s="5" t="n">
        <v>8</v>
      </c>
      <c r="AV140" s="5" t="n">
        <v>4</v>
      </c>
      <c r="AZ140" s="2" t="n"/>
      <c r="BA140" s="2" t="n"/>
      <c r="BB140" s="2" t="n"/>
      <c r="BE140" s="2" t="n"/>
      <c r="BF140" s="2" t="n"/>
      <c r="BG140" s="2" t="n"/>
    </row>
    <row r="141">
      <c r="G141" s="64" t="n">
        <v>115</v>
      </c>
      <c r="H141" s="64">
        <f>TRUNC((_xlfn.NORM.INV((RAND()),$E$35,$E$36)),2)</f>
        <v/>
      </c>
      <c r="I141" s="64">
        <f>TRUNC((_xlfn.NORM.INV((RAND()),$E$35,$E$36)),2)</f>
        <v/>
      </c>
      <c r="J141" s="64">
        <f>TRUNC((_xlfn.NORM.INV((RAND()),$E$35,$E$36)),2)</f>
        <v/>
      </c>
      <c r="Z141" s="64" t="n">
        <v>115</v>
      </c>
      <c r="AA141" s="20">
        <f>TRUNC(IF(H141&lt;0,0,H141),0)</f>
        <v/>
      </c>
      <c r="AB141" s="20">
        <f>TRUNC(IF(I141&lt;0,0,I141),0)</f>
        <v/>
      </c>
      <c r="AC141" s="20">
        <f>TRUNC(IF(J141&lt;0,0,J141),0)</f>
        <v/>
      </c>
      <c r="AS141" s="64" t="n">
        <v>115</v>
      </c>
      <c r="AT141" s="5" t="n">
        <v>6</v>
      </c>
      <c r="AU141" s="5" t="n">
        <v>7</v>
      </c>
      <c r="AV141" s="5" t="n">
        <v>6</v>
      </c>
      <c r="AZ141" s="2" t="n"/>
      <c r="BA141" s="2" t="n"/>
      <c r="BB141" s="2" t="n"/>
      <c r="BE141" s="2" t="n"/>
      <c r="BF141" s="2" t="n"/>
      <c r="BG141" s="2" t="n"/>
    </row>
    <row r="142">
      <c r="G142" s="64" t="n">
        <v>116</v>
      </c>
      <c r="H142" s="64">
        <f>TRUNC((_xlfn.NORM.INV((RAND()),$E$35,$E$36)),2)</f>
        <v/>
      </c>
      <c r="I142" s="64">
        <f>TRUNC((_xlfn.NORM.INV((RAND()),$E$35,$E$36)),2)</f>
        <v/>
      </c>
      <c r="J142" s="64">
        <f>TRUNC((_xlfn.NORM.INV((RAND()),$E$35,$E$36)),2)</f>
        <v/>
      </c>
      <c r="Z142" s="64" t="n">
        <v>116</v>
      </c>
      <c r="AA142" s="20">
        <f>TRUNC(IF(H142&lt;0,0,H142),0)</f>
        <v/>
      </c>
      <c r="AB142" s="20">
        <f>TRUNC(IF(I142&lt;0,0,I142),0)</f>
        <v/>
      </c>
      <c r="AC142" s="20">
        <f>TRUNC(IF(J142&lt;0,0,J142),0)</f>
        <v/>
      </c>
      <c r="AS142" s="64" t="n">
        <v>116</v>
      </c>
      <c r="AT142" s="5" t="n">
        <v>3</v>
      </c>
      <c r="AU142" s="5" t="n">
        <v>6</v>
      </c>
      <c r="AV142" s="5" t="n">
        <v>5</v>
      </c>
      <c r="AZ142" s="2" t="n"/>
      <c r="BA142" s="2" t="n"/>
      <c r="BB142" s="2" t="n"/>
      <c r="BE142" s="2" t="n"/>
      <c r="BF142" s="2" t="n"/>
      <c r="BG142" s="2" t="n"/>
    </row>
    <row r="143">
      <c r="G143" s="64" t="n">
        <v>117</v>
      </c>
      <c r="H143" s="64">
        <f>TRUNC((_xlfn.NORM.INV((RAND()),$E$35,$E$36)),2)</f>
        <v/>
      </c>
      <c r="I143" s="64">
        <f>TRUNC((_xlfn.NORM.INV((RAND()),$E$35,$E$36)),2)</f>
        <v/>
      </c>
      <c r="J143" s="64">
        <f>TRUNC((_xlfn.NORM.INV((RAND()),$E$35,$E$36)),2)</f>
        <v/>
      </c>
      <c r="Z143" s="64" t="n">
        <v>117</v>
      </c>
      <c r="AA143" s="20">
        <f>TRUNC(IF(H143&lt;0,0,H143),0)</f>
        <v/>
      </c>
      <c r="AB143" s="20">
        <f>TRUNC(IF(I143&lt;0,0,I143),0)</f>
        <v/>
      </c>
      <c r="AC143" s="20">
        <f>TRUNC(IF(J143&lt;0,0,J143),0)</f>
        <v/>
      </c>
      <c r="AS143" s="64" t="n">
        <v>117</v>
      </c>
      <c r="AT143" s="5" t="n">
        <v>4</v>
      </c>
      <c r="AU143" s="5" t="n">
        <v>5</v>
      </c>
      <c r="AV143" s="5" t="n">
        <v>3</v>
      </c>
      <c r="AZ143" s="2" t="n"/>
      <c r="BA143" s="2" t="n"/>
      <c r="BB143" s="2" t="n"/>
      <c r="BE143" s="2" t="n"/>
      <c r="BF143" s="2" t="n"/>
      <c r="BG143" s="2" t="n"/>
    </row>
    <row r="144">
      <c r="G144" s="64" t="n">
        <v>118</v>
      </c>
      <c r="H144" s="64">
        <f>TRUNC((_xlfn.NORM.INV((RAND()),$E$35,$E$36)),2)</f>
        <v/>
      </c>
      <c r="I144" s="64">
        <f>TRUNC((_xlfn.NORM.INV((RAND()),$E$35,$E$36)),2)</f>
        <v/>
      </c>
      <c r="J144" s="64">
        <f>TRUNC((_xlfn.NORM.INV((RAND()),$E$35,$E$36)),2)</f>
        <v/>
      </c>
      <c r="Z144" s="64" t="n">
        <v>118</v>
      </c>
      <c r="AA144" s="20">
        <f>TRUNC(IF(H144&lt;0,0,H144),0)</f>
        <v/>
      </c>
      <c r="AB144" s="20">
        <f>TRUNC(IF(I144&lt;0,0,I144),0)</f>
        <v/>
      </c>
      <c r="AC144" s="20">
        <f>TRUNC(IF(J144&lt;0,0,J144),0)</f>
        <v/>
      </c>
      <c r="AS144" s="64" t="n">
        <v>118</v>
      </c>
      <c r="AT144" s="5" t="n">
        <v>6</v>
      </c>
      <c r="AU144" s="5" t="n">
        <v>4</v>
      </c>
      <c r="AV144" s="5" t="n">
        <v>7</v>
      </c>
      <c r="AZ144" s="2" t="n"/>
      <c r="BA144" s="2" t="n"/>
      <c r="BB144" s="2" t="n"/>
      <c r="BE144" s="2" t="n"/>
      <c r="BF144" s="2" t="n"/>
      <c r="BG144" s="2" t="n"/>
    </row>
    <row r="145">
      <c r="G145" s="64" t="n">
        <v>119</v>
      </c>
      <c r="H145" s="64">
        <f>TRUNC((_xlfn.NORM.INV((RAND()),$E$35,$E$36)),2)</f>
        <v/>
      </c>
      <c r="I145" s="64">
        <f>TRUNC((_xlfn.NORM.INV((RAND()),$E$35,$E$36)),2)</f>
        <v/>
      </c>
      <c r="J145" s="64">
        <f>TRUNC((_xlfn.NORM.INV((RAND()),$E$35,$E$36)),2)</f>
        <v/>
      </c>
      <c r="Z145" s="64" t="n">
        <v>119</v>
      </c>
      <c r="AA145" s="20">
        <f>TRUNC(IF(H145&lt;0,0,H145),0)</f>
        <v/>
      </c>
      <c r="AB145" s="20">
        <f>TRUNC(IF(I145&lt;0,0,I145),0)</f>
        <v/>
      </c>
      <c r="AC145" s="20">
        <f>TRUNC(IF(J145&lt;0,0,J145),0)</f>
        <v/>
      </c>
      <c r="AS145" s="64" t="n">
        <v>119</v>
      </c>
      <c r="AT145" s="5" t="n">
        <v>2</v>
      </c>
      <c r="AU145" s="5" t="n">
        <v>5</v>
      </c>
      <c r="AV145" s="5" t="n">
        <v>5</v>
      </c>
      <c r="AZ145" s="2" t="n"/>
      <c r="BA145" s="2" t="n"/>
      <c r="BB145" s="2" t="n"/>
      <c r="BE145" s="2" t="n"/>
      <c r="BF145" s="2" t="n"/>
      <c r="BG145" s="2" t="n"/>
    </row>
    <row r="146">
      <c r="G146" s="64" t="n">
        <v>120</v>
      </c>
      <c r="H146" s="64">
        <f>TRUNC((_xlfn.NORM.INV((RAND()),$E$35,$E$36)),2)</f>
        <v/>
      </c>
      <c r="I146" s="64">
        <f>TRUNC((_xlfn.NORM.INV((RAND()),$E$35,$E$36)),2)</f>
        <v/>
      </c>
      <c r="J146" s="64">
        <f>TRUNC((_xlfn.NORM.INV((RAND()),$E$35,$E$36)),2)</f>
        <v/>
      </c>
      <c r="Z146" s="64" t="n">
        <v>120</v>
      </c>
      <c r="AA146" s="20">
        <f>TRUNC(IF(H146&lt;0,0,H146),0)</f>
        <v/>
      </c>
      <c r="AB146" s="20">
        <f>TRUNC(IF(I146&lt;0,0,I146),0)</f>
        <v/>
      </c>
      <c r="AC146" s="20">
        <f>TRUNC(IF(J146&lt;0,0,J146),0)</f>
        <v/>
      </c>
      <c r="AS146" s="64" t="n">
        <v>120</v>
      </c>
      <c r="AT146" s="5" t="n">
        <v>8</v>
      </c>
      <c r="AU146" s="5" t="n">
        <v>6</v>
      </c>
      <c r="AV146" s="5" t="n">
        <v>6</v>
      </c>
      <c r="AZ146" s="2" t="n"/>
      <c r="BA146" s="2" t="n"/>
      <c r="BB146" s="2" t="n"/>
      <c r="BE146" s="2" t="n"/>
      <c r="BF146" s="2" t="n"/>
      <c r="BG146" s="2" t="n"/>
    </row>
    <row r="147">
      <c r="G147" s="64" t="n">
        <v>121</v>
      </c>
      <c r="H147" s="64">
        <f>TRUNC((_xlfn.NORM.INV((RAND()),$E$35,$E$36)),2)</f>
        <v/>
      </c>
      <c r="I147" s="64">
        <f>TRUNC((_xlfn.NORM.INV((RAND()),$E$35,$E$36)),2)</f>
        <v/>
      </c>
      <c r="J147" s="64">
        <f>TRUNC((_xlfn.NORM.INV((RAND()),$E$35,$E$36)),2)</f>
        <v/>
      </c>
      <c r="Z147" s="64" t="n">
        <v>121</v>
      </c>
      <c r="AA147" s="20">
        <f>TRUNC(IF(H147&lt;0,0,H147),0)</f>
        <v/>
      </c>
      <c r="AB147" s="20">
        <f>TRUNC(IF(I147&lt;0,0,I147),0)</f>
        <v/>
      </c>
      <c r="AC147" s="20">
        <f>TRUNC(IF(J147&lt;0,0,J147),0)</f>
        <v/>
      </c>
      <c r="AS147" s="64" t="n">
        <v>121</v>
      </c>
      <c r="AT147" s="5" t="n">
        <v>5</v>
      </c>
      <c r="AU147" s="5" t="n">
        <v>5</v>
      </c>
      <c r="AV147" s="5" t="n">
        <v>6</v>
      </c>
      <c r="AZ147" s="2" t="n"/>
      <c r="BA147" s="2" t="n"/>
      <c r="BB147" s="2" t="n"/>
      <c r="BE147" s="2" t="n"/>
      <c r="BF147" s="2" t="n"/>
      <c r="BG147" s="2" t="n"/>
    </row>
    <row r="148">
      <c r="G148" s="64" t="n">
        <v>122</v>
      </c>
      <c r="H148" s="64">
        <f>TRUNC((_xlfn.NORM.INV((RAND()),$E$35,$E$36)),2)</f>
        <v/>
      </c>
      <c r="I148" s="64">
        <f>TRUNC((_xlfn.NORM.INV((RAND()),$E$35,$E$36)),2)</f>
        <v/>
      </c>
      <c r="J148" s="64">
        <f>TRUNC((_xlfn.NORM.INV((RAND()),$E$35,$E$36)),2)</f>
        <v/>
      </c>
      <c r="Z148" s="64" t="n">
        <v>122</v>
      </c>
      <c r="AA148" s="20">
        <f>TRUNC(IF(H148&lt;0,0,H148),0)</f>
        <v/>
      </c>
      <c r="AB148" s="20">
        <f>TRUNC(IF(I148&lt;0,0,I148),0)</f>
        <v/>
      </c>
      <c r="AC148" s="20">
        <f>TRUNC(IF(J148&lt;0,0,J148),0)</f>
        <v/>
      </c>
      <c r="AS148" s="64" t="n">
        <v>122</v>
      </c>
      <c r="AT148" s="5" t="n">
        <v>6</v>
      </c>
      <c r="AU148" s="5" t="n">
        <v>5</v>
      </c>
      <c r="AV148" s="5" t="n">
        <v>7</v>
      </c>
      <c r="AZ148" s="2" t="n"/>
      <c r="BA148" s="2" t="n"/>
      <c r="BB148" s="2" t="n"/>
      <c r="BE148" s="2" t="n"/>
      <c r="BF148" s="2" t="n"/>
      <c r="BG148" s="2" t="n"/>
    </row>
    <row r="149">
      <c r="G149" s="64" t="n">
        <v>123</v>
      </c>
      <c r="H149" s="64">
        <f>TRUNC((_xlfn.NORM.INV((RAND()),$E$35,$E$36)),2)</f>
        <v/>
      </c>
      <c r="I149" s="64">
        <f>TRUNC((_xlfn.NORM.INV((RAND()),$E$35,$E$36)),2)</f>
        <v/>
      </c>
      <c r="J149" s="64">
        <f>TRUNC((_xlfn.NORM.INV((RAND()),$E$35,$E$36)),2)</f>
        <v/>
      </c>
      <c r="Z149" s="64" t="n">
        <v>123</v>
      </c>
      <c r="AA149" s="20">
        <f>TRUNC(IF(H149&lt;0,0,H149),0)</f>
        <v/>
      </c>
      <c r="AB149" s="20">
        <f>TRUNC(IF(I149&lt;0,0,I149),0)</f>
        <v/>
      </c>
      <c r="AC149" s="20">
        <f>TRUNC(IF(J149&lt;0,0,J149),0)</f>
        <v/>
      </c>
      <c r="AS149" s="64" t="n">
        <v>123</v>
      </c>
      <c r="AT149" s="5" t="n">
        <v>5</v>
      </c>
      <c r="AU149" s="5" t="n">
        <v>6</v>
      </c>
      <c r="AV149" s="5" t="n">
        <v>4</v>
      </c>
      <c r="AZ149" s="2" t="n"/>
      <c r="BA149" s="2" t="n"/>
      <c r="BB149" s="2" t="n"/>
      <c r="BE149" s="2" t="n"/>
      <c r="BF149" s="2" t="n"/>
      <c r="BG149" s="2" t="n"/>
    </row>
    <row r="150">
      <c r="G150" s="64" t="n">
        <v>124</v>
      </c>
      <c r="H150" s="64">
        <f>TRUNC((_xlfn.NORM.INV((RAND()),$E$35,$E$36)),2)</f>
        <v/>
      </c>
      <c r="I150" s="64">
        <f>TRUNC((_xlfn.NORM.INV((RAND()),$E$35,$E$36)),2)</f>
        <v/>
      </c>
      <c r="J150" s="64">
        <f>TRUNC((_xlfn.NORM.INV((RAND()),$E$35,$E$36)),2)</f>
        <v/>
      </c>
      <c r="Z150" s="64" t="n">
        <v>124</v>
      </c>
      <c r="AA150" s="20">
        <f>TRUNC(IF(H150&lt;0,0,H150),0)</f>
        <v/>
      </c>
      <c r="AB150" s="20">
        <f>TRUNC(IF(I150&lt;0,0,I150),0)</f>
        <v/>
      </c>
      <c r="AC150" s="20">
        <f>TRUNC(IF(J150&lt;0,0,J150),0)</f>
        <v/>
      </c>
      <c r="AS150" s="64" t="n">
        <v>124</v>
      </c>
      <c r="AT150" s="5" t="n">
        <v>4</v>
      </c>
      <c r="AU150" s="5" t="n">
        <v>6</v>
      </c>
      <c r="AV150" s="5" t="n">
        <v>6</v>
      </c>
      <c r="AZ150" s="2" t="n"/>
      <c r="BA150" s="2" t="n"/>
      <c r="BB150" s="2" t="n"/>
      <c r="BE150" s="2" t="n"/>
      <c r="BF150" s="2" t="n"/>
      <c r="BG150" s="2" t="n"/>
    </row>
    <row r="151">
      <c r="G151" s="64" t="n">
        <v>125</v>
      </c>
      <c r="H151" s="64">
        <f>TRUNC((_xlfn.NORM.INV((RAND()),$E$35,$E$36)),2)</f>
        <v/>
      </c>
      <c r="I151" s="64">
        <f>TRUNC((_xlfn.NORM.INV((RAND()),$E$35,$E$36)),2)</f>
        <v/>
      </c>
      <c r="J151" s="64">
        <f>TRUNC((_xlfn.NORM.INV((RAND()),$E$35,$E$36)),2)</f>
        <v/>
      </c>
      <c r="Z151" s="64" t="n">
        <v>125</v>
      </c>
      <c r="AA151" s="20">
        <f>TRUNC(IF(H151&lt;0,0,H151),0)</f>
        <v/>
      </c>
      <c r="AB151" s="20">
        <f>TRUNC(IF(I151&lt;0,0,I151),0)</f>
        <v/>
      </c>
      <c r="AC151" s="20">
        <f>TRUNC(IF(J151&lt;0,0,J151),0)</f>
        <v/>
      </c>
      <c r="AS151" s="64" t="n">
        <v>125</v>
      </c>
      <c r="AT151" s="5" t="n">
        <v>4</v>
      </c>
      <c r="AU151" s="5" t="n">
        <v>4</v>
      </c>
      <c r="AV151" s="5" t="n">
        <v>4</v>
      </c>
      <c r="AZ151" s="2" t="n"/>
      <c r="BA151" s="2" t="n"/>
      <c r="BB151" s="2" t="n"/>
      <c r="BE151" s="2" t="n"/>
      <c r="BF151" s="2" t="n"/>
      <c r="BG151" s="2" t="n"/>
    </row>
    <row r="152">
      <c r="G152" s="64" t="n">
        <v>126</v>
      </c>
      <c r="H152" s="64">
        <f>TRUNC((_xlfn.NORM.INV((RAND()),$E$35,$E$36)),2)</f>
        <v/>
      </c>
      <c r="I152" s="64">
        <f>TRUNC((_xlfn.NORM.INV((RAND()),$E$35,$E$36)),2)</f>
        <v/>
      </c>
      <c r="J152" s="64">
        <f>TRUNC((_xlfn.NORM.INV((RAND()),$E$35,$E$36)),2)</f>
        <v/>
      </c>
      <c r="Z152" s="64" t="n">
        <v>126</v>
      </c>
      <c r="AA152" s="20">
        <f>TRUNC(IF(H152&lt;0,0,H152),0)</f>
        <v/>
      </c>
      <c r="AB152" s="20">
        <f>TRUNC(IF(I152&lt;0,0,I152),0)</f>
        <v/>
      </c>
      <c r="AC152" s="20">
        <f>TRUNC(IF(J152&lt;0,0,J152),0)</f>
        <v/>
      </c>
      <c r="AS152" s="64" t="n">
        <v>126</v>
      </c>
      <c r="AT152" s="5" t="n">
        <v>5</v>
      </c>
      <c r="AU152" s="5" t="n">
        <v>7</v>
      </c>
      <c r="AV152" s="5" t="n">
        <v>4</v>
      </c>
      <c r="AZ152" s="2" t="n"/>
      <c r="BA152" s="2" t="n"/>
      <c r="BB152" s="2" t="n"/>
      <c r="BE152" s="2" t="n"/>
      <c r="BF152" s="2" t="n"/>
      <c r="BG152" s="2" t="n"/>
    </row>
    <row r="153">
      <c r="G153" s="64" t="n">
        <v>127</v>
      </c>
      <c r="H153" s="64">
        <f>TRUNC((_xlfn.NORM.INV((RAND()),$E$35,$E$36)),2)</f>
        <v/>
      </c>
      <c r="I153" s="64">
        <f>TRUNC((_xlfn.NORM.INV((RAND()),$E$35,$E$36)),2)</f>
        <v/>
      </c>
      <c r="J153" s="64">
        <f>TRUNC((_xlfn.NORM.INV((RAND()),$E$35,$E$36)),2)</f>
        <v/>
      </c>
      <c r="Z153" s="64" t="n">
        <v>127</v>
      </c>
      <c r="AA153" s="20">
        <f>TRUNC(IF(H153&lt;0,0,H153),0)</f>
        <v/>
      </c>
      <c r="AB153" s="20">
        <f>TRUNC(IF(I153&lt;0,0,I153),0)</f>
        <v/>
      </c>
      <c r="AC153" s="20">
        <f>TRUNC(IF(J153&lt;0,0,J153),0)</f>
        <v/>
      </c>
      <c r="AS153" s="64" t="n">
        <v>127</v>
      </c>
      <c r="AT153" s="5" t="n">
        <v>4</v>
      </c>
      <c r="AU153" s="5" t="n">
        <v>7</v>
      </c>
      <c r="AV153" s="5" t="n">
        <v>6</v>
      </c>
      <c r="AZ153" s="2" t="n"/>
      <c r="BA153" s="2" t="n"/>
      <c r="BB153" s="2" t="n"/>
      <c r="BE153" s="2" t="n"/>
      <c r="BF153" s="2" t="n"/>
      <c r="BG153" s="2" t="n"/>
    </row>
    <row r="154">
      <c r="G154" s="64" t="n">
        <v>128</v>
      </c>
      <c r="H154" s="64">
        <f>TRUNC((_xlfn.NORM.INV((RAND()),$E$35,$E$36)),2)</f>
        <v/>
      </c>
      <c r="I154" s="64">
        <f>TRUNC((_xlfn.NORM.INV((RAND()),$E$35,$E$36)),2)</f>
        <v/>
      </c>
      <c r="J154" s="64">
        <f>TRUNC((_xlfn.NORM.INV((RAND()),$E$35,$E$36)),2)</f>
        <v/>
      </c>
      <c r="Z154" s="64" t="n">
        <v>128</v>
      </c>
      <c r="AA154" s="20">
        <f>TRUNC(IF(H154&lt;0,0,H154),0)</f>
        <v/>
      </c>
      <c r="AB154" s="20">
        <f>TRUNC(IF(I154&lt;0,0,I154),0)</f>
        <v/>
      </c>
      <c r="AC154" s="20">
        <f>TRUNC(IF(J154&lt;0,0,J154),0)</f>
        <v/>
      </c>
      <c r="AS154" s="64" t="n">
        <v>128</v>
      </c>
      <c r="AT154" s="5" t="n">
        <v>3</v>
      </c>
      <c r="AU154" s="5" t="n">
        <v>3</v>
      </c>
      <c r="AV154" s="5" t="n">
        <v>5</v>
      </c>
      <c r="AZ154" s="2" t="n"/>
      <c r="BA154" s="2" t="n"/>
      <c r="BB154" s="2" t="n"/>
      <c r="BE154" s="2" t="n"/>
      <c r="BF154" s="2" t="n"/>
      <c r="BG154" s="2" t="n"/>
    </row>
    <row r="155">
      <c r="G155" s="64" t="n">
        <v>129</v>
      </c>
      <c r="H155" s="64">
        <f>TRUNC((_xlfn.NORM.INV((RAND()),$E$35,$E$36)),2)</f>
        <v/>
      </c>
      <c r="I155" s="64">
        <f>TRUNC((_xlfn.NORM.INV((RAND()),$E$35,$E$36)),2)</f>
        <v/>
      </c>
      <c r="J155" s="64">
        <f>TRUNC((_xlfn.NORM.INV((RAND()),$E$35,$E$36)),2)</f>
        <v/>
      </c>
      <c r="Z155" s="64" t="n">
        <v>129</v>
      </c>
      <c r="AA155" s="20">
        <f>TRUNC(IF(H155&lt;0,0,H155),0)</f>
        <v/>
      </c>
      <c r="AB155" s="20">
        <f>TRUNC(IF(I155&lt;0,0,I155),0)</f>
        <v/>
      </c>
      <c r="AC155" s="20">
        <f>TRUNC(IF(J155&lt;0,0,J155),0)</f>
        <v/>
      </c>
      <c r="AS155" s="64" t="n">
        <v>129</v>
      </c>
      <c r="AT155" s="5" t="n">
        <v>3</v>
      </c>
      <c r="AU155" s="5" t="n">
        <v>6</v>
      </c>
      <c r="AV155" s="5" t="n">
        <v>4</v>
      </c>
      <c r="AZ155" s="2" t="n"/>
      <c r="BA155" s="2" t="n"/>
      <c r="BB155" s="2" t="n"/>
      <c r="BE155" s="2" t="n"/>
      <c r="BF155" s="2" t="n"/>
      <c r="BG155" s="2" t="n"/>
    </row>
    <row r="156">
      <c r="G156" s="64" t="n">
        <v>130</v>
      </c>
      <c r="H156" s="64">
        <f>TRUNC((_xlfn.NORM.INV((RAND()),$E$35,$E$36)),2)</f>
        <v/>
      </c>
      <c r="I156" s="64">
        <f>TRUNC((_xlfn.NORM.INV((RAND()),$E$35,$E$36)),2)</f>
        <v/>
      </c>
      <c r="J156" s="64">
        <f>TRUNC((_xlfn.NORM.INV((RAND()),$E$35,$E$36)),2)</f>
        <v/>
      </c>
      <c r="Z156" s="64" t="n">
        <v>130</v>
      </c>
      <c r="AA156" s="20">
        <f>TRUNC(IF(H156&lt;0,0,H156),0)</f>
        <v/>
      </c>
      <c r="AB156" s="20">
        <f>TRUNC(IF(I156&lt;0,0,I156),0)</f>
        <v/>
      </c>
      <c r="AC156" s="20">
        <f>TRUNC(IF(J156&lt;0,0,J156),0)</f>
        <v/>
      </c>
      <c r="AS156" s="64" t="n">
        <v>130</v>
      </c>
      <c r="AT156" s="5" t="n">
        <v>6</v>
      </c>
      <c r="AU156" s="5" t="n">
        <v>7</v>
      </c>
      <c r="AV156" s="5" t="n">
        <v>6</v>
      </c>
      <c r="AZ156" s="2" t="n"/>
      <c r="BA156" s="2" t="n"/>
      <c r="BB156" s="2" t="n"/>
      <c r="BE156" s="2" t="n"/>
      <c r="BF156" s="2" t="n"/>
      <c r="BG156" s="2" t="n"/>
    </row>
    <row r="157">
      <c r="G157" s="64" t="n">
        <v>131</v>
      </c>
      <c r="H157" s="64">
        <f>TRUNC((_xlfn.NORM.INV((RAND()),$E$35,$E$36)),2)</f>
        <v/>
      </c>
      <c r="I157" s="64">
        <f>TRUNC((_xlfn.NORM.INV((RAND()),$E$35,$E$36)),2)</f>
        <v/>
      </c>
      <c r="J157" s="64">
        <f>TRUNC((_xlfn.NORM.INV((RAND()),$E$35,$E$36)),2)</f>
        <v/>
      </c>
      <c r="Z157" s="64" t="n">
        <v>131</v>
      </c>
      <c r="AA157" s="20">
        <f>TRUNC(IF(H157&lt;0,0,H157),0)</f>
        <v/>
      </c>
      <c r="AB157" s="20">
        <f>TRUNC(IF(I157&lt;0,0,I157),0)</f>
        <v/>
      </c>
      <c r="AC157" s="20">
        <f>TRUNC(IF(J157&lt;0,0,J157),0)</f>
        <v/>
      </c>
      <c r="AS157" s="64" t="n">
        <v>131</v>
      </c>
      <c r="AT157" s="5" t="n">
        <v>5</v>
      </c>
      <c r="AU157" s="5" t="n">
        <v>5</v>
      </c>
      <c r="AV157" s="5" t="n">
        <v>7</v>
      </c>
      <c r="AZ157" s="2" t="n"/>
      <c r="BA157" s="2" t="n"/>
      <c r="BB157" s="2" t="n"/>
      <c r="BE157" s="2" t="n"/>
      <c r="BF157" s="2" t="n"/>
      <c r="BG157" s="2" t="n"/>
    </row>
    <row r="158">
      <c r="G158" s="64" t="n">
        <v>132</v>
      </c>
      <c r="H158" s="64">
        <f>TRUNC((_xlfn.NORM.INV((RAND()),$E$35,$E$36)),2)</f>
        <v/>
      </c>
      <c r="I158" s="64">
        <f>TRUNC((_xlfn.NORM.INV((RAND()),$E$35,$E$36)),2)</f>
        <v/>
      </c>
      <c r="J158" s="64">
        <f>TRUNC((_xlfn.NORM.INV((RAND()),$E$35,$E$36)),2)</f>
        <v/>
      </c>
      <c r="Z158" s="64" t="n">
        <v>132</v>
      </c>
      <c r="AA158" s="20">
        <f>TRUNC(IF(H158&lt;0,0,H158),0)</f>
        <v/>
      </c>
      <c r="AB158" s="20">
        <f>TRUNC(IF(I158&lt;0,0,I158),0)</f>
        <v/>
      </c>
      <c r="AC158" s="20">
        <f>TRUNC(IF(J158&lt;0,0,J158),0)</f>
        <v/>
      </c>
      <c r="AS158" s="64" t="n">
        <v>132</v>
      </c>
      <c r="AT158" s="5" t="n">
        <v>4</v>
      </c>
      <c r="AU158" s="5" t="n">
        <v>4</v>
      </c>
      <c r="AV158" s="5" t="n">
        <v>4</v>
      </c>
      <c r="AZ158" s="2" t="n"/>
      <c r="BA158" s="2" t="n"/>
      <c r="BB158" s="2" t="n"/>
      <c r="BE158" s="2" t="n"/>
      <c r="BF158" s="2" t="n"/>
      <c r="BG158" s="2" t="n"/>
    </row>
    <row r="159">
      <c r="G159" s="64" t="n">
        <v>133</v>
      </c>
      <c r="H159" s="64">
        <f>TRUNC((_xlfn.NORM.INV((RAND()),$E$35,$E$36)),2)</f>
        <v/>
      </c>
      <c r="I159" s="64">
        <f>TRUNC((_xlfn.NORM.INV((RAND()),$E$35,$E$36)),2)</f>
        <v/>
      </c>
      <c r="J159" s="64">
        <f>TRUNC((_xlfn.NORM.INV((RAND()),$E$35,$E$36)),2)</f>
        <v/>
      </c>
      <c r="Z159" s="64" t="n">
        <v>133</v>
      </c>
      <c r="AA159" s="20">
        <f>TRUNC(IF(H159&lt;0,0,H159),0)</f>
        <v/>
      </c>
      <c r="AB159" s="20">
        <f>TRUNC(IF(I159&lt;0,0,I159),0)</f>
        <v/>
      </c>
      <c r="AC159" s="20">
        <f>TRUNC(IF(J159&lt;0,0,J159),0)</f>
        <v/>
      </c>
      <c r="AS159" s="64" t="n">
        <v>133</v>
      </c>
      <c r="AT159" s="5" t="n">
        <v>6</v>
      </c>
      <c r="AU159" s="5" t="n">
        <v>4</v>
      </c>
      <c r="AV159" s="5" t="n">
        <v>4</v>
      </c>
      <c r="AZ159" s="2" t="n"/>
      <c r="BA159" s="2" t="n"/>
      <c r="BB159" s="2" t="n"/>
      <c r="BE159" s="2" t="n"/>
      <c r="BF159" s="2" t="n"/>
      <c r="BG159" s="2" t="n"/>
    </row>
    <row r="160">
      <c r="G160" s="64" t="n">
        <v>134</v>
      </c>
      <c r="H160" s="64">
        <f>TRUNC((_xlfn.NORM.INV((RAND()),$E$35,$E$36)),2)</f>
        <v/>
      </c>
      <c r="I160" s="64">
        <f>TRUNC((_xlfn.NORM.INV((RAND()),$E$35,$E$36)),2)</f>
        <v/>
      </c>
      <c r="J160" s="64">
        <f>TRUNC((_xlfn.NORM.INV((RAND()),$E$35,$E$36)),2)</f>
        <v/>
      </c>
      <c r="Z160" s="64" t="n">
        <v>134</v>
      </c>
      <c r="AA160" s="20">
        <f>TRUNC(IF(H160&lt;0,0,H160),0)</f>
        <v/>
      </c>
      <c r="AB160" s="20">
        <f>TRUNC(IF(I160&lt;0,0,I160),0)</f>
        <v/>
      </c>
      <c r="AC160" s="20">
        <f>TRUNC(IF(J160&lt;0,0,J160),0)</f>
        <v/>
      </c>
      <c r="AS160" s="64" t="n">
        <v>134</v>
      </c>
      <c r="AT160" s="5" t="n">
        <v>5</v>
      </c>
      <c r="AU160" s="5" t="n">
        <v>2</v>
      </c>
      <c r="AV160" s="5" t="n">
        <v>6</v>
      </c>
      <c r="AZ160" s="2" t="n"/>
      <c r="BA160" s="2" t="n"/>
      <c r="BB160" s="2" t="n"/>
      <c r="BE160" s="2" t="n"/>
      <c r="BF160" s="2" t="n"/>
      <c r="BG160" s="2" t="n"/>
    </row>
    <row r="161">
      <c r="G161" s="64" t="n">
        <v>135</v>
      </c>
      <c r="H161" s="64">
        <f>TRUNC((_xlfn.NORM.INV((RAND()),$E$35,$E$36)),2)</f>
        <v/>
      </c>
      <c r="I161" s="64">
        <f>TRUNC((_xlfn.NORM.INV((RAND()),$E$35,$E$36)),2)</f>
        <v/>
      </c>
      <c r="J161" s="64">
        <f>TRUNC((_xlfn.NORM.INV((RAND()),$E$35,$E$36)),2)</f>
        <v/>
      </c>
      <c r="Z161" s="64" t="n">
        <v>135</v>
      </c>
      <c r="AA161" s="20">
        <f>TRUNC(IF(H161&lt;0,0,H161),0)</f>
        <v/>
      </c>
      <c r="AB161" s="20">
        <f>TRUNC(IF(I161&lt;0,0,I161),0)</f>
        <v/>
      </c>
      <c r="AC161" s="20">
        <f>TRUNC(IF(J161&lt;0,0,J161),0)</f>
        <v/>
      </c>
      <c r="AS161" s="64" t="n">
        <v>135</v>
      </c>
      <c r="AT161" s="5" t="n">
        <v>5</v>
      </c>
      <c r="AU161" s="5" t="n">
        <v>3</v>
      </c>
      <c r="AV161" s="5" t="n">
        <v>4</v>
      </c>
      <c r="AZ161" s="2" t="n"/>
      <c r="BA161" s="2" t="n"/>
      <c r="BB161" s="2" t="n"/>
      <c r="BE161" s="2" t="n"/>
      <c r="BF161" s="2" t="n"/>
      <c r="BG161" s="2" t="n"/>
    </row>
    <row r="162">
      <c r="G162" s="64" t="n">
        <v>136</v>
      </c>
      <c r="H162" s="64">
        <f>TRUNC((_xlfn.NORM.INV((RAND()),$E$35,$E$36)),2)</f>
        <v/>
      </c>
      <c r="I162" s="64">
        <f>TRUNC((_xlfn.NORM.INV((RAND()),$E$35,$E$36)),2)</f>
        <v/>
      </c>
      <c r="J162" s="64">
        <f>TRUNC((_xlfn.NORM.INV((RAND()),$E$35,$E$36)),2)</f>
        <v/>
      </c>
      <c r="Z162" s="64" t="n">
        <v>136</v>
      </c>
      <c r="AA162" s="20">
        <f>TRUNC(IF(H162&lt;0,0,H162),0)</f>
        <v/>
      </c>
      <c r="AB162" s="20">
        <f>TRUNC(IF(I162&lt;0,0,I162),0)</f>
        <v/>
      </c>
      <c r="AC162" s="20">
        <f>TRUNC(IF(J162&lt;0,0,J162),0)</f>
        <v/>
      </c>
      <c r="AS162" s="64" t="n">
        <v>136</v>
      </c>
      <c r="AT162" s="5" t="n">
        <v>3</v>
      </c>
      <c r="AU162" s="5" t="n">
        <v>2</v>
      </c>
      <c r="AV162" s="5" t="n">
        <v>5</v>
      </c>
      <c r="AZ162" s="2" t="n"/>
      <c r="BA162" s="2" t="n"/>
      <c r="BB162" s="2" t="n"/>
      <c r="BE162" s="2" t="n"/>
      <c r="BF162" s="2" t="n"/>
      <c r="BG162" s="2" t="n"/>
    </row>
    <row r="163">
      <c r="G163" s="64" t="n">
        <v>137</v>
      </c>
      <c r="H163" s="64">
        <f>TRUNC((_xlfn.NORM.INV((RAND()),$E$35,$E$36)),2)</f>
        <v/>
      </c>
      <c r="I163" s="64">
        <f>TRUNC((_xlfn.NORM.INV((RAND()),$E$35,$E$36)),2)</f>
        <v/>
      </c>
      <c r="J163" s="64">
        <f>TRUNC((_xlfn.NORM.INV((RAND()),$E$35,$E$36)),2)</f>
        <v/>
      </c>
      <c r="Z163" s="64" t="n">
        <v>137</v>
      </c>
      <c r="AA163" s="20">
        <f>TRUNC(IF(H163&lt;0,0,H163),0)</f>
        <v/>
      </c>
      <c r="AB163" s="20">
        <f>TRUNC(IF(I163&lt;0,0,I163),0)</f>
        <v/>
      </c>
      <c r="AC163" s="20">
        <f>TRUNC(IF(J163&lt;0,0,J163),0)</f>
        <v/>
      </c>
      <c r="AS163" s="64" t="n">
        <v>137</v>
      </c>
      <c r="AT163" s="5" t="n">
        <v>6</v>
      </c>
      <c r="AU163" s="5" t="n">
        <v>3</v>
      </c>
      <c r="AV163" s="5" t="n">
        <v>5</v>
      </c>
      <c r="AZ163" s="2" t="n"/>
      <c r="BA163" s="2" t="n"/>
      <c r="BB163" s="2" t="n"/>
      <c r="BE163" s="2" t="n"/>
      <c r="BF163" s="2" t="n"/>
      <c r="BG163" s="2" t="n"/>
    </row>
    <row r="164">
      <c r="G164" s="64" t="n">
        <v>138</v>
      </c>
      <c r="H164" s="64">
        <f>TRUNC((_xlfn.NORM.INV((RAND()),$E$35,$E$36)),2)</f>
        <v/>
      </c>
      <c r="I164" s="64">
        <f>TRUNC((_xlfn.NORM.INV((RAND()),$E$35,$E$36)),2)</f>
        <v/>
      </c>
      <c r="J164" s="64">
        <f>TRUNC((_xlfn.NORM.INV((RAND()),$E$35,$E$36)),2)</f>
        <v/>
      </c>
      <c r="Z164" s="64" t="n">
        <v>138</v>
      </c>
      <c r="AA164" s="20">
        <f>TRUNC(IF(H164&lt;0,0,H164),0)</f>
        <v/>
      </c>
      <c r="AB164" s="20">
        <f>TRUNC(IF(I164&lt;0,0,I164),0)</f>
        <v/>
      </c>
      <c r="AC164" s="20">
        <f>TRUNC(IF(J164&lt;0,0,J164),0)</f>
        <v/>
      </c>
      <c r="AS164" s="64" t="n">
        <v>138</v>
      </c>
      <c r="AT164" s="5" t="n">
        <v>3</v>
      </c>
      <c r="AU164" s="5" t="n">
        <v>6</v>
      </c>
      <c r="AV164" s="5" t="n">
        <v>6</v>
      </c>
      <c r="AZ164" s="2" t="n"/>
      <c r="BA164" s="2" t="n"/>
      <c r="BB164" s="2" t="n"/>
      <c r="BE164" s="2" t="n"/>
      <c r="BF164" s="2" t="n"/>
      <c r="BG164" s="2" t="n"/>
    </row>
    <row r="165">
      <c r="G165" s="64" t="n">
        <v>139</v>
      </c>
      <c r="H165" s="64">
        <f>TRUNC((_xlfn.NORM.INV((RAND()),$E$35,$E$36)),2)</f>
        <v/>
      </c>
      <c r="I165" s="64">
        <f>TRUNC((_xlfn.NORM.INV((RAND()),$E$35,$E$36)),2)</f>
        <v/>
      </c>
      <c r="J165" s="64">
        <f>TRUNC((_xlfn.NORM.INV((RAND()),$E$35,$E$36)),2)</f>
        <v/>
      </c>
      <c r="Z165" s="64" t="n">
        <v>139</v>
      </c>
      <c r="AA165" s="20">
        <f>TRUNC(IF(H165&lt;0,0,H165),0)</f>
        <v/>
      </c>
      <c r="AB165" s="20">
        <f>TRUNC(IF(I165&lt;0,0,I165),0)</f>
        <v/>
      </c>
      <c r="AC165" s="20">
        <f>TRUNC(IF(J165&lt;0,0,J165),0)</f>
        <v/>
      </c>
      <c r="AS165" s="64" t="n">
        <v>139</v>
      </c>
      <c r="AT165" s="5" t="n">
        <v>3</v>
      </c>
      <c r="AU165" s="5" t="n">
        <v>8</v>
      </c>
      <c r="AV165" s="5" t="n">
        <v>3</v>
      </c>
      <c r="AZ165" s="2" t="n"/>
      <c r="BA165" s="2" t="n"/>
      <c r="BB165" s="2" t="n"/>
      <c r="BE165" s="2" t="n"/>
      <c r="BF165" s="2" t="n"/>
      <c r="BG165" s="2" t="n"/>
    </row>
    <row r="166">
      <c r="G166" s="64" t="n">
        <v>140</v>
      </c>
      <c r="H166" s="64">
        <f>TRUNC((_xlfn.NORM.INV((RAND()),$E$35,$E$36)),2)</f>
        <v/>
      </c>
      <c r="I166" s="64">
        <f>TRUNC((_xlfn.NORM.INV((RAND()),$E$35,$E$36)),2)</f>
        <v/>
      </c>
      <c r="J166" s="64">
        <f>TRUNC((_xlfn.NORM.INV((RAND()),$E$35,$E$36)),2)</f>
        <v/>
      </c>
      <c r="Z166" s="64" t="n">
        <v>140</v>
      </c>
      <c r="AA166" s="20">
        <f>TRUNC(IF(H166&lt;0,0,H166),0)</f>
        <v/>
      </c>
      <c r="AB166" s="20">
        <f>TRUNC(IF(I166&lt;0,0,I166),0)</f>
        <v/>
      </c>
      <c r="AC166" s="20">
        <f>TRUNC(IF(J166&lt;0,0,J166),0)</f>
        <v/>
      </c>
      <c r="AS166" s="64" t="n">
        <v>140</v>
      </c>
      <c r="AT166" s="5" t="n">
        <v>3</v>
      </c>
      <c r="AU166" s="5" t="n">
        <v>6</v>
      </c>
      <c r="AV166" s="5" t="n">
        <v>4</v>
      </c>
      <c r="AZ166" s="2" t="n"/>
      <c r="BA166" s="2" t="n"/>
      <c r="BB166" s="2" t="n"/>
      <c r="BE166" s="2" t="n"/>
      <c r="BF166" s="2" t="n"/>
      <c r="BG166" s="2" t="n"/>
    </row>
    <row r="167">
      <c r="G167" s="64" t="n">
        <v>141</v>
      </c>
      <c r="H167" s="64">
        <f>TRUNC((_xlfn.NORM.INV((RAND()),$E$35,$E$36)),2)</f>
        <v/>
      </c>
      <c r="I167" s="64">
        <f>TRUNC((_xlfn.NORM.INV((RAND()),$E$35,$E$36)),2)</f>
        <v/>
      </c>
      <c r="J167" s="64">
        <f>TRUNC((_xlfn.NORM.INV((RAND()),$E$35,$E$36)),2)</f>
        <v/>
      </c>
      <c r="Z167" s="64" t="n">
        <v>141</v>
      </c>
      <c r="AA167" s="20">
        <f>TRUNC(IF(H167&lt;0,0,H167),0)</f>
        <v/>
      </c>
      <c r="AB167" s="20">
        <f>TRUNC(IF(I167&lt;0,0,I167),0)</f>
        <v/>
      </c>
      <c r="AC167" s="20">
        <f>TRUNC(IF(J167&lt;0,0,J167),0)</f>
        <v/>
      </c>
      <c r="AS167" s="64" t="n">
        <v>141</v>
      </c>
      <c r="AT167" s="5" t="n">
        <v>4</v>
      </c>
      <c r="AU167" s="5" t="n">
        <v>6</v>
      </c>
      <c r="AV167" s="5" t="n">
        <v>7</v>
      </c>
      <c r="AZ167" s="2" t="n"/>
      <c r="BA167" s="2" t="n"/>
      <c r="BB167" s="2" t="n"/>
      <c r="BE167" s="2" t="n"/>
      <c r="BF167" s="2" t="n"/>
      <c r="BG167" s="2" t="n"/>
    </row>
    <row r="168">
      <c r="G168" s="64" t="n">
        <v>142</v>
      </c>
      <c r="H168" s="64">
        <f>TRUNC((_xlfn.NORM.INV((RAND()),$E$35,$E$36)),2)</f>
        <v/>
      </c>
      <c r="I168" s="64">
        <f>TRUNC((_xlfn.NORM.INV((RAND()),$E$35,$E$36)),2)</f>
        <v/>
      </c>
      <c r="J168" s="64">
        <f>TRUNC((_xlfn.NORM.INV((RAND()),$E$35,$E$36)),2)</f>
        <v/>
      </c>
      <c r="Z168" s="64" t="n">
        <v>142</v>
      </c>
      <c r="AA168" s="20">
        <f>TRUNC(IF(H168&lt;0,0,H168),0)</f>
        <v/>
      </c>
      <c r="AB168" s="20">
        <f>TRUNC(IF(I168&lt;0,0,I168),0)</f>
        <v/>
      </c>
      <c r="AC168" s="20">
        <f>TRUNC(IF(J168&lt;0,0,J168),0)</f>
        <v/>
      </c>
      <c r="AS168" s="64" t="n">
        <v>142</v>
      </c>
      <c r="AT168" s="5" t="n">
        <v>5</v>
      </c>
      <c r="AU168" s="5" t="n">
        <v>7</v>
      </c>
      <c r="AV168" s="5" t="n">
        <v>5</v>
      </c>
      <c r="AZ168" s="2" t="n"/>
      <c r="BA168" s="2" t="n"/>
      <c r="BB168" s="2" t="n"/>
      <c r="BE168" s="2" t="n"/>
      <c r="BF168" s="2" t="n"/>
      <c r="BG168" s="2" t="n"/>
    </row>
    <row r="169">
      <c r="G169" s="64" t="n">
        <v>143</v>
      </c>
      <c r="H169" s="64">
        <f>TRUNC((_xlfn.NORM.INV((RAND()),$E$35,$E$36)),2)</f>
        <v/>
      </c>
      <c r="I169" s="64">
        <f>TRUNC((_xlfn.NORM.INV((RAND()),$E$35,$E$36)),2)</f>
        <v/>
      </c>
      <c r="J169" s="64">
        <f>TRUNC((_xlfn.NORM.INV((RAND()),$E$35,$E$36)),2)</f>
        <v/>
      </c>
      <c r="Z169" s="64" t="n">
        <v>143</v>
      </c>
      <c r="AA169" s="20">
        <f>TRUNC(IF(H169&lt;0,0,H169),0)</f>
        <v/>
      </c>
      <c r="AB169" s="20">
        <f>TRUNC(IF(I169&lt;0,0,I169),0)</f>
        <v/>
      </c>
      <c r="AC169" s="20">
        <f>TRUNC(IF(J169&lt;0,0,J169),0)</f>
        <v/>
      </c>
      <c r="AS169" s="64" t="n">
        <v>143</v>
      </c>
      <c r="AT169" s="5" t="n">
        <v>5</v>
      </c>
      <c r="AU169" s="5" t="n">
        <v>3</v>
      </c>
      <c r="AV169" s="5" t="n">
        <v>2</v>
      </c>
      <c r="AZ169" s="2" t="n"/>
      <c r="BA169" s="2" t="n"/>
      <c r="BB169" s="2" t="n"/>
      <c r="BE169" s="2" t="n"/>
      <c r="BF169" s="2" t="n"/>
      <c r="BG169" s="2" t="n"/>
    </row>
    <row r="170">
      <c r="G170" s="64" t="n">
        <v>144</v>
      </c>
      <c r="H170" s="64">
        <f>TRUNC((_xlfn.NORM.INV((RAND()),$E$35,$E$36)),2)</f>
        <v/>
      </c>
      <c r="I170" s="64">
        <f>TRUNC((_xlfn.NORM.INV((RAND()),$E$35,$E$36)),2)</f>
        <v/>
      </c>
      <c r="J170" s="64">
        <f>TRUNC((_xlfn.NORM.INV((RAND()),$E$35,$E$36)),2)</f>
        <v/>
      </c>
      <c r="Z170" s="64" t="n">
        <v>144</v>
      </c>
      <c r="AA170" s="20">
        <f>TRUNC(IF(H170&lt;0,0,H170),0)</f>
        <v/>
      </c>
      <c r="AB170" s="20">
        <f>TRUNC(IF(I170&lt;0,0,I170),0)</f>
        <v/>
      </c>
      <c r="AC170" s="20">
        <f>TRUNC(IF(J170&lt;0,0,J170),0)</f>
        <v/>
      </c>
      <c r="AS170" s="64" t="n">
        <v>144</v>
      </c>
      <c r="AT170" s="5" t="n">
        <v>5</v>
      </c>
      <c r="AU170" s="5" t="n">
        <v>5</v>
      </c>
      <c r="AV170" s="5" t="n">
        <v>6</v>
      </c>
      <c r="AZ170" s="2" t="n"/>
      <c r="BA170" s="2" t="n"/>
      <c r="BB170" s="2" t="n"/>
      <c r="BE170" s="2" t="n"/>
      <c r="BF170" s="2" t="n"/>
      <c r="BG170" s="2" t="n"/>
    </row>
    <row r="171">
      <c r="G171" s="64" t="n">
        <v>145</v>
      </c>
      <c r="H171" s="64">
        <f>TRUNC((_xlfn.NORM.INV((RAND()),$E$35,$E$36)),2)</f>
        <v/>
      </c>
      <c r="I171" s="64">
        <f>TRUNC((_xlfn.NORM.INV((RAND()),$E$35,$E$36)),2)</f>
        <v/>
      </c>
      <c r="J171" s="64">
        <f>TRUNC((_xlfn.NORM.INV((RAND()),$E$35,$E$36)),2)</f>
        <v/>
      </c>
      <c r="Z171" s="64" t="n">
        <v>145</v>
      </c>
      <c r="AA171" s="20">
        <f>TRUNC(IF(H171&lt;0,0,H171),0)</f>
        <v/>
      </c>
      <c r="AB171" s="20">
        <f>TRUNC(IF(I171&lt;0,0,I171),0)</f>
        <v/>
      </c>
      <c r="AC171" s="20">
        <f>TRUNC(IF(J171&lt;0,0,J171),0)</f>
        <v/>
      </c>
      <c r="AS171" s="64" t="n">
        <v>145</v>
      </c>
      <c r="AT171" s="5" t="n">
        <v>4</v>
      </c>
      <c r="AU171" s="5" t="n">
        <v>5</v>
      </c>
      <c r="AV171" s="5" t="n">
        <v>6</v>
      </c>
      <c r="AZ171" s="2" t="n"/>
      <c r="BA171" s="2" t="n"/>
      <c r="BB171" s="2" t="n"/>
      <c r="BE171" s="2" t="n"/>
      <c r="BF171" s="2" t="n"/>
      <c r="BG171" s="2" t="n"/>
    </row>
    <row r="172">
      <c r="G172" s="64" t="n">
        <v>146</v>
      </c>
      <c r="H172" s="64">
        <f>TRUNC((_xlfn.NORM.INV((RAND()),$E$35,$E$36)),2)</f>
        <v/>
      </c>
      <c r="I172" s="64">
        <f>TRUNC((_xlfn.NORM.INV((RAND()),$E$35,$E$36)),2)</f>
        <v/>
      </c>
      <c r="J172" s="64">
        <f>TRUNC((_xlfn.NORM.INV((RAND()),$E$35,$E$36)),2)</f>
        <v/>
      </c>
      <c r="Z172" s="64" t="n">
        <v>146</v>
      </c>
      <c r="AA172" s="20">
        <f>TRUNC(IF(H172&lt;0,0,H172),0)</f>
        <v/>
      </c>
      <c r="AB172" s="20">
        <f>TRUNC(IF(I172&lt;0,0,I172),0)</f>
        <v/>
      </c>
      <c r="AC172" s="20">
        <f>TRUNC(IF(J172&lt;0,0,J172),0)</f>
        <v/>
      </c>
      <c r="AS172" s="64" t="n">
        <v>146</v>
      </c>
      <c r="AT172" s="5" t="n">
        <v>6</v>
      </c>
      <c r="AU172" s="5" t="n">
        <v>7</v>
      </c>
      <c r="AV172" s="5" t="n">
        <v>4</v>
      </c>
      <c r="AZ172" s="2" t="n"/>
      <c r="BA172" s="2" t="n"/>
      <c r="BB172" s="2" t="n"/>
      <c r="BE172" s="2" t="n"/>
      <c r="BF172" s="2" t="n"/>
      <c r="BG172" s="2" t="n"/>
    </row>
    <row r="173">
      <c r="G173" s="64" t="n">
        <v>147</v>
      </c>
      <c r="H173" s="64">
        <f>TRUNC((_xlfn.NORM.INV((RAND()),$E$35,$E$36)),2)</f>
        <v/>
      </c>
      <c r="I173" s="64">
        <f>TRUNC((_xlfn.NORM.INV((RAND()),$E$35,$E$36)),2)</f>
        <v/>
      </c>
      <c r="J173" s="64">
        <f>TRUNC((_xlfn.NORM.INV((RAND()),$E$35,$E$36)),2)</f>
        <v/>
      </c>
      <c r="Z173" s="64" t="n">
        <v>147</v>
      </c>
      <c r="AA173" s="20">
        <f>TRUNC(IF(H173&lt;0,0,H173),0)</f>
        <v/>
      </c>
      <c r="AB173" s="20">
        <f>TRUNC(IF(I173&lt;0,0,I173),0)</f>
        <v/>
      </c>
      <c r="AC173" s="20">
        <f>TRUNC(IF(J173&lt;0,0,J173),0)</f>
        <v/>
      </c>
      <c r="AS173" s="64" t="n">
        <v>147</v>
      </c>
      <c r="AT173" s="5" t="n">
        <v>6</v>
      </c>
      <c r="AU173" s="5" t="n">
        <v>4</v>
      </c>
      <c r="AV173" s="5" t="n">
        <v>5</v>
      </c>
      <c r="AZ173" s="2" t="n"/>
      <c r="BA173" s="2" t="n"/>
      <c r="BB173" s="2" t="n"/>
      <c r="BE173" s="2" t="n"/>
      <c r="BF173" s="2" t="n"/>
      <c r="BG173" s="2" t="n"/>
    </row>
    <row r="174">
      <c r="G174" s="64" t="n">
        <v>148</v>
      </c>
      <c r="H174" s="64">
        <f>TRUNC((_xlfn.NORM.INV((RAND()),$E$35,$E$36)),2)</f>
        <v/>
      </c>
      <c r="I174" s="64">
        <f>TRUNC((_xlfn.NORM.INV((RAND()),$E$35,$E$36)),2)</f>
        <v/>
      </c>
      <c r="J174" s="64">
        <f>TRUNC((_xlfn.NORM.INV((RAND()),$E$35,$E$36)),2)</f>
        <v/>
      </c>
      <c r="Z174" s="64" t="n">
        <v>148</v>
      </c>
      <c r="AA174" s="20">
        <f>TRUNC(IF(H174&lt;0,0,H174),0)</f>
        <v/>
      </c>
      <c r="AB174" s="20">
        <f>TRUNC(IF(I174&lt;0,0,I174),0)</f>
        <v/>
      </c>
      <c r="AC174" s="20">
        <f>TRUNC(IF(J174&lt;0,0,J174),0)</f>
        <v/>
      </c>
      <c r="AS174" s="64" t="n">
        <v>148</v>
      </c>
      <c r="AT174" s="5" t="n">
        <v>3</v>
      </c>
      <c r="AU174" s="5" t="n">
        <v>6</v>
      </c>
      <c r="AV174" s="5" t="n">
        <v>5</v>
      </c>
      <c r="AZ174" s="2" t="n"/>
      <c r="BA174" s="2" t="n"/>
      <c r="BB174" s="2" t="n"/>
      <c r="BE174" s="2" t="n"/>
      <c r="BF174" s="2" t="n"/>
      <c r="BG174" s="2" t="n"/>
    </row>
    <row r="175">
      <c r="G175" s="64" t="n">
        <v>149</v>
      </c>
      <c r="H175" s="64">
        <f>TRUNC((_xlfn.NORM.INV((RAND()),$E$35,$E$36)),2)</f>
        <v/>
      </c>
      <c r="I175" s="64">
        <f>TRUNC((_xlfn.NORM.INV((RAND()),$E$35,$E$36)),2)</f>
        <v/>
      </c>
      <c r="J175" s="64">
        <f>TRUNC((_xlfn.NORM.INV((RAND()),$E$35,$E$36)),2)</f>
        <v/>
      </c>
      <c r="Z175" s="64" t="n">
        <v>149</v>
      </c>
      <c r="AA175" s="20">
        <f>TRUNC(IF(H175&lt;0,0,H175),0)</f>
        <v/>
      </c>
      <c r="AB175" s="20">
        <f>TRUNC(IF(I175&lt;0,0,I175),0)</f>
        <v/>
      </c>
      <c r="AC175" s="20">
        <f>TRUNC(IF(J175&lt;0,0,J175),0)</f>
        <v/>
      </c>
      <c r="AS175" s="64" t="n">
        <v>149</v>
      </c>
      <c r="AT175" s="5" t="n">
        <v>5</v>
      </c>
      <c r="AU175" s="5" t="n">
        <v>6</v>
      </c>
      <c r="AV175" s="5" t="n">
        <v>3</v>
      </c>
      <c r="AZ175" s="2" t="n"/>
      <c r="BA175" s="2" t="n"/>
      <c r="BB175" s="2" t="n"/>
      <c r="BE175" s="2" t="n"/>
      <c r="BF175" s="2" t="n"/>
      <c r="BG175" s="2" t="n"/>
    </row>
    <row r="176">
      <c r="G176" s="64" t="n">
        <v>150</v>
      </c>
      <c r="H176" s="64">
        <f>TRUNC((_xlfn.NORM.INV((RAND()),$E$35,$E$36)),2)</f>
        <v/>
      </c>
      <c r="I176" s="64">
        <f>TRUNC((_xlfn.NORM.INV((RAND()),$E$35,$E$36)),2)</f>
        <v/>
      </c>
      <c r="J176" s="64">
        <f>TRUNC((_xlfn.NORM.INV((RAND()),$E$35,$E$36)),2)</f>
        <v/>
      </c>
      <c r="Z176" s="64" t="n">
        <v>150</v>
      </c>
      <c r="AA176" s="20">
        <f>TRUNC(IF(H176&lt;0,0,H176),0)</f>
        <v/>
      </c>
      <c r="AB176" s="20">
        <f>TRUNC(IF(I176&lt;0,0,I176),0)</f>
        <v/>
      </c>
      <c r="AC176" s="20">
        <f>TRUNC(IF(J176&lt;0,0,J176),0)</f>
        <v/>
      </c>
      <c r="AS176" s="64" t="n">
        <v>150</v>
      </c>
      <c r="AT176" s="5" t="n">
        <v>5</v>
      </c>
      <c r="AU176" s="5" t="n">
        <v>6</v>
      </c>
      <c r="AV176" s="5" t="n">
        <v>4</v>
      </c>
      <c r="AZ176" s="2" t="n"/>
      <c r="BA176" s="2" t="n"/>
      <c r="BB176" s="2" t="n"/>
      <c r="BE176" s="2" t="n"/>
      <c r="BF176" s="2" t="n"/>
      <c r="BG176" s="2" t="n"/>
    </row>
    <row r="177">
      <c r="G177" s="64" t="n">
        <v>151</v>
      </c>
      <c r="H177" s="64">
        <f>TRUNC((_xlfn.NORM.INV((RAND()),$E$35,$E$36)),2)</f>
        <v/>
      </c>
      <c r="I177" s="64">
        <f>TRUNC((_xlfn.NORM.INV((RAND()),$E$35,$E$36)),2)</f>
        <v/>
      </c>
      <c r="J177" s="64">
        <f>TRUNC((_xlfn.NORM.INV((RAND()),$E$35,$E$36)),2)</f>
        <v/>
      </c>
      <c r="Z177" s="64" t="n">
        <v>151</v>
      </c>
      <c r="AA177" s="20">
        <f>TRUNC(IF(H177&lt;0,0,H177),0)</f>
        <v/>
      </c>
      <c r="AB177" s="20">
        <f>TRUNC(IF(I177&lt;0,0,I177),0)</f>
        <v/>
      </c>
      <c r="AC177" s="20">
        <f>TRUNC(IF(J177&lt;0,0,J177),0)</f>
        <v/>
      </c>
      <c r="AS177" s="64" t="n">
        <v>151</v>
      </c>
      <c r="AT177" s="5" t="n">
        <v>6</v>
      </c>
      <c r="AU177" s="5" t="n">
        <v>7</v>
      </c>
      <c r="AV177" s="5" t="n">
        <v>4</v>
      </c>
      <c r="AZ177" s="2" t="n"/>
      <c r="BA177" s="2" t="n"/>
      <c r="BB177" s="2" t="n"/>
      <c r="BE177" s="2" t="n"/>
      <c r="BF177" s="2" t="n"/>
      <c r="BG177" s="2" t="n"/>
    </row>
    <row r="178">
      <c r="G178" s="64" t="n">
        <v>152</v>
      </c>
      <c r="H178" s="64">
        <f>TRUNC((_xlfn.NORM.INV((RAND()),$E$35,$E$36)),2)</f>
        <v/>
      </c>
      <c r="I178" s="64">
        <f>TRUNC((_xlfn.NORM.INV((RAND()),$E$35,$E$36)),2)</f>
        <v/>
      </c>
      <c r="J178" s="64">
        <f>TRUNC((_xlfn.NORM.INV((RAND()),$E$35,$E$36)),2)</f>
        <v/>
      </c>
      <c r="Z178" s="64" t="n">
        <v>152</v>
      </c>
      <c r="AA178" s="20">
        <f>TRUNC(IF(H178&lt;0,0,H178),0)</f>
        <v/>
      </c>
      <c r="AB178" s="20">
        <f>TRUNC(IF(I178&lt;0,0,I178),0)</f>
        <v/>
      </c>
      <c r="AC178" s="20">
        <f>TRUNC(IF(J178&lt;0,0,J178),0)</f>
        <v/>
      </c>
      <c r="AS178" s="64" t="n">
        <v>152</v>
      </c>
      <c r="AT178" s="5" t="n">
        <v>6</v>
      </c>
      <c r="AU178" s="5" t="n">
        <v>5</v>
      </c>
      <c r="AV178" s="5" t="n">
        <v>5</v>
      </c>
      <c r="AZ178" s="2" t="n"/>
      <c r="BA178" s="2" t="n"/>
      <c r="BB178" s="2" t="n"/>
      <c r="BE178" s="2" t="n"/>
      <c r="BF178" s="2" t="n"/>
      <c r="BG178" s="2" t="n"/>
    </row>
    <row r="179">
      <c r="G179" s="64" t="n">
        <v>153</v>
      </c>
      <c r="H179" s="64">
        <f>TRUNC((_xlfn.NORM.INV((RAND()),$E$35,$E$36)),2)</f>
        <v/>
      </c>
      <c r="I179" s="64">
        <f>TRUNC((_xlfn.NORM.INV((RAND()),$E$35,$E$36)),2)</f>
        <v/>
      </c>
      <c r="J179" s="64">
        <f>TRUNC((_xlfn.NORM.INV((RAND()),$E$35,$E$36)),2)</f>
        <v/>
      </c>
      <c r="Z179" s="64" t="n">
        <v>153</v>
      </c>
      <c r="AA179" s="20">
        <f>TRUNC(IF(H179&lt;0,0,H179),0)</f>
        <v/>
      </c>
      <c r="AB179" s="20">
        <f>TRUNC(IF(I179&lt;0,0,I179),0)</f>
        <v/>
      </c>
      <c r="AC179" s="20">
        <f>TRUNC(IF(J179&lt;0,0,J179),0)</f>
        <v/>
      </c>
      <c r="AS179" s="64" t="n">
        <v>153</v>
      </c>
      <c r="AT179" s="5" t="n">
        <v>4</v>
      </c>
      <c r="AU179" s="5" t="n">
        <v>3</v>
      </c>
      <c r="AV179" s="5" t="n">
        <v>6</v>
      </c>
      <c r="AZ179" s="2" t="n"/>
      <c r="BA179" s="2" t="n"/>
      <c r="BB179" s="2" t="n"/>
      <c r="BE179" s="2" t="n"/>
      <c r="BF179" s="2" t="n"/>
      <c r="BG179" s="2" t="n"/>
    </row>
    <row r="180">
      <c r="G180" s="64" t="n">
        <v>154</v>
      </c>
      <c r="H180" s="64">
        <f>TRUNC((_xlfn.NORM.INV((RAND()),$E$35,$E$36)),2)</f>
        <v/>
      </c>
      <c r="I180" s="64">
        <f>TRUNC((_xlfn.NORM.INV((RAND()),$E$35,$E$36)),2)</f>
        <v/>
      </c>
      <c r="J180" s="64">
        <f>TRUNC((_xlfn.NORM.INV((RAND()),$E$35,$E$36)),2)</f>
        <v/>
      </c>
      <c r="Z180" s="64" t="n">
        <v>154</v>
      </c>
      <c r="AA180" s="20">
        <f>TRUNC(IF(H180&lt;0,0,H180),0)</f>
        <v/>
      </c>
      <c r="AB180" s="20">
        <f>TRUNC(IF(I180&lt;0,0,I180),0)</f>
        <v/>
      </c>
      <c r="AC180" s="20">
        <f>TRUNC(IF(J180&lt;0,0,J180),0)</f>
        <v/>
      </c>
      <c r="AS180" s="64" t="n">
        <v>154</v>
      </c>
      <c r="AT180" s="5" t="n">
        <v>4</v>
      </c>
      <c r="AU180" s="5" t="n">
        <v>7</v>
      </c>
      <c r="AV180" s="5" t="n">
        <v>5</v>
      </c>
      <c r="AZ180" s="2" t="n"/>
      <c r="BA180" s="2" t="n"/>
      <c r="BB180" s="2" t="n"/>
      <c r="BE180" s="2" t="n"/>
      <c r="BF180" s="2" t="n"/>
      <c r="BG180" s="2" t="n"/>
    </row>
    <row r="181">
      <c r="G181" s="64" t="n">
        <v>155</v>
      </c>
      <c r="H181" s="64">
        <f>TRUNC((_xlfn.NORM.INV((RAND()),$E$35,$E$36)),2)</f>
        <v/>
      </c>
      <c r="I181" s="64">
        <f>TRUNC((_xlfn.NORM.INV((RAND()),$E$35,$E$36)),2)</f>
        <v/>
      </c>
      <c r="J181" s="64">
        <f>TRUNC((_xlfn.NORM.INV((RAND()),$E$35,$E$36)),2)</f>
        <v/>
      </c>
      <c r="Z181" s="64" t="n">
        <v>155</v>
      </c>
      <c r="AA181" s="20">
        <f>TRUNC(IF(H181&lt;0,0,H181),0)</f>
        <v/>
      </c>
      <c r="AB181" s="20">
        <f>TRUNC(IF(I181&lt;0,0,I181),0)</f>
        <v/>
      </c>
      <c r="AC181" s="20">
        <f>TRUNC(IF(J181&lt;0,0,J181),0)</f>
        <v/>
      </c>
      <c r="AS181" s="64" t="n">
        <v>155</v>
      </c>
      <c r="AT181" s="5" t="n">
        <v>4</v>
      </c>
      <c r="AU181" s="5" t="n">
        <v>4</v>
      </c>
      <c r="AV181" s="5" t="n">
        <v>4</v>
      </c>
      <c r="AZ181" s="2" t="n"/>
      <c r="BA181" s="2" t="n"/>
      <c r="BB181" s="2" t="n"/>
      <c r="BE181" s="2" t="n"/>
      <c r="BF181" s="2" t="n"/>
      <c r="BG181" s="2" t="n"/>
    </row>
    <row r="182">
      <c r="G182" s="64" t="n">
        <v>156</v>
      </c>
      <c r="H182" s="64">
        <f>TRUNC((_xlfn.NORM.INV((RAND()),$E$35,$E$36)),2)</f>
        <v/>
      </c>
      <c r="I182" s="64">
        <f>TRUNC((_xlfn.NORM.INV((RAND()),$E$35,$E$36)),2)</f>
        <v/>
      </c>
      <c r="J182" s="64">
        <f>TRUNC((_xlfn.NORM.INV((RAND()),$E$35,$E$36)),2)</f>
        <v/>
      </c>
      <c r="Z182" s="64" t="n">
        <v>156</v>
      </c>
      <c r="AA182" s="20">
        <f>TRUNC(IF(H182&lt;0,0,H182),0)</f>
        <v/>
      </c>
      <c r="AB182" s="20">
        <f>TRUNC(IF(I182&lt;0,0,I182),0)</f>
        <v/>
      </c>
      <c r="AC182" s="20">
        <f>TRUNC(IF(J182&lt;0,0,J182),0)</f>
        <v/>
      </c>
      <c r="AS182" s="64" t="n">
        <v>156</v>
      </c>
      <c r="AT182" s="5" t="n">
        <v>5</v>
      </c>
      <c r="AU182" s="5" t="n">
        <v>7</v>
      </c>
      <c r="AV182" s="5" t="n">
        <v>6</v>
      </c>
      <c r="AZ182" s="2" t="n"/>
      <c r="BA182" s="2" t="n"/>
      <c r="BB182" s="2" t="n"/>
      <c r="BE182" s="2" t="n"/>
      <c r="BF182" s="2" t="n"/>
      <c r="BG182" s="2" t="n"/>
    </row>
    <row r="183">
      <c r="G183" s="64" t="n">
        <v>157</v>
      </c>
      <c r="H183" s="64">
        <f>TRUNC((_xlfn.NORM.INV((RAND()),$E$35,$E$36)),2)</f>
        <v/>
      </c>
      <c r="I183" s="64">
        <f>TRUNC((_xlfn.NORM.INV((RAND()),$E$35,$E$36)),2)</f>
        <v/>
      </c>
      <c r="J183" s="64">
        <f>TRUNC((_xlfn.NORM.INV((RAND()),$E$35,$E$36)),2)</f>
        <v/>
      </c>
      <c r="Z183" s="64" t="n">
        <v>157</v>
      </c>
      <c r="AA183" s="20">
        <f>TRUNC(IF(H183&lt;0,0,H183),0)</f>
        <v/>
      </c>
      <c r="AB183" s="20">
        <f>TRUNC(IF(I183&lt;0,0,I183),0)</f>
        <v/>
      </c>
      <c r="AC183" s="20">
        <f>TRUNC(IF(J183&lt;0,0,J183),0)</f>
        <v/>
      </c>
      <c r="AS183" s="64" t="n">
        <v>157</v>
      </c>
      <c r="AT183" s="5" t="n">
        <v>3</v>
      </c>
      <c r="AU183" s="5" t="n">
        <v>2</v>
      </c>
      <c r="AV183" s="5" t="n">
        <v>5</v>
      </c>
      <c r="AZ183" s="2" t="n"/>
      <c r="BA183" s="2" t="n"/>
      <c r="BB183" s="2" t="n"/>
      <c r="BE183" s="2" t="n"/>
      <c r="BF183" s="2" t="n"/>
      <c r="BG183" s="2" t="n"/>
    </row>
    <row r="184">
      <c r="G184" s="64" t="n">
        <v>158</v>
      </c>
      <c r="H184" s="64">
        <f>TRUNC((_xlfn.NORM.INV((RAND()),$E$35,$E$36)),2)</f>
        <v/>
      </c>
      <c r="I184" s="64">
        <f>TRUNC((_xlfn.NORM.INV((RAND()),$E$35,$E$36)),2)</f>
        <v/>
      </c>
      <c r="J184" s="64">
        <f>TRUNC((_xlfn.NORM.INV((RAND()),$E$35,$E$36)),2)</f>
        <v/>
      </c>
      <c r="Z184" s="64" t="n">
        <v>158</v>
      </c>
      <c r="AA184" s="20">
        <f>TRUNC(IF(H184&lt;0,0,H184),0)</f>
        <v/>
      </c>
      <c r="AB184" s="20">
        <f>TRUNC(IF(I184&lt;0,0,I184),0)</f>
        <v/>
      </c>
      <c r="AC184" s="20">
        <f>TRUNC(IF(J184&lt;0,0,J184),0)</f>
        <v/>
      </c>
      <c r="AS184" s="64" t="n">
        <v>158</v>
      </c>
      <c r="AT184" s="5" t="n">
        <v>6</v>
      </c>
      <c r="AU184" s="5" t="n">
        <v>5</v>
      </c>
      <c r="AV184" s="5" t="n">
        <v>6</v>
      </c>
      <c r="AZ184" s="2" t="n"/>
      <c r="BA184" s="2" t="n"/>
      <c r="BB184" s="2" t="n"/>
      <c r="BE184" s="2" t="n"/>
      <c r="BF184" s="2" t="n"/>
      <c r="BG184" s="2" t="n"/>
    </row>
    <row r="185">
      <c r="G185" s="64" t="n">
        <v>159</v>
      </c>
      <c r="H185" s="64">
        <f>TRUNC((_xlfn.NORM.INV((RAND()),$E$35,$E$36)),2)</f>
        <v/>
      </c>
      <c r="I185" s="64">
        <f>TRUNC((_xlfn.NORM.INV((RAND()),$E$35,$E$36)),2)</f>
        <v/>
      </c>
      <c r="J185" s="64">
        <f>TRUNC((_xlfn.NORM.INV((RAND()),$E$35,$E$36)),2)</f>
        <v/>
      </c>
      <c r="Z185" s="64" t="n">
        <v>159</v>
      </c>
      <c r="AA185" s="20">
        <f>TRUNC(IF(H185&lt;0,0,H185),0)</f>
        <v/>
      </c>
      <c r="AB185" s="20">
        <f>TRUNC(IF(I185&lt;0,0,I185),0)</f>
        <v/>
      </c>
      <c r="AC185" s="20">
        <f>TRUNC(IF(J185&lt;0,0,J185),0)</f>
        <v/>
      </c>
      <c r="AS185" s="64" t="n">
        <v>159</v>
      </c>
      <c r="AT185" s="5" t="n">
        <v>5</v>
      </c>
      <c r="AU185" s="5" t="n">
        <v>3</v>
      </c>
      <c r="AV185" s="5" t="n">
        <v>4</v>
      </c>
      <c r="AZ185" s="2" t="n"/>
      <c r="BA185" s="2" t="n"/>
      <c r="BB185" s="2" t="n"/>
      <c r="BE185" s="2" t="n"/>
      <c r="BF185" s="2" t="n"/>
      <c r="BG185" s="2" t="n"/>
    </row>
    <row r="186">
      <c r="G186" s="64" t="n">
        <v>160</v>
      </c>
      <c r="H186" s="64">
        <f>TRUNC((_xlfn.NORM.INV((RAND()),$E$35,$E$36)),2)</f>
        <v/>
      </c>
      <c r="I186" s="64">
        <f>TRUNC((_xlfn.NORM.INV((RAND()),$E$35,$E$36)),2)</f>
        <v/>
      </c>
      <c r="J186" s="64">
        <f>TRUNC((_xlfn.NORM.INV((RAND()),$E$35,$E$36)),2)</f>
        <v/>
      </c>
      <c r="Z186" s="64" t="n">
        <v>160</v>
      </c>
      <c r="AA186" s="20">
        <f>TRUNC(IF(H186&lt;0,0,H186),0)</f>
        <v/>
      </c>
      <c r="AB186" s="20">
        <f>TRUNC(IF(I186&lt;0,0,I186),0)</f>
        <v/>
      </c>
      <c r="AC186" s="20">
        <f>TRUNC(IF(J186&lt;0,0,J186),0)</f>
        <v/>
      </c>
      <c r="AS186" s="64" t="n">
        <v>160</v>
      </c>
      <c r="AT186" s="5" t="n">
        <v>8</v>
      </c>
      <c r="AU186" s="5" t="n">
        <v>6</v>
      </c>
      <c r="AV186" s="5" t="n">
        <v>7</v>
      </c>
      <c r="AZ186" s="2" t="n"/>
      <c r="BA186" s="2" t="n"/>
      <c r="BB186" s="2" t="n"/>
      <c r="BE186" s="2" t="n"/>
      <c r="BF186" s="2" t="n"/>
      <c r="BG186" s="2" t="n"/>
    </row>
    <row r="187">
      <c r="G187" s="64" t="n">
        <v>161</v>
      </c>
      <c r="H187" s="64">
        <f>TRUNC((_xlfn.NORM.INV((RAND()),$E$35,$E$36)),2)</f>
        <v/>
      </c>
      <c r="I187" s="64">
        <f>TRUNC((_xlfn.NORM.INV((RAND()),$E$35,$E$36)),2)</f>
        <v/>
      </c>
      <c r="J187" s="64">
        <f>TRUNC((_xlfn.NORM.INV((RAND()),$E$35,$E$36)),2)</f>
        <v/>
      </c>
      <c r="Z187" s="64" t="n">
        <v>161</v>
      </c>
      <c r="AA187" s="20">
        <f>TRUNC(IF(H187&lt;0,0,H187),0)</f>
        <v/>
      </c>
      <c r="AB187" s="20">
        <f>TRUNC(IF(I187&lt;0,0,I187),0)</f>
        <v/>
      </c>
      <c r="AC187" s="20">
        <f>TRUNC(IF(J187&lt;0,0,J187),0)</f>
        <v/>
      </c>
      <c r="AS187" s="64" t="n">
        <v>161</v>
      </c>
      <c r="AT187" s="5" t="n">
        <v>4</v>
      </c>
      <c r="AU187" s="5" t="n">
        <v>4</v>
      </c>
      <c r="AV187" s="5" t="n">
        <v>4</v>
      </c>
      <c r="AZ187" s="2" t="n"/>
      <c r="BA187" s="2" t="n"/>
      <c r="BB187" s="2" t="n"/>
      <c r="BE187" s="2" t="n"/>
      <c r="BF187" s="2" t="n"/>
      <c r="BG187" s="2" t="n"/>
    </row>
    <row r="188">
      <c r="G188" s="64" t="n">
        <v>162</v>
      </c>
      <c r="H188" s="64">
        <f>TRUNC((_xlfn.NORM.INV((RAND()),$E$35,$E$36)),2)</f>
        <v/>
      </c>
      <c r="I188" s="64">
        <f>TRUNC((_xlfn.NORM.INV((RAND()),$E$35,$E$36)),2)</f>
        <v/>
      </c>
      <c r="J188" s="64">
        <f>TRUNC((_xlfn.NORM.INV((RAND()),$E$35,$E$36)),2)</f>
        <v/>
      </c>
      <c r="Z188" s="64" t="n">
        <v>162</v>
      </c>
      <c r="AA188" s="20">
        <f>TRUNC(IF(H188&lt;0,0,H188),0)</f>
        <v/>
      </c>
      <c r="AB188" s="20">
        <f>TRUNC(IF(I188&lt;0,0,I188),0)</f>
        <v/>
      </c>
      <c r="AC188" s="20">
        <f>TRUNC(IF(J188&lt;0,0,J188),0)</f>
        <v/>
      </c>
      <c r="AS188" s="64" t="n">
        <v>162</v>
      </c>
      <c r="AT188" s="5" t="n">
        <v>5</v>
      </c>
      <c r="AU188" s="5" t="n">
        <v>5</v>
      </c>
      <c r="AV188" s="5" t="n">
        <v>5</v>
      </c>
      <c r="AZ188" s="2" t="n"/>
      <c r="BA188" s="2" t="n"/>
      <c r="BB188" s="2" t="n"/>
      <c r="BE188" s="2" t="n"/>
      <c r="BF188" s="2" t="n"/>
      <c r="BG188" s="2" t="n"/>
    </row>
    <row r="189">
      <c r="G189" s="64" t="n">
        <v>163</v>
      </c>
      <c r="H189" s="64">
        <f>TRUNC((_xlfn.NORM.INV((RAND()),$E$35,$E$36)),2)</f>
        <v/>
      </c>
      <c r="I189" s="64">
        <f>TRUNC((_xlfn.NORM.INV((RAND()),$E$35,$E$36)),2)</f>
        <v/>
      </c>
      <c r="J189" s="64">
        <f>TRUNC((_xlfn.NORM.INV((RAND()),$E$35,$E$36)),2)</f>
        <v/>
      </c>
      <c r="Z189" s="64" t="n">
        <v>163</v>
      </c>
      <c r="AA189" s="20">
        <f>TRUNC(IF(H189&lt;0,0,H189),0)</f>
        <v/>
      </c>
      <c r="AB189" s="20">
        <f>TRUNC(IF(I189&lt;0,0,I189),0)</f>
        <v/>
      </c>
      <c r="AC189" s="20">
        <f>TRUNC(IF(J189&lt;0,0,J189),0)</f>
        <v/>
      </c>
      <c r="AS189" s="64" t="n">
        <v>163</v>
      </c>
      <c r="AT189" s="5" t="n">
        <v>3</v>
      </c>
      <c r="AU189" s="5" t="n">
        <v>6</v>
      </c>
      <c r="AV189" s="5" t="n">
        <v>2</v>
      </c>
      <c r="AZ189" s="2" t="n"/>
      <c r="BA189" s="2" t="n"/>
      <c r="BB189" s="2" t="n"/>
      <c r="BE189" s="2" t="n"/>
      <c r="BF189" s="2" t="n"/>
      <c r="BG189" s="2" t="n"/>
    </row>
    <row r="190">
      <c r="G190" s="64" t="n">
        <v>164</v>
      </c>
      <c r="H190" s="64">
        <f>TRUNC((_xlfn.NORM.INV((RAND()),$E$35,$E$36)),2)</f>
        <v/>
      </c>
      <c r="I190" s="64">
        <f>TRUNC((_xlfn.NORM.INV((RAND()),$E$35,$E$36)),2)</f>
        <v/>
      </c>
      <c r="J190" s="64">
        <f>TRUNC((_xlfn.NORM.INV((RAND()),$E$35,$E$36)),2)</f>
        <v/>
      </c>
      <c r="Z190" s="64" t="n">
        <v>164</v>
      </c>
      <c r="AA190" s="20">
        <f>TRUNC(IF(H190&lt;0,0,H190),0)</f>
        <v/>
      </c>
      <c r="AB190" s="20">
        <f>TRUNC(IF(I190&lt;0,0,I190),0)</f>
        <v/>
      </c>
      <c r="AC190" s="20">
        <f>TRUNC(IF(J190&lt;0,0,J190),0)</f>
        <v/>
      </c>
      <c r="AS190" s="64" t="n">
        <v>164</v>
      </c>
      <c r="AT190" s="5" t="n">
        <v>6</v>
      </c>
      <c r="AU190" s="5" t="n">
        <v>5</v>
      </c>
      <c r="AV190" s="5" t="n">
        <v>3</v>
      </c>
      <c r="AZ190" s="2" t="n"/>
      <c r="BA190" s="2" t="n"/>
      <c r="BB190" s="2" t="n"/>
      <c r="BE190" s="2" t="n"/>
      <c r="BF190" s="2" t="n"/>
      <c r="BG190" s="2" t="n"/>
    </row>
    <row r="191">
      <c r="G191" s="64" t="n">
        <v>165</v>
      </c>
      <c r="H191" s="64">
        <f>TRUNC((_xlfn.NORM.INV((RAND()),$E$35,$E$36)),2)</f>
        <v/>
      </c>
      <c r="I191" s="64">
        <f>TRUNC((_xlfn.NORM.INV((RAND()),$E$35,$E$36)),2)</f>
        <v/>
      </c>
      <c r="J191" s="64">
        <f>TRUNC((_xlfn.NORM.INV((RAND()),$E$35,$E$36)),2)</f>
        <v/>
      </c>
      <c r="Z191" s="64" t="n">
        <v>165</v>
      </c>
      <c r="AA191" s="20">
        <f>TRUNC(IF(H191&lt;0,0,H191),0)</f>
        <v/>
      </c>
      <c r="AB191" s="20">
        <f>TRUNC(IF(I191&lt;0,0,I191),0)</f>
        <v/>
      </c>
      <c r="AC191" s="20">
        <f>TRUNC(IF(J191&lt;0,0,J191),0)</f>
        <v/>
      </c>
      <c r="AS191" s="64" t="n">
        <v>165</v>
      </c>
      <c r="AT191" s="5" t="n">
        <v>5</v>
      </c>
      <c r="AU191" s="5" t="n">
        <v>5</v>
      </c>
      <c r="AV191" s="5" t="n">
        <v>7</v>
      </c>
      <c r="AZ191" s="2" t="n"/>
      <c r="BA191" s="2" t="n"/>
      <c r="BB191" s="2" t="n"/>
      <c r="BE191" s="2" t="n"/>
      <c r="BF191" s="2" t="n"/>
      <c r="BG191" s="2" t="n"/>
    </row>
    <row r="192">
      <c r="G192" s="64" t="n">
        <v>166</v>
      </c>
      <c r="H192" s="64">
        <f>TRUNC((_xlfn.NORM.INV((RAND()),$E$35,$E$36)),2)</f>
        <v/>
      </c>
      <c r="I192" s="64">
        <f>TRUNC((_xlfn.NORM.INV((RAND()),$E$35,$E$36)),2)</f>
        <v/>
      </c>
      <c r="J192" s="64">
        <f>TRUNC((_xlfn.NORM.INV((RAND()),$E$35,$E$36)),2)</f>
        <v/>
      </c>
      <c r="Z192" s="64" t="n">
        <v>166</v>
      </c>
      <c r="AA192" s="20">
        <f>TRUNC(IF(H192&lt;0,0,H192),0)</f>
        <v/>
      </c>
      <c r="AB192" s="20">
        <f>TRUNC(IF(I192&lt;0,0,I192),0)</f>
        <v/>
      </c>
      <c r="AC192" s="20">
        <f>TRUNC(IF(J192&lt;0,0,J192),0)</f>
        <v/>
      </c>
      <c r="AS192" s="64" t="n">
        <v>166</v>
      </c>
      <c r="AT192" s="5" t="n">
        <v>6</v>
      </c>
      <c r="AU192" s="5" t="n">
        <v>3</v>
      </c>
      <c r="AV192" s="5" t="n">
        <v>5</v>
      </c>
      <c r="AZ192" s="2" t="n"/>
      <c r="BA192" s="2" t="n"/>
      <c r="BB192" s="2" t="n"/>
      <c r="BE192" s="2" t="n"/>
      <c r="BF192" s="2" t="n"/>
      <c r="BG192" s="2" t="n"/>
    </row>
    <row r="193">
      <c r="G193" s="64" t="n">
        <v>167</v>
      </c>
      <c r="H193" s="64">
        <f>TRUNC((_xlfn.NORM.INV((RAND()),$E$35,$E$36)),2)</f>
        <v/>
      </c>
      <c r="I193" s="64">
        <f>TRUNC((_xlfn.NORM.INV((RAND()),$E$35,$E$36)),2)</f>
        <v/>
      </c>
      <c r="J193" s="64">
        <f>TRUNC((_xlfn.NORM.INV((RAND()),$E$35,$E$36)),2)</f>
        <v/>
      </c>
      <c r="Z193" s="64" t="n">
        <v>167</v>
      </c>
      <c r="AA193" s="20">
        <f>TRUNC(IF(H193&lt;0,0,H193),0)</f>
        <v/>
      </c>
      <c r="AB193" s="20">
        <f>TRUNC(IF(I193&lt;0,0,I193),0)</f>
        <v/>
      </c>
      <c r="AC193" s="20">
        <f>TRUNC(IF(J193&lt;0,0,J193),0)</f>
        <v/>
      </c>
      <c r="AS193" s="64" t="n">
        <v>167</v>
      </c>
      <c r="AT193" s="5" t="n">
        <v>4</v>
      </c>
      <c r="AU193" s="5" t="n">
        <v>5</v>
      </c>
      <c r="AV193" s="5" t="n">
        <v>7</v>
      </c>
      <c r="AZ193" s="2" t="n"/>
      <c r="BA193" s="2" t="n"/>
      <c r="BB193" s="2" t="n"/>
      <c r="BE193" s="2" t="n"/>
      <c r="BF193" s="2" t="n"/>
      <c r="BG193" s="2" t="n"/>
    </row>
    <row r="194">
      <c r="G194" s="64" t="n">
        <v>168</v>
      </c>
      <c r="H194" s="64">
        <f>TRUNC((_xlfn.NORM.INV((RAND()),$E$35,$E$36)),2)</f>
        <v/>
      </c>
      <c r="I194" s="64">
        <f>TRUNC((_xlfn.NORM.INV((RAND()),$E$35,$E$36)),2)</f>
        <v/>
      </c>
      <c r="J194" s="64">
        <f>TRUNC((_xlfn.NORM.INV((RAND()),$E$35,$E$36)),2)</f>
        <v/>
      </c>
      <c r="Z194" s="64" t="n">
        <v>168</v>
      </c>
      <c r="AA194" s="20">
        <f>TRUNC(IF(H194&lt;0,0,H194),0)</f>
        <v/>
      </c>
      <c r="AB194" s="20">
        <f>TRUNC(IF(I194&lt;0,0,I194),0)</f>
        <v/>
      </c>
      <c r="AC194" s="20">
        <f>TRUNC(IF(J194&lt;0,0,J194),0)</f>
        <v/>
      </c>
      <c r="AS194" s="64" t="n">
        <v>168</v>
      </c>
      <c r="AT194" s="5" t="n">
        <v>3</v>
      </c>
      <c r="AU194" s="5" t="n">
        <v>2</v>
      </c>
      <c r="AV194" s="5" t="n">
        <v>4</v>
      </c>
      <c r="AZ194" s="2" t="n"/>
      <c r="BA194" s="2" t="n"/>
      <c r="BB194" s="2" t="n"/>
      <c r="BE194" s="2" t="n"/>
      <c r="BF194" s="2" t="n"/>
      <c r="BG194" s="2" t="n"/>
    </row>
    <row r="195">
      <c r="G195" s="64" t="n">
        <v>169</v>
      </c>
      <c r="H195" s="64">
        <f>TRUNC((_xlfn.NORM.INV((RAND()),$E$35,$E$36)),2)</f>
        <v/>
      </c>
      <c r="I195" s="64">
        <f>TRUNC((_xlfn.NORM.INV((RAND()),$E$35,$E$36)),2)</f>
        <v/>
      </c>
      <c r="J195" s="64">
        <f>TRUNC((_xlfn.NORM.INV((RAND()),$E$35,$E$36)),2)</f>
        <v/>
      </c>
      <c r="Z195" s="64" t="n">
        <v>169</v>
      </c>
      <c r="AA195" s="20">
        <f>TRUNC(IF(H195&lt;0,0,H195),0)</f>
        <v/>
      </c>
      <c r="AB195" s="20">
        <f>TRUNC(IF(I195&lt;0,0,I195),0)</f>
        <v/>
      </c>
      <c r="AC195" s="20">
        <f>TRUNC(IF(J195&lt;0,0,J195),0)</f>
        <v/>
      </c>
      <c r="AS195" s="64" t="n">
        <v>169</v>
      </c>
      <c r="AT195" s="5" t="n">
        <v>5</v>
      </c>
      <c r="AU195" s="5" t="n">
        <v>5</v>
      </c>
      <c r="AV195" s="5" t="n">
        <v>3</v>
      </c>
      <c r="AZ195" s="2" t="n"/>
      <c r="BA195" s="2" t="n"/>
      <c r="BB195" s="2" t="n"/>
      <c r="BE195" s="2" t="n"/>
      <c r="BF195" s="2" t="n"/>
      <c r="BG195" s="2" t="n"/>
    </row>
    <row r="196">
      <c r="G196" s="64" t="n">
        <v>170</v>
      </c>
      <c r="H196" s="64">
        <f>TRUNC((_xlfn.NORM.INV((RAND()),$E$35,$E$36)),2)</f>
        <v/>
      </c>
      <c r="I196" s="64">
        <f>TRUNC((_xlfn.NORM.INV((RAND()),$E$35,$E$36)),2)</f>
        <v/>
      </c>
      <c r="J196" s="64">
        <f>TRUNC((_xlfn.NORM.INV((RAND()),$E$35,$E$36)),2)</f>
        <v/>
      </c>
      <c r="Z196" s="64" t="n">
        <v>170</v>
      </c>
      <c r="AA196" s="20">
        <f>TRUNC(IF(H196&lt;0,0,H196),0)</f>
        <v/>
      </c>
      <c r="AB196" s="20">
        <f>TRUNC(IF(I196&lt;0,0,I196),0)</f>
        <v/>
      </c>
      <c r="AC196" s="20">
        <f>TRUNC(IF(J196&lt;0,0,J196),0)</f>
        <v/>
      </c>
      <c r="AS196" s="64" t="n">
        <v>170</v>
      </c>
      <c r="AT196" s="5" t="n">
        <v>7</v>
      </c>
      <c r="AU196" s="5" t="n">
        <v>5</v>
      </c>
      <c r="AV196" s="5" t="n">
        <v>5</v>
      </c>
      <c r="AZ196" s="2" t="n"/>
      <c r="BA196" s="2" t="n"/>
      <c r="BB196" s="2" t="n"/>
      <c r="BE196" s="2" t="n"/>
      <c r="BF196" s="2" t="n"/>
      <c r="BG196" s="2" t="n"/>
    </row>
    <row r="197">
      <c r="G197" s="64" t="n">
        <v>171</v>
      </c>
      <c r="H197" s="64">
        <f>TRUNC((_xlfn.NORM.INV((RAND()),$E$35,$E$36)),2)</f>
        <v/>
      </c>
      <c r="I197" s="64">
        <f>TRUNC((_xlfn.NORM.INV((RAND()),$E$35,$E$36)),2)</f>
        <v/>
      </c>
      <c r="J197" s="64">
        <f>TRUNC((_xlfn.NORM.INV((RAND()),$E$35,$E$36)),2)</f>
        <v/>
      </c>
      <c r="Z197" s="64" t="n">
        <v>171</v>
      </c>
      <c r="AA197" s="20">
        <f>TRUNC(IF(H197&lt;0,0,H197),0)</f>
        <v/>
      </c>
      <c r="AB197" s="20">
        <f>TRUNC(IF(I197&lt;0,0,I197),0)</f>
        <v/>
      </c>
      <c r="AC197" s="20">
        <f>TRUNC(IF(J197&lt;0,0,J197),0)</f>
        <v/>
      </c>
      <c r="AS197" s="64" t="n">
        <v>171</v>
      </c>
      <c r="AT197" s="5" t="n">
        <v>5</v>
      </c>
      <c r="AU197" s="5" t="n">
        <v>5</v>
      </c>
      <c r="AV197" s="5" t="n">
        <v>3</v>
      </c>
      <c r="AZ197" s="2" t="n"/>
      <c r="BA197" s="2" t="n"/>
      <c r="BB197" s="2" t="n"/>
      <c r="BE197" s="2" t="n"/>
      <c r="BF197" s="2" t="n"/>
      <c r="BG197" s="2" t="n"/>
    </row>
    <row r="198">
      <c r="G198" s="64" t="n">
        <v>172</v>
      </c>
      <c r="H198" s="64">
        <f>TRUNC((_xlfn.NORM.INV((RAND()),$E$35,$E$36)),2)</f>
        <v/>
      </c>
      <c r="I198" s="64">
        <f>TRUNC((_xlfn.NORM.INV((RAND()),$E$35,$E$36)),2)</f>
        <v/>
      </c>
      <c r="J198" s="64">
        <f>TRUNC((_xlfn.NORM.INV((RAND()),$E$35,$E$36)),2)</f>
        <v/>
      </c>
      <c r="Z198" s="64" t="n">
        <v>172</v>
      </c>
      <c r="AA198" s="20">
        <f>TRUNC(IF(H198&lt;0,0,H198),0)</f>
        <v/>
      </c>
      <c r="AB198" s="20">
        <f>TRUNC(IF(I198&lt;0,0,I198),0)</f>
        <v/>
      </c>
      <c r="AC198" s="20">
        <f>TRUNC(IF(J198&lt;0,0,J198),0)</f>
        <v/>
      </c>
      <c r="AS198" s="64" t="n">
        <v>172</v>
      </c>
      <c r="AT198" s="5" t="n">
        <v>6</v>
      </c>
      <c r="AU198" s="5" t="n">
        <v>5</v>
      </c>
      <c r="AV198" s="5" t="n">
        <v>5</v>
      </c>
      <c r="AZ198" s="2" t="n"/>
      <c r="BA198" s="2" t="n"/>
      <c r="BB198" s="2" t="n"/>
      <c r="BE198" s="2" t="n"/>
      <c r="BF198" s="2" t="n"/>
      <c r="BG198" s="2" t="n"/>
    </row>
    <row r="199">
      <c r="G199" s="64" t="n">
        <v>173</v>
      </c>
      <c r="H199" s="64">
        <f>TRUNC((_xlfn.NORM.INV((RAND()),$E$35,$E$36)),2)</f>
        <v/>
      </c>
      <c r="I199" s="64">
        <f>TRUNC((_xlfn.NORM.INV((RAND()),$E$35,$E$36)),2)</f>
        <v/>
      </c>
      <c r="J199" s="64">
        <f>TRUNC((_xlfn.NORM.INV((RAND()),$E$35,$E$36)),2)</f>
        <v/>
      </c>
      <c r="Z199" s="64" t="n">
        <v>173</v>
      </c>
      <c r="AA199" s="20">
        <f>TRUNC(IF(H199&lt;0,0,H199),0)</f>
        <v/>
      </c>
      <c r="AB199" s="20">
        <f>TRUNC(IF(I199&lt;0,0,I199),0)</f>
        <v/>
      </c>
      <c r="AC199" s="20">
        <f>TRUNC(IF(J199&lt;0,0,J199),0)</f>
        <v/>
      </c>
      <c r="AS199" s="64" t="n">
        <v>173</v>
      </c>
      <c r="AT199" s="5" t="n">
        <v>5</v>
      </c>
      <c r="AU199" s="5" t="n">
        <v>5</v>
      </c>
      <c r="AV199" s="5" t="n">
        <v>6</v>
      </c>
      <c r="AZ199" s="2" t="n"/>
      <c r="BA199" s="2" t="n"/>
      <c r="BB199" s="2" t="n"/>
      <c r="BE199" s="2" t="n"/>
      <c r="BF199" s="2" t="n"/>
      <c r="BG199" s="2" t="n"/>
    </row>
    <row r="200">
      <c r="G200" s="64" t="n">
        <v>174</v>
      </c>
      <c r="H200" s="64">
        <f>TRUNC((_xlfn.NORM.INV((RAND()),$E$35,$E$36)),2)</f>
        <v/>
      </c>
      <c r="I200" s="64">
        <f>TRUNC((_xlfn.NORM.INV((RAND()),$E$35,$E$36)),2)</f>
        <v/>
      </c>
      <c r="J200" s="64">
        <f>TRUNC((_xlfn.NORM.INV((RAND()),$E$35,$E$36)),2)</f>
        <v/>
      </c>
      <c r="Z200" s="64" t="n">
        <v>174</v>
      </c>
      <c r="AA200" s="20">
        <f>TRUNC(IF(H200&lt;0,0,H200),0)</f>
        <v/>
      </c>
      <c r="AB200" s="20">
        <f>TRUNC(IF(I200&lt;0,0,I200),0)</f>
        <v/>
      </c>
      <c r="AC200" s="20">
        <f>TRUNC(IF(J200&lt;0,0,J200),0)</f>
        <v/>
      </c>
      <c r="AS200" s="64" t="n">
        <v>174</v>
      </c>
      <c r="AT200" s="5" t="n">
        <v>5</v>
      </c>
      <c r="AU200" s="5" t="n">
        <v>5</v>
      </c>
      <c r="AV200" s="5" t="n">
        <v>4</v>
      </c>
      <c r="AZ200" s="2" t="n"/>
      <c r="BA200" s="2" t="n"/>
      <c r="BB200" s="2" t="n"/>
      <c r="BE200" s="2" t="n"/>
      <c r="BF200" s="2" t="n"/>
      <c r="BG200" s="2" t="n"/>
    </row>
    <row r="201">
      <c r="G201" s="64" t="n">
        <v>175</v>
      </c>
      <c r="H201" s="64">
        <f>TRUNC((_xlfn.NORM.INV((RAND()),$E$35,$E$36)),2)</f>
        <v/>
      </c>
      <c r="I201" s="64">
        <f>TRUNC((_xlfn.NORM.INV((RAND()),$E$35,$E$36)),2)</f>
        <v/>
      </c>
      <c r="J201" s="64">
        <f>TRUNC((_xlfn.NORM.INV((RAND()),$E$35,$E$36)),2)</f>
        <v/>
      </c>
      <c r="Z201" s="64" t="n">
        <v>175</v>
      </c>
      <c r="AA201" s="20">
        <f>TRUNC(IF(H201&lt;0,0,H201),0)</f>
        <v/>
      </c>
      <c r="AB201" s="20">
        <f>TRUNC(IF(I201&lt;0,0,I201),0)</f>
        <v/>
      </c>
      <c r="AC201" s="20">
        <f>TRUNC(IF(J201&lt;0,0,J201),0)</f>
        <v/>
      </c>
      <c r="AS201" s="64" t="n">
        <v>175</v>
      </c>
      <c r="AT201" s="5" t="n">
        <v>6</v>
      </c>
      <c r="AU201" s="5" t="n">
        <v>5</v>
      </c>
      <c r="AV201" s="5" t="n">
        <v>5</v>
      </c>
      <c r="AZ201" s="2" t="n"/>
      <c r="BA201" s="2" t="n"/>
      <c r="BB201" s="2" t="n"/>
      <c r="BE201" s="2" t="n"/>
      <c r="BF201" s="2" t="n"/>
      <c r="BG201" s="2" t="n"/>
    </row>
    <row r="202">
      <c r="G202" s="64" t="n">
        <v>176</v>
      </c>
      <c r="H202" s="64">
        <f>TRUNC((_xlfn.NORM.INV((RAND()),$E$35,$E$36)),2)</f>
        <v/>
      </c>
      <c r="I202" s="64">
        <f>TRUNC((_xlfn.NORM.INV((RAND()),$E$35,$E$36)),2)</f>
        <v/>
      </c>
      <c r="J202" s="64">
        <f>TRUNC((_xlfn.NORM.INV((RAND()),$E$35,$E$36)),2)</f>
        <v/>
      </c>
      <c r="Z202" s="64" t="n">
        <v>176</v>
      </c>
      <c r="AA202" s="20">
        <f>TRUNC(IF(H202&lt;0,0,H202),0)</f>
        <v/>
      </c>
      <c r="AB202" s="20">
        <f>TRUNC(IF(I202&lt;0,0,I202),0)</f>
        <v/>
      </c>
      <c r="AC202" s="20">
        <f>TRUNC(IF(J202&lt;0,0,J202),0)</f>
        <v/>
      </c>
      <c r="AS202" s="64" t="n">
        <v>176</v>
      </c>
      <c r="AT202" s="5" t="n">
        <v>4</v>
      </c>
      <c r="AU202" s="5" t="n">
        <v>2</v>
      </c>
      <c r="AV202" s="5" t="n">
        <v>3</v>
      </c>
      <c r="AZ202" s="2" t="n"/>
      <c r="BA202" s="2" t="n"/>
      <c r="BB202" s="2" t="n"/>
      <c r="BE202" s="2" t="n"/>
      <c r="BF202" s="2" t="n"/>
      <c r="BG202" s="2" t="n"/>
    </row>
    <row r="203">
      <c r="G203" s="64" t="n">
        <v>177</v>
      </c>
      <c r="H203" s="64">
        <f>TRUNC((_xlfn.NORM.INV((RAND()),$E$35,$E$36)),2)</f>
        <v/>
      </c>
      <c r="I203" s="64">
        <f>TRUNC((_xlfn.NORM.INV((RAND()),$E$35,$E$36)),2)</f>
        <v/>
      </c>
      <c r="J203" s="64">
        <f>TRUNC((_xlfn.NORM.INV((RAND()),$E$35,$E$36)),2)</f>
        <v/>
      </c>
      <c r="Z203" s="64" t="n">
        <v>177</v>
      </c>
      <c r="AA203" s="20">
        <f>TRUNC(IF(H203&lt;0,0,H203),0)</f>
        <v/>
      </c>
      <c r="AB203" s="20">
        <f>TRUNC(IF(I203&lt;0,0,I203),0)</f>
        <v/>
      </c>
      <c r="AC203" s="20">
        <f>TRUNC(IF(J203&lt;0,0,J203),0)</f>
        <v/>
      </c>
      <c r="AS203" s="64" t="n">
        <v>177</v>
      </c>
      <c r="AT203" s="5" t="n">
        <v>3</v>
      </c>
      <c r="AU203" s="5" t="n">
        <v>5</v>
      </c>
      <c r="AV203" s="5" t="n">
        <v>5</v>
      </c>
      <c r="AZ203" s="2" t="n"/>
      <c r="BA203" s="2" t="n"/>
      <c r="BB203" s="2" t="n"/>
      <c r="BE203" s="2" t="n"/>
      <c r="BF203" s="2" t="n"/>
      <c r="BG203" s="2" t="n"/>
    </row>
    <row r="204">
      <c r="G204" s="64" t="n">
        <v>178</v>
      </c>
      <c r="H204" s="64">
        <f>TRUNC((_xlfn.NORM.INV((RAND()),$E$35,$E$36)),2)</f>
        <v/>
      </c>
      <c r="I204" s="64">
        <f>TRUNC((_xlfn.NORM.INV((RAND()),$E$35,$E$36)),2)</f>
        <v/>
      </c>
      <c r="J204" s="64">
        <f>TRUNC((_xlfn.NORM.INV((RAND()),$E$35,$E$36)),2)</f>
        <v/>
      </c>
      <c r="Z204" s="64" t="n">
        <v>178</v>
      </c>
      <c r="AA204" s="20">
        <f>TRUNC(IF(H204&lt;0,0,H204),0)</f>
        <v/>
      </c>
      <c r="AB204" s="20">
        <f>TRUNC(IF(I204&lt;0,0,I204),0)</f>
        <v/>
      </c>
      <c r="AC204" s="20">
        <f>TRUNC(IF(J204&lt;0,0,J204),0)</f>
        <v/>
      </c>
      <c r="AS204" s="64" t="n">
        <v>178</v>
      </c>
      <c r="AT204" s="5" t="n">
        <v>7</v>
      </c>
      <c r="AU204" s="5" t="n">
        <v>5</v>
      </c>
      <c r="AV204" s="5" t="n">
        <v>4</v>
      </c>
      <c r="AZ204" s="2" t="n"/>
      <c r="BA204" s="2" t="n"/>
      <c r="BB204" s="2" t="n"/>
      <c r="BE204" s="2" t="n"/>
      <c r="BF204" s="2" t="n"/>
      <c r="BG204" s="2" t="n"/>
    </row>
    <row r="205">
      <c r="G205" s="64" t="n">
        <v>179</v>
      </c>
      <c r="H205" s="64">
        <f>TRUNC((_xlfn.NORM.INV((RAND()),$E$35,$E$36)),2)</f>
        <v/>
      </c>
      <c r="I205" s="64">
        <f>TRUNC((_xlfn.NORM.INV((RAND()),$E$35,$E$36)),2)</f>
        <v/>
      </c>
      <c r="J205" s="64">
        <f>TRUNC((_xlfn.NORM.INV((RAND()),$E$35,$E$36)),2)</f>
        <v/>
      </c>
      <c r="Z205" s="64" t="n">
        <v>179</v>
      </c>
      <c r="AA205" s="20">
        <f>TRUNC(IF(H205&lt;0,0,H205),0)</f>
        <v/>
      </c>
      <c r="AB205" s="20">
        <f>TRUNC(IF(I205&lt;0,0,I205),0)</f>
        <v/>
      </c>
      <c r="AC205" s="20">
        <f>TRUNC(IF(J205&lt;0,0,J205),0)</f>
        <v/>
      </c>
      <c r="AS205" s="64" t="n">
        <v>179</v>
      </c>
      <c r="AT205" s="5" t="n">
        <v>3</v>
      </c>
      <c r="AU205" s="5" t="n">
        <v>5</v>
      </c>
      <c r="AV205" s="5" t="n">
        <v>5</v>
      </c>
      <c r="AZ205" s="2" t="n"/>
      <c r="BA205" s="2" t="n"/>
      <c r="BB205" s="2" t="n"/>
      <c r="BE205" s="2" t="n"/>
      <c r="BF205" s="2" t="n"/>
      <c r="BG205" s="2" t="n"/>
    </row>
    <row r="206">
      <c r="G206" s="64" t="n">
        <v>180</v>
      </c>
      <c r="H206" s="64">
        <f>TRUNC((_xlfn.NORM.INV((RAND()),$E$35,$E$36)),2)</f>
        <v/>
      </c>
      <c r="I206" s="64">
        <f>TRUNC((_xlfn.NORM.INV((RAND()),$E$35,$E$36)),2)</f>
        <v/>
      </c>
      <c r="J206" s="64">
        <f>TRUNC((_xlfn.NORM.INV((RAND()),$E$35,$E$36)),2)</f>
        <v/>
      </c>
      <c r="Z206" s="64" t="n">
        <v>180</v>
      </c>
      <c r="AA206" s="20">
        <f>TRUNC(IF(H206&lt;0,0,H206),0)</f>
        <v/>
      </c>
      <c r="AB206" s="20">
        <f>TRUNC(IF(I206&lt;0,0,I206),0)</f>
        <v/>
      </c>
      <c r="AC206" s="20">
        <f>TRUNC(IF(J206&lt;0,0,J206),0)</f>
        <v/>
      </c>
      <c r="AS206" s="64" t="n">
        <v>180</v>
      </c>
      <c r="AT206" s="5" t="n">
        <v>6</v>
      </c>
      <c r="AU206" s="5" t="n">
        <v>5</v>
      </c>
      <c r="AV206" s="5" t="n">
        <v>4</v>
      </c>
      <c r="AZ206" s="2" t="n"/>
      <c r="BA206" s="2" t="n"/>
      <c r="BB206" s="2" t="n"/>
      <c r="BE206" s="2" t="n"/>
      <c r="BF206" s="2" t="n"/>
      <c r="BG206" s="2" t="n"/>
    </row>
    <row r="207">
      <c r="G207" s="64" t="n">
        <v>181</v>
      </c>
      <c r="H207" s="64">
        <f>TRUNC((_xlfn.NORM.INV((RAND()),$E$35,$E$36)),2)</f>
        <v/>
      </c>
      <c r="I207" s="64">
        <f>TRUNC((_xlfn.NORM.INV((RAND()),$E$35,$E$36)),2)</f>
        <v/>
      </c>
      <c r="J207" s="64">
        <f>TRUNC((_xlfn.NORM.INV((RAND()),$E$35,$E$36)),2)</f>
        <v/>
      </c>
      <c r="Z207" s="64" t="n">
        <v>181</v>
      </c>
      <c r="AA207" s="20">
        <f>TRUNC(IF(H207&lt;0,0,H207),0)</f>
        <v/>
      </c>
      <c r="AB207" s="20">
        <f>TRUNC(IF(I207&lt;0,0,I207),0)</f>
        <v/>
      </c>
      <c r="AC207" s="20">
        <f>TRUNC(IF(J207&lt;0,0,J207),0)</f>
        <v/>
      </c>
      <c r="AS207" s="64" t="n">
        <v>181</v>
      </c>
      <c r="AT207" s="5" t="n">
        <v>3</v>
      </c>
      <c r="AU207" s="5" t="n">
        <v>2</v>
      </c>
      <c r="AV207" s="5" t="n">
        <v>8</v>
      </c>
      <c r="AZ207" s="2" t="n"/>
      <c r="BA207" s="2" t="n"/>
      <c r="BB207" s="2" t="n"/>
      <c r="BE207" s="2" t="n"/>
      <c r="BF207" s="2" t="n"/>
      <c r="BG207" s="2" t="n"/>
    </row>
    <row r="208">
      <c r="G208" s="64" t="n">
        <v>182</v>
      </c>
      <c r="H208" s="64">
        <f>TRUNC((_xlfn.NORM.INV((RAND()),$E$35,$E$36)),2)</f>
        <v/>
      </c>
      <c r="I208" s="64">
        <f>TRUNC((_xlfn.NORM.INV((RAND()),$E$35,$E$36)),2)</f>
        <v/>
      </c>
      <c r="J208" s="64">
        <f>TRUNC((_xlfn.NORM.INV((RAND()),$E$35,$E$36)),2)</f>
        <v/>
      </c>
      <c r="Z208" s="64" t="n">
        <v>182</v>
      </c>
      <c r="AA208" s="20">
        <f>TRUNC(IF(H208&lt;0,0,H208),0)</f>
        <v/>
      </c>
      <c r="AB208" s="20">
        <f>TRUNC(IF(I208&lt;0,0,I208),0)</f>
        <v/>
      </c>
      <c r="AC208" s="20">
        <f>TRUNC(IF(J208&lt;0,0,J208),0)</f>
        <v/>
      </c>
      <c r="AS208" s="64" t="n">
        <v>182</v>
      </c>
      <c r="AT208" s="5" t="n">
        <v>5</v>
      </c>
      <c r="AU208" s="5" t="n">
        <v>5</v>
      </c>
      <c r="AV208" s="5" t="n">
        <v>7</v>
      </c>
      <c r="AZ208" s="2" t="n"/>
      <c r="BA208" s="2" t="n"/>
      <c r="BB208" s="2" t="n"/>
      <c r="BE208" s="2" t="n"/>
      <c r="BF208" s="2" t="n"/>
      <c r="BG208" s="2" t="n"/>
    </row>
    <row r="209">
      <c r="G209" s="64" t="n">
        <v>183</v>
      </c>
      <c r="H209" s="64">
        <f>TRUNC((_xlfn.NORM.INV((RAND()),$E$35,$E$36)),2)</f>
        <v/>
      </c>
      <c r="I209" s="64">
        <f>TRUNC((_xlfn.NORM.INV((RAND()),$E$35,$E$36)),2)</f>
        <v/>
      </c>
      <c r="J209" s="64">
        <f>TRUNC((_xlfn.NORM.INV((RAND()),$E$35,$E$36)),2)</f>
        <v/>
      </c>
      <c r="Z209" s="64" t="n">
        <v>183</v>
      </c>
      <c r="AA209" s="20">
        <f>TRUNC(IF(H209&lt;0,0,H209),0)</f>
        <v/>
      </c>
      <c r="AB209" s="20">
        <f>TRUNC(IF(I209&lt;0,0,I209),0)</f>
        <v/>
      </c>
      <c r="AC209" s="20">
        <f>TRUNC(IF(J209&lt;0,0,J209),0)</f>
        <v/>
      </c>
      <c r="AS209" s="64" t="n">
        <v>183</v>
      </c>
      <c r="AT209" s="5" t="n">
        <v>5</v>
      </c>
      <c r="AU209" s="5" t="n">
        <v>5</v>
      </c>
      <c r="AV209" s="5" t="n">
        <v>7</v>
      </c>
      <c r="AZ209" s="2" t="n"/>
      <c r="BA209" s="2" t="n"/>
      <c r="BB209" s="2" t="n"/>
      <c r="BE209" s="2" t="n"/>
      <c r="BF209" s="2" t="n"/>
      <c r="BG209" s="2" t="n"/>
    </row>
    <row r="210">
      <c r="G210" s="64" t="n">
        <v>184</v>
      </c>
      <c r="H210" s="64">
        <f>TRUNC((_xlfn.NORM.INV((RAND()),$E$35,$E$36)),2)</f>
        <v/>
      </c>
      <c r="I210" s="64">
        <f>TRUNC((_xlfn.NORM.INV((RAND()),$E$35,$E$36)),2)</f>
        <v/>
      </c>
      <c r="J210" s="64">
        <f>TRUNC((_xlfn.NORM.INV((RAND()),$E$35,$E$36)),2)</f>
        <v/>
      </c>
      <c r="Z210" s="64" t="n">
        <v>184</v>
      </c>
      <c r="AA210" s="20">
        <f>TRUNC(IF(H210&lt;0,0,H210),0)</f>
        <v/>
      </c>
      <c r="AB210" s="20">
        <f>TRUNC(IF(I210&lt;0,0,I210),0)</f>
        <v/>
      </c>
      <c r="AC210" s="20">
        <f>TRUNC(IF(J210&lt;0,0,J210),0)</f>
        <v/>
      </c>
      <c r="AS210" s="64" t="n">
        <v>184</v>
      </c>
      <c r="AT210" s="5" t="n">
        <v>5</v>
      </c>
      <c r="AU210" s="5" t="n">
        <v>4</v>
      </c>
      <c r="AV210" s="5" t="n">
        <v>4</v>
      </c>
      <c r="AZ210" s="2" t="n"/>
      <c r="BA210" s="2" t="n"/>
      <c r="BB210" s="2" t="n"/>
      <c r="BE210" s="2" t="n"/>
      <c r="BF210" s="2" t="n"/>
      <c r="BG210" s="2" t="n"/>
    </row>
    <row r="211">
      <c r="G211" s="64" t="n">
        <v>185</v>
      </c>
      <c r="H211" s="64">
        <f>TRUNC((_xlfn.NORM.INV((RAND()),$E$35,$E$36)),2)</f>
        <v/>
      </c>
      <c r="I211" s="64">
        <f>TRUNC((_xlfn.NORM.INV((RAND()),$E$35,$E$36)),2)</f>
        <v/>
      </c>
      <c r="J211" s="64">
        <f>TRUNC((_xlfn.NORM.INV((RAND()),$E$35,$E$36)),2)</f>
        <v/>
      </c>
      <c r="Z211" s="64" t="n">
        <v>185</v>
      </c>
      <c r="AA211" s="20">
        <f>TRUNC(IF(H211&lt;0,0,H211),0)</f>
        <v/>
      </c>
      <c r="AB211" s="20">
        <f>TRUNC(IF(I211&lt;0,0,I211),0)</f>
        <v/>
      </c>
      <c r="AC211" s="20">
        <f>TRUNC(IF(J211&lt;0,0,J211),0)</f>
        <v/>
      </c>
      <c r="AS211" s="64" t="n">
        <v>185</v>
      </c>
      <c r="AT211" s="5" t="n">
        <v>5</v>
      </c>
      <c r="AU211" s="5" t="n">
        <v>6</v>
      </c>
      <c r="AV211" s="5" t="n">
        <v>5</v>
      </c>
      <c r="AZ211" s="2" t="n"/>
      <c r="BA211" s="2" t="n"/>
      <c r="BB211" s="2" t="n"/>
      <c r="BE211" s="2" t="n"/>
      <c r="BF211" s="2" t="n"/>
      <c r="BG211" s="2" t="n"/>
    </row>
    <row r="212">
      <c r="G212" s="64" t="n">
        <v>186</v>
      </c>
      <c r="H212" s="64">
        <f>TRUNC((_xlfn.NORM.INV((RAND()),$E$35,$E$36)),2)</f>
        <v/>
      </c>
      <c r="I212" s="64">
        <f>TRUNC((_xlfn.NORM.INV((RAND()),$E$35,$E$36)),2)</f>
        <v/>
      </c>
      <c r="J212" s="64">
        <f>TRUNC((_xlfn.NORM.INV((RAND()),$E$35,$E$36)),2)</f>
        <v/>
      </c>
      <c r="Z212" s="64" t="n">
        <v>186</v>
      </c>
      <c r="AA212" s="20">
        <f>TRUNC(IF(H212&lt;0,0,H212),0)</f>
        <v/>
      </c>
      <c r="AB212" s="20">
        <f>TRUNC(IF(I212&lt;0,0,I212),0)</f>
        <v/>
      </c>
      <c r="AC212" s="20">
        <f>TRUNC(IF(J212&lt;0,0,J212),0)</f>
        <v/>
      </c>
      <c r="AS212" s="64" t="n">
        <v>186</v>
      </c>
      <c r="AT212" s="5" t="n">
        <v>6</v>
      </c>
      <c r="AU212" s="5" t="n">
        <v>6</v>
      </c>
      <c r="AV212" s="5" t="n">
        <v>5</v>
      </c>
      <c r="AZ212" s="2" t="n"/>
      <c r="BA212" s="2" t="n"/>
      <c r="BB212" s="2" t="n"/>
      <c r="BE212" s="2" t="n"/>
      <c r="BF212" s="2" t="n"/>
      <c r="BG212" s="2" t="n"/>
    </row>
    <row r="213">
      <c r="G213" s="64" t="n">
        <v>187</v>
      </c>
      <c r="H213" s="64">
        <f>TRUNC((_xlfn.NORM.INV((RAND()),$E$35,$E$36)),2)</f>
        <v/>
      </c>
      <c r="I213" s="64">
        <f>TRUNC((_xlfn.NORM.INV((RAND()),$E$35,$E$36)),2)</f>
        <v/>
      </c>
      <c r="J213" s="64">
        <f>TRUNC((_xlfn.NORM.INV((RAND()),$E$35,$E$36)),2)</f>
        <v/>
      </c>
      <c r="Z213" s="64" t="n">
        <v>187</v>
      </c>
      <c r="AA213" s="20">
        <f>TRUNC(IF(H213&lt;0,0,H213),0)</f>
        <v/>
      </c>
      <c r="AB213" s="20">
        <f>TRUNC(IF(I213&lt;0,0,I213),0)</f>
        <v/>
      </c>
      <c r="AC213" s="20">
        <f>TRUNC(IF(J213&lt;0,0,J213),0)</f>
        <v/>
      </c>
      <c r="AS213" s="64" t="n">
        <v>187</v>
      </c>
      <c r="AT213" s="5" t="n">
        <v>6</v>
      </c>
      <c r="AU213" s="5" t="n">
        <v>4</v>
      </c>
      <c r="AV213" s="5" t="n">
        <v>4</v>
      </c>
      <c r="AZ213" s="2" t="n"/>
      <c r="BA213" s="2" t="n"/>
      <c r="BB213" s="2" t="n"/>
      <c r="BE213" s="2" t="n"/>
      <c r="BF213" s="2" t="n"/>
      <c r="BG213" s="2" t="n"/>
    </row>
    <row r="214">
      <c r="G214" s="64" t="n">
        <v>188</v>
      </c>
      <c r="H214" s="64">
        <f>TRUNC((_xlfn.NORM.INV((RAND()),$E$35,$E$36)),2)</f>
        <v/>
      </c>
      <c r="I214" s="64">
        <f>TRUNC((_xlfn.NORM.INV((RAND()),$E$35,$E$36)),2)</f>
        <v/>
      </c>
      <c r="J214" s="64">
        <f>TRUNC((_xlfn.NORM.INV((RAND()),$E$35,$E$36)),2)</f>
        <v/>
      </c>
      <c r="Z214" s="64" t="n">
        <v>188</v>
      </c>
      <c r="AA214" s="20">
        <f>TRUNC(IF(H214&lt;0,0,H214),0)</f>
        <v/>
      </c>
      <c r="AB214" s="20">
        <f>TRUNC(IF(I214&lt;0,0,I214),0)</f>
        <v/>
      </c>
      <c r="AC214" s="20">
        <f>TRUNC(IF(J214&lt;0,0,J214),0)</f>
        <v/>
      </c>
      <c r="AS214" s="64" t="n">
        <v>188</v>
      </c>
      <c r="AT214" s="5" t="n">
        <v>1</v>
      </c>
      <c r="AU214" s="5" t="n">
        <v>7</v>
      </c>
      <c r="AV214" s="5" t="n">
        <v>5</v>
      </c>
      <c r="AZ214" s="2" t="n"/>
      <c r="BA214" s="2" t="n"/>
      <c r="BB214" s="2" t="n"/>
      <c r="BE214" s="2" t="n"/>
      <c r="BF214" s="2" t="n"/>
      <c r="BG214" s="2" t="n"/>
    </row>
    <row r="215">
      <c r="G215" s="64" t="n">
        <v>189</v>
      </c>
      <c r="H215" s="64">
        <f>TRUNC((_xlfn.NORM.INV((RAND()),$E$35,$E$36)),2)</f>
        <v/>
      </c>
      <c r="I215" s="64">
        <f>TRUNC((_xlfn.NORM.INV((RAND()),$E$35,$E$36)),2)</f>
        <v/>
      </c>
      <c r="J215" s="64">
        <f>TRUNC((_xlfn.NORM.INV((RAND()),$E$35,$E$36)),2)</f>
        <v/>
      </c>
      <c r="Z215" s="64" t="n">
        <v>189</v>
      </c>
      <c r="AA215" s="20">
        <f>TRUNC(IF(H215&lt;0,0,H215),0)</f>
        <v/>
      </c>
      <c r="AB215" s="20">
        <f>TRUNC(IF(I215&lt;0,0,I215),0)</f>
        <v/>
      </c>
      <c r="AC215" s="20">
        <f>TRUNC(IF(J215&lt;0,0,J215),0)</f>
        <v/>
      </c>
      <c r="AS215" s="64" t="n">
        <v>189</v>
      </c>
      <c r="AT215" s="5" t="n">
        <v>4</v>
      </c>
      <c r="AU215" s="5" t="n">
        <v>6</v>
      </c>
      <c r="AV215" s="5" t="n">
        <v>7</v>
      </c>
      <c r="AZ215" s="2" t="n"/>
      <c r="BA215" s="2" t="n"/>
      <c r="BB215" s="2" t="n"/>
      <c r="BE215" s="2" t="n"/>
      <c r="BF215" s="2" t="n"/>
      <c r="BG215" s="2" t="n"/>
    </row>
    <row r="216">
      <c r="G216" s="64" t="n">
        <v>190</v>
      </c>
      <c r="H216" s="64">
        <f>TRUNC((_xlfn.NORM.INV((RAND()),$E$35,$E$36)),2)</f>
        <v/>
      </c>
      <c r="I216" s="64">
        <f>TRUNC((_xlfn.NORM.INV((RAND()),$E$35,$E$36)),2)</f>
        <v/>
      </c>
      <c r="J216" s="64">
        <f>TRUNC((_xlfn.NORM.INV((RAND()),$E$35,$E$36)),2)</f>
        <v/>
      </c>
      <c r="Z216" s="64" t="n">
        <v>190</v>
      </c>
      <c r="AA216" s="20">
        <f>TRUNC(IF(H216&lt;0,0,H216),0)</f>
        <v/>
      </c>
      <c r="AB216" s="20">
        <f>TRUNC(IF(I216&lt;0,0,I216),0)</f>
        <v/>
      </c>
      <c r="AC216" s="20">
        <f>TRUNC(IF(J216&lt;0,0,J216),0)</f>
        <v/>
      </c>
      <c r="AS216" s="64" t="n">
        <v>190</v>
      </c>
      <c r="AT216" s="5" t="n">
        <v>5</v>
      </c>
      <c r="AU216" s="5" t="n">
        <v>4</v>
      </c>
      <c r="AV216" s="5" t="n">
        <v>6</v>
      </c>
      <c r="AZ216" s="2" t="n"/>
      <c r="BA216" s="2" t="n"/>
      <c r="BB216" s="2" t="n"/>
      <c r="BE216" s="2" t="n"/>
      <c r="BF216" s="2" t="n"/>
      <c r="BG216" s="2" t="n"/>
    </row>
    <row r="217">
      <c r="G217" s="64" t="n">
        <v>191</v>
      </c>
      <c r="H217" s="64">
        <f>TRUNC((_xlfn.NORM.INV((RAND()),$E$35,$E$36)),2)</f>
        <v/>
      </c>
      <c r="I217" s="64">
        <f>TRUNC((_xlfn.NORM.INV((RAND()),$E$35,$E$36)),2)</f>
        <v/>
      </c>
      <c r="J217" s="64">
        <f>TRUNC((_xlfn.NORM.INV((RAND()),$E$35,$E$36)),2)</f>
        <v/>
      </c>
      <c r="Z217" s="64" t="n">
        <v>191</v>
      </c>
      <c r="AA217" s="20">
        <f>TRUNC(IF(H217&lt;0,0,H217),0)</f>
        <v/>
      </c>
      <c r="AB217" s="20">
        <f>TRUNC(IF(I217&lt;0,0,I217),0)</f>
        <v/>
      </c>
      <c r="AC217" s="20">
        <f>TRUNC(IF(J217&lt;0,0,J217),0)</f>
        <v/>
      </c>
      <c r="AS217" s="64" t="n">
        <v>191</v>
      </c>
      <c r="AT217" s="5" t="n">
        <v>2</v>
      </c>
      <c r="AU217" s="5" t="n">
        <v>5</v>
      </c>
      <c r="AV217" s="5" t="n">
        <v>4</v>
      </c>
      <c r="AZ217" s="2" t="n"/>
      <c r="BA217" s="2" t="n"/>
      <c r="BB217" s="2" t="n"/>
      <c r="BE217" s="2" t="n"/>
      <c r="BF217" s="2" t="n"/>
      <c r="BG217" s="2" t="n"/>
    </row>
    <row r="218">
      <c r="G218" s="64" t="n">
        <v>192</v>
      </c>
      <c r="H218" s="64">
        <f>TRUNC((_xlfn.NORM.INV((RAND()),$E$35,$E$36)),2)</f>
        <v/>
      </c>
      <c r="I218" s="64">
        <f>TRUNC((_xlfn.NORM.INV((RAND()),$E$35,$E$36)),2)</f>
        <v/>
      </c>
      <c r="J218" s="64">
        <f>TRUNC((_xlfn.NORM.INV((RAND()),$E$35,$E$36)),2)</f>
        <v/>
      </c>
      <c r="Z218" s="64" t="n">
        <v>192</v>
      </c>
      <c r="AA218" s="20">
        <f>TRUNC(IF(H218&lt;0,0,H218),0)</f>
        <v/>
      </c>
      <c r="AB218" s="20">
        <f>TRUNC(IF(I218&lt;0,0,I218),0)</f>
        <v/>
      </c>
      <c r="AC218" s="20">
        <f>TRUNC(IF(J218&lt;0,0,J218),0)</f>
        <v/>
      </c>
      <c r="AS218" s="64" t="n">
        <v>192</v>
      </c>
      <c r="AT218" s="5" t="n">
        <v>4</v>
      </c>
      <c r="AU218" s="5" t="n">
        <v>7</v>
      </c>
      <c r="AV218" s="5" t="n">
        <v>6</v>
      </c>
      <c r="AZ218" s="2" t="n"/>
      <c r="BA218" s="2" t="n"/>
      <c r="BB218" s="2" t="n"/>
      <c r="BE218" s="2" t="n"/>
      <c r="BF218" s="2" t="n"/>
      <c r="BG218" s="2" t="n"/>
    </row>
    <row r="219">
      <c r="G219" s="64" t="n">
        <v>193</v>
      </c>
      <c r="H219" s="64">
        <f>TRUNC((_xlfn.NORM.INV((RAND()),$E$35,$E$36)),2)</f>
        <v/>
      </c>
      <c r="I219" s="64">
        <f>TRUNC((_xlfn.NORM.INV((RAND()),$E$35,$E$36)),2)</f>
        <v/>
      </c>
      <c r="J219" s="64">
        <f>TRUNC((_xlfn.NORM.INV((RAND()),$E$35,$E$36)),2)</f>
        <v/>
      </c>
      <c r="Z219" s="64" t="n">
        <v>193</v>
      </c>
      <c r="AA219" s="20">
        <f>TRUNC(IF(H219&lt;0,0,H219),0)</f>
        <v/>
      </c>
      <c r="AB219" s="20">
        <f>TRUNC(IF(I219&lt;0,0,I219),0)</f>
        <v/>
      </c>
      <c r="AC219" s="20">
        <f>TRUNC(IF(J219&lt;0,0,J219),0)</f>
        <v/>
      </c>
      <c r="AS219" s="64" t="n">
        <v>193</v>
      </c>
      <c r="AT219" s="5" t="n">
        <v>5</v>
      </c>
      <c r="AU219" s="5" t="n">
        <v>2</v>
      </c>
      <c r="AV219" s="5" t="n">
        <v>6</v>
      </c>
      <c r="AZ219" s="2" t="n"/>
      <c r="BA219" s="2" t="n"/>
      <c r="BB219" s="2" t="n"/>
      <c r="BE219" s="2" t="n"/>
      <c r="BF219" s="2" t="n"/>
      <c r="BG219" s="2" t="n"/>
    </row>
    <row r="220">
      <c r="G220" s="64" t="n">
        <v>194</v>
      </c>
      <c r="H220" s="64">
        <f>TRUNC((_xlfn.NORM.INV((RAND()),$E$35,$E$36)),2)</f>
        <v/>
      </c>
      <c r="I220" s="64">
        <f>TRUNC((_xlfn.NORM.INV((RAND()),$E$35,$E$36)),2)</f>
        <v/>
      </c>
      <c r="J220" s="64">
        <f>TRUNC((_xlfn.NORM.INV((RAND()),$E$35,$E$36)),2)</f>
        <v/>
      </c>
      <c r="Z220" s="64" t="n">
        <v>194</v>
      </c>
      <c r="AA220" s="20">
        <f>TRUNC(IF(H220&lt;0,0,H220),0)</f>
        <v/>
      </c>
      <c r="AB220" s="20">
        <f>TRUNC(IF(I220&lt;0,0,I220),0)</f>
        <v/>
      </c>
      <c r="AC220" s="20">
        <f>TRUNC(IF(J220&lt;0,0,J220),0)</f>
        <v/>
      </c>
      <c r="AS220" s="64" t="n">
        <v>194</v>
      </c>
      <c r="AT220" s="5" t="n">
        <v>4</v>
      </c>
      <c r="AU220" s="5" t="n">
        <v>4</v>
      </c>
      <c r="AV220" s="5" t="n">
        <v>1</v>
      </c>
      <c r="AZ220" s="2" t="n"/>
      <c r="BA220" s="2" t="n"/>
      <c r="BB220" s="2" t="n"/>
      <c r="BE220" s="2" t="n"/>
      <c r="BF220" s="2" t="n"/>
      <c r="BG220" s="2" t="n"/>
    </row>
    <row r="221">
      <c r="G221" s="64" t="n">
        <v>195</v>
      </c>
      <c r="H221" s="64">
        <f>TRUNC((_xlfn.NORM.INV((RAND()),$E$35,$E$36)),2)</f>
        <v/>
      </c>
      <c r="I221" s="64">
        <f>TRUNC((_xlfn.NORM.INV((RAND()),$E$35,$E$36)),2)</f>
        <v/>
      </c>
      <c r="J221" s="64">
        <f>TRUNC((_xlfn.NORM.INV((RAND()),$E$35,$E$36)),2)</f>
        <v/>
      </c>
      <c r="Z221" s="64" t="n">
        <v>195</v>
      </c>
      <c r="AA221" s="20">
        <f>TRUNC(IF(H221&lt;0,0,H221),0)</f>
        <v/>
      </c>
      <c r="AB221" s="20">
        <f>TRUNC(IF(I221&lt;0,0,I221),0)</f>
        <v/>
      </c>
      <c r="AC221" s="20">
        <f>TRUNC(IF(J221&lt;0,0,J221),0)</f>
        <v/>
      </c>
      <c r="AS221" s="64" t="n">
        <v>195</v>
      </c>
      <c r="AT221" s="5" t="n">
        <v>6</v>
      </c>
      <c r="AU221" s="5" t="n">
        <v>7</v>
      </c>
      <c r="AV221" s="5" t="n">
        <v>3</v>
      </c>
      <c r="AZ221" s="2" t="n"/>
      <c r="BA221" s="2" t="n"/>
      <c r="BB221" s="2" t="n"/>
      <c r="BE221" s="2" t="n"/>
      <c r="BF221" s="2" t="n"/>
      <c r="BG221" s="2" t="n"/>
    </row>
    <row r="222">
      <c r="G222" s="64" t="n">
        <v>196</v>
      </c>
      <c r="H222" s="64">
        <f>TRUNC((_xlfn.NORM.INV((RAND()),$E$35,$E$36)),2)</f>
        <v/>
      </c>
      <c r="I222" s="64">
        <f>TRUNC((_xlfn.NORM.INV((RAND()),$E$35,$E$36)),2)</f>
        <v/>
      </c>
      <c r="J222" s="64">
        <f>TRUNC((_xlfn.NORM.INV((RAND()),$E$35,$E$36)),2)</f>
        <v/>
      </c>
      <c r="Z222" s="64" t="n">
        <v>196</v>
      </c>
      <c r="AA222" s="20">
        <f>TRUNC(IF(H222&lt;0,0,H222),0)</f>
        <v/>
      </c>
      <c r="AB222" s="20">
        <f>TRUNC(IF(I222&lt;0,0,I222),0)</f>
        <v/>
      </c>
      <c r="AC222" s="20">
        <f>TRUNC(IF(J222&lt;0,0,J222),0)</f>
        <v/>
      </c>
      <c r="AS222" s="64" t="n">
        <v>196</v>
      </c>
      <c r="AT222" s="5" t="n">
        <v>5</v>
      </c>
      <c r="AU222" s="5" t="n">
        <v>6</v>
      </c>
      <c r="AV222" s="5" t="n">
        <v>6</v>
      </c>
      <c r="AZ222" s="2" t="n"/>
      <c r="BA222" s="2" t="n"/>
      <c r="BB222" s="2" t="n"/>
      <c r="BE222" s="2" t="n"/>
      <c r="BF222" s="2" t="n"/>
      <c r="BG222" s="2" t="n"/>
    </row>
    <row r="223">
      <c r="G223" s="64" t="n">
        <v>197</v>
      </c>
      <c r="H223" s="64">
        <f>TRUNC((_xlfn.NORM.INV((RAND()),$E$35,$E$36)),2)</f>
        <v/>
      </c>
      <c r="I223" s="64">
        <f>TRUNC((_xlfn.NORM.INV((RAND()),$E$35,$E$36)),2)</f>
        <v/>
      </c>
      <c r="J223" s="64">
        <f>TRUNC((_xlfn.NORM.INV((RAND()),$E$35,$E$36)),2)</f>
        <v/>
      </c>
      <c r="Z223" s="64" t="n">
        <v>197</v>
      </c>
      <c r="AA223" s="20">
        <f>TRUNC(IF(H223&lt;0,0,H223),0)</f>
        <v/>
      </c>
      <c r="AB223" s="20">
        <f>TRUNC(IF(I223&lt;0,0,I223),0)</f>
        <v/>
      </c>
      <c r="AC223" s="20">
        <f>TRUNC(IF(J223&lt;0,0,J223),0)</f>
        <v/>
      </c>
      <c r="AS223" s="64" t="n">
        <v>197</v>
      </c>
      <c r="AT223" s="5" t="n">
        <v>4</v>
      </c>
      <c r="AU223" s="5" t="n">
        <v>4</v>
      </c>
      <c r="AV223" s="5" t="n">
        <v>4</v>
      </c>
      <c r="AZ223" s="2" t="n"/>
      <c r="BA223" s="2" t="n"/>
      <c r="BB223" s="2" t="n"/>
      <c r="BE223" s="2" t="n"/>
      <c r="BF223" s="2" t="n"/>
      <c r="BG223" s="2" t="n"/>
    </row>
    <row r="224">
      <c r="G224" s="64" t="n">
        <v>198</v>
      </c>
      <c r="H224" s="64">
        <f>TRUNC((_xlfn.NORM.INV((RAND()),$E$35,$E$36)),2)</f>
        <v/>
      </c>
      <c r="I224" s="64">
        <f>TRUNC((_xlfn.NORM.INV((RAND()),$E$35,$E$36)),2)</f>
        <v/>
      </c>
      <c r="J224" s="64">
        <f>TRUNC((_xlfn.NORM.INV((RAND()),$E$35,$E$36)),2)</f>
        <v/>
      </c>
      <c r="Z224" s="64" t="n">
        <v>198</v>
      </c>
      <c r="AA224" s="20">
        <f>TRUNC(IF(H224&lt;0,0,H224),0)</f>
        <v/>
      </c>
      <c r="AB224" s="20">
        <f>TRUNC(IF(I224&lt;0,0,I224),0)</f>
        <v/>
      </c>
      <c r="AC224" s="20">
        <f>TRUNC(IF(J224&lt;0,0,J224),0)</f>
        <v/>
      </c>
      <c r="AS224" s="64" t="n">
        <v>198</v>
      </c>
      <c r="AT224" s="5" t="n">
        <v>7</v>
      </c>
      <c r="AU224" s="5" t="n">
        <v>6</v>
      </c>
      <c r="AV224" s="5" t="n">
        <v>6</v>
      </c>
      <c r="AZ224" s="2" t="n"/>
      <c r="BA224" s="2" t="n"/>
      <c r="BB224" s="2" t="n"/>
      <c r="BE224" s="2" t="n"/>
      <c r="BF224" s="2" t="n"/>
      <c r="BG224" s="2" t="n"/>
    </row>
  </sheetData>
  <mergeCells count="1">
    <mergeCell ref="H2:V2"/>
  </mergeCells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CH238"/>
  <sheetViews>
    <sheetView topLeftCell="A31" zoomScale="90" zoomScaleNormal="90" workbookViewId="0">
      <selection activeCell="S60" sqref="S60"/>
    </sheetView>
  </sheetViews>
  <sheetFormatPr baseColWidth="8" defaultColWidth="8.88671875" defaultRowHeight="14.4"/>
  <cols>
    <col width="3.77734375" customWidth="1" style="18" min="1" max="1"/>
    <col width="8.21875" bestFit="1" customWidth="1" style="18" min="2" max="2"/>
    <col width="25.6640625" bestFit="1" customWidth="1" style="18" min="3" max="3"/>
    <col width="13.109375" customWidth="1" style="18" min="4" max="18"/>
    <col width="12.33203125" customWidth="1" style="18" min="19" max="19"/>
    <col width="13.21875" bestFit="1" customWidth="1" style="18" min="20" max="24"/>
    <col width="8" bestFit="1" customWidth="1" style="18" min="25" max="25"/>
    <col width="13.21875" bestFit="1" customWidth="1" style="18" min="26" max="33"/>
    <col width="8" bestFit="1" customWidth="1" style="18" min="34" max="34"/>
    <col width="8.88671875" customWidth="1" style="18" min="35" max="36"/>
    <col width="12.109375" customWidth="1" style="18" min="37" max="37"/>
    <col width="13.77734375" bestFit="1" customWidth="1" style="18" min="38" max="38"/>
    <col width="8.88671875" customWidth="1" style="18" min="39" max="53"/>
    <col width="9.5546875" customWidth="1" style="18" min="54" max="54"/>
    <col width="10.77734375" bestFit="1" customWidth="1" style="18" min="55" max="55"/>
    <col width="8.88671875" customWidth="1" style="18" min="56" max="71"/>
    <col width="9.44140625" bestFit="1" customWidth="1" style="18" min="72" max="72"/>
    <col width="11.109375" bestFit="1" customWidth="1" style="18" min="73" max="73"/>
    <col width="10.109375" bestFit="1" customWidth="1" style="18" min="74" max="74"/>
    <col width="11.109375" bestFit="1" customWidth="1" style="18" min="75" max="75"/>
    <col width="9.44140625" bestFit="1" customWidth="1" style="18" min="76" max="77"/>
    <col width="12.109375" bestFit="1" customWidth="1" style="18" min="78" max="78"/>
    <col width="11.109375" bestFit="1" customWidth="1" style="18" min="79" max="79"/>
    <col width="12.109375" bestFit="1" customWidth="1" style="18" min="80" max="80"/>
    <col width="9.44140625" bestFit="1" customWidth="1" style="18" min="81" max="81"/>
    <col width="13.77734375" bestFit="1" customWidth="1" style="18" min="82" max="82"/>
    <col width="9.44140625" bestFit="1" customWidth="1" style="18" min="83" max="83"/>
    <col width="10.109375" bestFit="1" customWidth="1" style="18" min="84" max="84"/>
    <col width="12.109375" bestFit="1" customWidth="1" style="18" min="85" max="85"/>
    <col width="10.109375" bestFit="1" customWidth="1" style="18" min="86" max="86"/>
    <col width="8.88671875" customWidth="1" style="18" min="87" max="16384"/>
  </cols>
  <sheetData>
    <row r="3">
      <c r="C3" s="15" t="inlineStr">
        <is>
          <t>ELTw</t>
        </is>
      </c>
      <c r="D3" s="15" t="n">
        <v>1</v>
      </c>
      <c r="E3" s="15" t="n">
        <v>2</v>
      </c>
      <c r="F3" s="15" t="n">
        <v>3</v>
      </c>
      <c r="G3" s="15" t="n">
        <v>4</v>
      </c>
      <c r="H3" s="15" t="n">
        <v>5</v>
      </c>
      <c r="I3" s="15" t="n">
        <v>6</v>
      </c>
      <c r="J3" s="15" t="n">
        <v>7</v>
      </c>
      <c r="K3" s="15" t="n">
        <v>8</v>
      </c>
      <c r="L3" s="15" t="n">
        <v>9</v>
      </c>
      <c r="M3" s="15" t="n">
        <v>10</v>
      </c>
      <c r="N3" s="15" t="n">
        <v>11</v>
      </c>
      <c r="O3" s="15" t="n">
        <v>12</v>
      </c>
      <c r="P3" s="15" t="n">
        <v>13</v>
      </c>
      <c r="Q3" s="15" t="n">
        <v>14</v>
      </c>
      <c r="R3" s="15" t="n">
        <v>15</v>
      </c>
    </row>
    <row r="4">
      <c r="C4" s="15" t="n">
        <v>1</v>
      </c>
      <c r="D4" s="21">
        <f>Suppliers!I22</f>
        <v/>
      </c>
      <c r="E4" s="21">
        <f>Suppliers!J22</f>
        <v/>
      </c>
      <c r="F4" s="21">
        <f>Suppliers!K22</f>
        <v/>
      </c>
      <c r="G4" s="21">
        <f>Suppliers!L22</f>
        <v/>
      </c>
      <c r="H4" s="21">
        <f>Suppliers!M22</f>
        <v/>
      </c>
      <c r="I4" s="21">
        <f>Suppliers!N22</f>
        <v/>
      </c>
      <c r="J4" s="21">
        <f>Suppliers!O22</f>
        <v/>
      </c>
      <c r="K4" s="21">
        <f>Suppliers!P22</f>
        <v/>
      </c>
      <c r="L4" s="21">
        <f>Suppliers!Q22</f>
        <v/>
      </c>
      <c r="M4" s="21">
        <f>Suppliers!R22</f>
        <v/>
      </c>
      <c r="N4" s="21">
        <f>Suppliers!S22</f>
        <v/>
      </c>
      <c r="O4" s="21">
        <f>Suppliers!T22</f>
        <v/>
      </c>
      <c r="P4" s="21">
        <f>Suppliers!U22</f>
        <v/>
      </c>
      <c r="Q4" s="21">
        <f>Suppliers!V22</f>
        <v/>
      </c>
      <c r="R4" s="21">
        <f>Suppliers!W22</f>
        <v/>
      </c>
      <c r="T4" s="21" t="n"/>
    </row>
    <row r="5">
      <c r="C5" s="15" t="n">
        <v>2</v>
      </c>
      <c r="D5" s="21">
        <f>Suppliers!I23</f>
        <v/>
      </c>
      <c r="E5" s="21">
        <f>Suppliers!J23</f>
        <v/>
      </c>
      <c r="F5" s="21">
        <f>Suppliers!K23</f>
        <v/>
      </c>
      <c r="G5" s="21">
        <f>Suppliers!L23</f>
        <v/>
      </c>
      <c r="H5" s="21">
        <f>Suppliers!M23</f>
        <v/>
      </c>
      <c r="I5" s="21">
        <f>Suppliers!N23</f>
        <v/>
      </c>
      <c r="J5" s="21">
        <f>Suppliers!O23</f>
        <v/>
      </c>
      <c r="K5" s="21">
        <f>Suppliers!P23</f>
        <v/>
      </c>
      <c r="L5" s="21">
        <f>Suppliers!Q23</f>
        <v/>
      </c>
      <c r="M5" s="21">
        <f>Suppliers!R23</f>
        <v/>
      </c>
      <c r="N5" s="21">
        <f>Suppliers!S23</f>
        <v/>
      </c>
      <c r="O5" s="21">
        <f>Suppliers!T23</f>
        <v/>
      </c>
      <c r="P5" s="21">
        <f>Suppliers!U23</f>
        <v/>
      </c>
      <c r="Q5" s="21">
        <f>Suppliers!V23</f>
        <v/>
      </c>
      <c r="R5" s="21">
        <f>Suppliers!W23</f>
        <v/>
      </c>
    </row>
    <row r="6">
      <c r="C6" s="15" t="n">
        <v>3</v>
      </c>
      <c r="D6" s="21">
        <f>Suppliers!I24</f>
        <v/>
      </c>
      <c r="E6" s="21">
        <f>Suppliers!J24</f>
        <v/>
      </c>
      <c r="F6" s="21">
        <f>Suppliers!K24</f>
        <v/>
      </c>
      <c r="G6" s="21">
        <f>Suppliers!L24</f>
        <v/>
      </c>
      <c r="H6" s="21">
        <f>Suppliers!M24</f>
        <v/>
      </c>
      <c r="I6" s="21">
        <f>Suppliers!N24</f>
        <v/>
      </c>
      <c r="J6" s="21">
        <f>Suppliers!O24</f>
        <v/>
      </c>
      <c r="K6" s="21">
        <f>Suppliers!P24</f>
        <v/>
      </c>
      <c r="L6" s="21">
        <f>Suppliers!Q24</f>
        <v/>
      </c>
      <c r="M6" s="21">
        <f>Suppliers!R24</f>
        <v/>
      </c>
      <c r="N6" s="21">
        <f>Suppliers!S24</f>
        <v/>
      </c>
      <c r="O6" s="21">
        <f>Suppliers!T24</f>
        <v/>
      </c>
      <c r="P6" s="21">
        <f>Suppliers!U24</f>
        <v/>
      </c>
      <c r="Q6" s="21">
        <f>Suppliers!V24</f>
        <v/>
      </c>
      <c r="R6" s="21">
        <f>Suppliers!W24</f>
        <v/>
      </c>
    </row>
    <row r="8">
      <c r="AL8" s="18" t="inlineStr">
        <is>
          <t>COMPARAÇÃO</t>
        </is>
      </c>
    </row>
    <row r="9">
      <c r="B9" s="21" t="n"/>
      <c r="C9" s="15" t="inlineStr">
        <is>
          <t>S0+RLTw-vSw</t>
        </is>
      </c>
      <c r="D9" s="15" t="n">
        <v>1</v>
      </c>
      <c r="E9" s="15" t="n">
        <v>2</v>
      </c>
      <c r="F9" s="15" t="n">
        <v>3</v>
      </c>
      <c r="G9" s="15" t="n">
        <v>4</v>
      </c>
      <c r="H9" s="15" t="n">
        <v>5</v>
      </c>
      <c r="I9" s="15" t="n">
        <v>6</v>
      </c>
      <c r="J9" s="15" t="n">
        <v>7</v>
      </c>
      <c r="K9" s="15" t="n">
        <v>8</v>
      </c>
      <c r="L9" s="15" t="n">
        <v>9</v>
      </c>
      <c r="M9" s="15" t="n">
        <v>10</v>
      </c>
      <c r="N9" s="15" t="n">
        <v>11</v>
      </c>
      <c r="O9" s="15" t="n">
        <v>12</v>
      </c>
      <c r="P9" s="15" t="n">
        <v>13</v>
      </c>
      <c r="Q9" s="15" t="n">
        <v>14</v>
      </c>
      <c r="R9" s="15" t="n">
        <v>15</v>
      </c>
      <c r="T9" s="15" t="inlineStr">
        <is>
          <t>S0+RLTw-vSw</t>
        </is>
      </c>
      <c r="U9" s="15" t="n">
        <v>1</v>
      </c>
      <c r="V9" s="15" t="n">
        <v>2</v>
      </c>
      <c r="W9" s="15" t="n">
        <v>3</v>
      </c>
      <c r="X9" s="15" t="n">
        <v>4</v>
      </c>
      <c r="Y9" s="15" t="n">
        <v>5</v>
      </c>
      <c r="Z9" s="15" t="n">
        <v>6</v>
      </c>
      <c r="AA9" s="15" t="n">
        <v>7</v>
      </c>
      <c r="AB9" s="15" t="n">
        <v>8</v>
      </c>
      <c r="AC9" s="15" t="n">
        <v>9</v>
      </c>
      <c r="AD9" s="15" t="n">
        <v>10</v>
      </c>
      <c r="AE9" s="15" t="n">
        <v>11</v>
      </c>
      <c r="AF9" s="15" t="n">
        <v>12</v>
      </c>
      <c r="AG9" s="15" t="n">
        <v>13</v>
      </c>
      <c r="AH9" s="15" t="n">
        <v>14</v>
      </c>
      <c r="AI9" s="15" t="n">
        <v>15</v>
      </c>
      <c r="AJ9" s="19" t="n"/>
      <c r="AL9" s="18" t="inlineStr">
        <is>
          <t>S0+RLTw-vSw</t>
        </is>
      </c>
      <c r="AM9" s="19" t="n">
        <v>1</v>
      </c>
      <c r="AN9" s="19" t="n">
        <v>2</v>
      </c>
      <c r="AO9" s="19" t="n">
        <v>3</v>
      </c>
      <c r="AP9" s="19" t="n">
        <v>4</v>
      </c>
      <c r="AQ9" s="19" t="n">
        <v>5</v>
      </c>
      <c r="AR9" s="19" t="n">
        <v>6</v>
      </c>
      <c r="AS9" s="19" t="n">
        <v>7</v>
      </c>
      <c r="AT9" s="19" t="n">
        <v>8</v>
      </c>
      <c r="AU9" s="19" t="n">
        <v>9</v>
      </c>
      <c r="AV9" s="19" t="n">
        <v>10</v>
      </c>
      <c r="AW9" s="19" t="n">
        <v>11</v>
      </c>
      <c r="AX9" s="19" t="n">
        <v>12</v>
      </c>
      <c r="AY9" s="19" t="n">
        <v>13</v>
      </c>
      <c r="AZ9" s="19" t="n">
        <v>14</v>
      </c>
      <c r="BA9" s="19" t="n">
        <v>15</v>
      </c>
    </row>
    <row r="10">
      <c r="B10" s="21" t="n"/>
      <c r="C10" s="15" t="n">
        <v>1</v>
      </c>
      <c r="D10" s="21">
        <f>Suppliers_Cap!D33+D22-Results!D5</f>
        <v/>
      </c>
      <c r="E10" s="21">
        <f>Suppliers_Cap!E33+E22-Results!E5</f>
        <v/>
      </c>
      <c r="F10" s="21">
        <f>Suppliers_Cap!F33+F22-Results!F5</f>
        <v/>
      </c>
      <c r="G10" s="21">
        <f>Suppliers_Cap!G33+G22-Results!G5</f>
        <v/>
      </c>
      <c r="H10" s="21">
        <f>Suppliers_Cap!H33+H22-Results!H5</f>
        <v/>
      </c>
      <c r="I10" s="21">
        <f>Suppliers_Cap!I33+I22-Results!I5</f>
        <v/>
      </c>
      <c r="J10" s="21">
        <f>Suppliers_Cap!J33+J22-Results!J5</f>
        <v/>
      </c>
      <c r="K10" s="21">
        <f>Suppliers_Cap!K33+K22-Results!K5</f>
        <v/>
      </c>
      <c r="L10" s="21">
        <f>Suppliers_Cap!L33+L22-Results!L5</f>
        <v/>
      </c>
      <c r="M10" s="21">
        <f>Suppliers_Cap!M33+M22-Results!M5</f>
        <v/>
      </c>
      <c r="N10" s="21">
        <f>Suppliers_Cap!N33+N22-Results!N5</f>
        <v/>
      </c>
      <c r="O10" s="21">
        <f>Suppliers_Cap!O33+O22-Results!O5</f>
        <v/>
      </c>
      <c r="P10" s="21">
        <f>Suppliers_Cap!P33+P22-Results!P5</f>
        <v/>
      </c>
      <c r="Q10" s="21">
        <f>Suppliers_Cap!Q33+Q22-Results!Q5</f>
        <v/>
      </c>
      <c r="R10" s="21">
        <f>Suppliers_Cap!R33+R22-Results!R5</f>
        <v/>
      </c>
      <c r="T10" s="15" t="n">
        <v>1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14.52646680942184</v>
      </c>
      <c r="Z10" s="21" t="n">
        <v>21.1979410383119</v>
      </c>
      <c r="AA10" s="21" t="n">
        <v>0</v>
      </c>
      <c r="AB10" s="21" t="n">
        <v>12.70856132245723</v>
      </c>
      <c r="AC10" s="21" t="n">
        <v>8.144571936407615</v>
      </c>
      <c r="AD10" s="21" t="n">
        <v>0</v>
      </c>
      <c r="AE10" s="21" t="n">
        <v>-2.134896703864797e-10</v>
      </c>
      <c r="AF10" s="21" t="n">
        <v>0</v>
      </c>
      <c r="AG10" s="21" t="n">
        <v>7.526839546191249</v>
      </c>
      <c r="AH10" s="21" t="n">
        <v>20.70293766165371</v>
      </c>
      <c r="AI10" s="21" t="n">
        <v>21.8559195136871</v>
      </c>
      <c r="AJ10" s="21" t="n"/>
      <c r="AK10" s="19" t="n"/>
      <c r="AL10" s="19" t="n">
        <v>1</v>
      </c>
      <c r="AM10" s="21">
        <f>D10-U10</f>
        <v/>
      </c>
      <c r="AN10" s="21">
        <f>E10-V10</f>
        <v/>
      </c>
      <c r="AO10" s="21">
        <f>F10-W10</f>
        <v/>
      </c>
      <c r="AP10" s="21">
        <f>G10-X10</f>
        <v/>
      </c>
      <c r="AQ10" s="21">
        <f>H10-Y10</f>
        <v/>
      </c>
      <c r="AR10" s="21">
        <f>I10-Z10</f>
        <v/>
      </c>
      <c r="AS10" s="21">
        <f>J10-AA10</f>
        <v/>
      </c>
      <c r="AT10" s="21">
        <f>K10-AB10</f>
        <v/>
      </c>
      <c r="AU10" s="21">
        <f>L10-AC10</f>
        <v/>
      </c>
      <c r="AV10" s="21">
        <f>M10-AD10</f>
        <v/>
      </c>
      <c r="AW10" s="21">
        <f>N10-AE10</f>
        <v/>
      </c>
      <c r="AX10" s="21">
        <f>O10-AF10</f>
        <v/>
      </c>
      <c r="AY10" s="21">
        <f>P10-AG10</f>
        <v/>
      </c>
      <c r="AZ10" s="21">
        <f>Q10-AH10</f>
        <v/>
      </c>
      <c r="BA10" s="21">
        <f>R10-AI10</f>
        <v/>
      </c>
    </row>
    <row r="11">
      <c r="B11" s="21" t="n"/>
      <c r="C11" s="15" t="n">
        <v>2</v>
      </c>
      <c r="D11" s="21">
        <f>Suppliers_Cap!D34+D23-Results!D6</f>
        <v/>
      </c>
      <c r="E11" s="21">
        <f>Suppliers_Cap!E34+E23-Results!E6</f>
        <v/>
      </c>
      <c r="F11" s="21">
        <f>Suppliers_Cap!F34+F23-Results!F6</f>
        <v/>
      </c>
      <c r="G11" s="21">
        <f>Suppliers_Cap!G34+G23-Results!G6</f>
        <v/>
      </c>
      <c r="H11" s="21">
        <f>Suppliers_Cap!H34+H23-Results!H6</f>
        <v/>
      </c>
      <c r="I11" s="21">
        <f>Suppliers_Cap!I34+I23-Results!I6</f>
        <v/>
      </c>
      <c r="J11" s="21">
        <f>Suppliers_Cap!J34+J23-Results!J6</f>
        <v/>
      </c>
      <c r="K11" s="21">
        <f>Suppliers_Cap!K34+K23-Results!K6</f>
        <v/>
      </c>
      <c r="L11" s="21">
        <f>Suppliers_Cap!L34+L23-Results!L6</f>
        <v/>
      </c>
      <c r="M11" s="21">
        <f>Suppliers_Cap!M34+M23-Results!M6</f>
        <v/>
      </c>
      <c r="N11" s="21">
        <f>Suppliers_Cap!N34+N23-Results!N6</f>
        <v/>
      </c>
      <c r="O11" s="21">
        <f>Suppliers_Cap!O34+O23-Results!O6</f>
        <v/>
      </c>
      <c r="P11" s="21">
        <f>Suppliers_Cap!P34+P23-Results!P6</f>
        <v/>
      </c>
      <c r="Q11" s="21">
        <f>Suppliers_Cap!Q34+Q23-Results!Q6</f>
        <v/>
      </c>
      <c r="R11" s="21">
        <f>Suppliers_Cap!R34+R23-Results!R6</f>
        <v/>
      </c>
      <c r="T11" s="15" t="n">
        <v>2</v>
      </c>
      <c r="U11" s="21" t="n">
        <v>7.74839049380958</v>
      </c>
      <c r="V11" s="21" t="n">
        <v>15.71758043758044</v>
      </c>
      <c r="W11" s="21" t="n">
        <v>0</v>
      </c>
      <c r="X11" s="21" t="n">
        <v>0</v>
      </c>
      <c r="Y11" s="21" t="n">
        <v>-8.248832727986155e-10</v>
      </c>
      <c r="Z11" s="21" t="n">
        <v>11.36510176390773</v>
      </c>
      <c r="AA11" s="21" t="n">
        <v>-9.22142362469458e-10</v>
      </c>
      <c r="AB11" s="21" t="n">
        <v>0</v>
      </c>
      <c r="AC11" s="21" t="n">
        <v>0</v>
      </c>
      <c r="AD11" s="21" t="n">
        <v>9.829454391653741</v>
      </c>
      <c r="AE11" s="21" t="n">
        <v>0</v>
      </c>
      <c r="AF11" s="21" t="n">
        <v>17.34121294130036</v>
      </c>
      <c r="AG11" s="21" t="n">
        <v>19.48000000015736</v>
      </c>
      <c r="AH11" s="21" t="n">
        <v>11.63367647058825</v>
      </c>
      <c r="AI11" s="21" t="n">
        <v>7.272248880725517</v>
      </c>
      <c r="AJ11" s="21" t="n"/>
      <c r="AK11" s="19" t="n"/>
      <c r="AL11" s="19" t="n">
        <v>2</v>
      </c>
      <c r="AM11" s="21">
        <f>D11-U11</f>
        <v/>
      </c>
      <c r="AN11" s="21">
        <f>E11-V11</f>
        <v/>
      </c>
      <c r="AO11" s="21">
        <f>F11-W11</f>
        <v/>
      </c>
      <c r="AP11" s="21">
        <f>G11-X11</f>
        <v/>
      </c>
      <c r="AQ11" s="21">
        <f>H11-Y11</f>
        <v/>
      </c>
      <c r="AR11" s="21">
        <f>I11-Z11</f>
        <v/>
      </c>
      <c r="AS11" s="21">
        <f>J11-AA11</f>
        <v/>
      </c>
      <c r="AT11" s="21">
        <f>K11-AB11</f>
        <v/>
      </c>
      <c r="AU11" s="21">
        <f>L11-AC11</f>
        <v/>
      </c>
      <c r="AV11" s="21">
        <f>M11-AD11</f>
        <v/>
      </c>
      <c r="AW11" s="21">
        <f>N11-AE11</f>
        <v/>
      </c>
      <c r="AX11" s="21">
        <f>O11-AF11</f>
        <v/>
      </c>
      <c r="AY11" s="21">
        <f>P11-AG11</f>
        <v/>
      </c>
      <c r="AZ11" s="21">
        <f>Q11-AH11</f>
        <v/>
      </c>
      <c r="BA11" s="21">
        <f>R11-AI11</f>
        <v/>
      </c>
    </row>
    <row r="12">
      <c r="B12" s="21" t="n"/>
      <c r="C12" s="15" t="n">
        <v>3</v>
      </c>
      <c r="D12" s="21">
        <f>Suppliers_Cap!D35+D24-Results!D7</f>
        <v/>
      </c>
      <c r="E12" s="21">
        <f>Suppliers_Cap!E35+E24-Results!E7</f>
        <v/>
      </c>
      <c r="F12" s="21">
        <f>Suppliers_Cap!F35+F24-Results!F7</f>
        <v/>
      </c>
      <c r="G12" s="21">
        <f>Suppliers_Cap!G35+G24-Results!G7</f>
        <v/>
      </c>
      <c r="H12" s="21">
        <f>Suppliers_Cap!H35+H24-Results!H7</f>
        <v/>
      </c>
      <c r="I12" s="21">
        <f>Suppliers_Cap!I35+I24-Results!I7</f>
        <v/>
      </c>
      <c r="J12" s="21">
        <f>Suppliers_Cap!J35+J24-Results!J7</f>
        <v/>
      </c>
      <c r="K12" s="21">
        <f>Suppliers_Cap!K35+K24-Results!K7</f>
        <v/>
      </c>
      <c r="L12" s="21">
        <f>Suppliers_Cap!L35+L24-Results!L7</f>
        <v/>
      </c>
      <c r="M12" s="21">
        <f>Suppliers_Cap!M35+M24-Results!M7</f>
        <v/>
      </c>
      <c r="N12" s="21">
        <f>Suppliers_Cap!N35+N24-Results!N7</f>
        <v/>
      </c>
      <c r="O12" s="21">
        <f>Suppliers_Cap!O35+O24-Results!O7</f>
        <v/>
      </c>
      <c r="P12" s="21">
        <f>Suppliers_Cap!P35+P24-Results!P7</f>
        <v/>
      </c>
      <c r="Q12" s="21">
        <f>Suppliers_Cap!Q35+Q24-Results!Q7</f>
        <v/>
      </c>
      <c r="R12" s="21">
        <f>Suppliers_Cap!R35+R24-Results!R7</f>
        <v/>
      </c>
      <c r="T12" s="15" t="n">
        <v>3</v>
      </c>
      <c r="U12" s="21" t="n">
        <v>27.58591610681045</v>
      </c>
      <c r="V12" s="21" t="n">
        <v>0</v>
      </c>
      <c r="W12" s="21" t="n">
        <v>0</v>
      </c>
      <c r="X12" s="21" t="n">
        <v>12.673211604788</v>
      </c>
      <c r="Y12" s="21" t="n">
        <v>0</v>
      </c>
      <c r="Z12" s="21" t="n">
        <v>27.56048492112705</v>
      </c>
      <c r="AA12" s="21" t="n">
        <v>18.88106583464286</v>
      </c>
      <c r="AB12" s="21" t="n">
        <v>0</v>
      </c>
      <c r="AC12" s="21" t="n">
        <v>0</v>
      </c>
      <c r="AD12" s="21" t="n">
        <v>0</v>
      </c>
      <c r="AE12" s="21" t="n">
        <v>15.97619047611597</v>
      </c>
      <c r="AF12" s="21" t="n">
        <v>-8.102318815872422e-10</v>
      </c>
      <c r="AG12" s="21" t="n">
        <v>0</v>
      </c>
      <c r="AH12" s="21" t="n">
        <v>0</v>
      </c>
      <c r="AI12" s="21" t="n">
        <v>7.77182511438739</v>
      </c>
      <c r="AJ12" s="21" t="n"/>
      <c r="AK12" s="19" t="n"/>
      <c r="AL12" s="19" t="n">
        <v>3</v>
      </c>
      <c r="AM12" s="21">
        <f>D12-U12</f>
        <v/>
      </c>
      <c r="AN12" s="21">
        <f>E12-V12</f>
        <v/>
      </c>
      <c r="AO12" s="21">
        <f>F12-W12</f>
        <v/>
      </c>
      <c r="AP12" s="21">
        <f>G12-X12</f>
        <v/>
      </c>
      <c r="AQ12" s="21">
        <f>H12-Y12</f>
        <v/>
      </c>
      <c r="AR12" s="21">
        <f>I12-Z12</f>
        <v/>
      </c>
      <c r="AS12" s="21">
        <f>J12-AA12</f>
        <v/>
      </c>
      <c r="AT12" s="21">
        <f>K12-AB12</f>
        <v/>
      </c>
      <c r="AU12" s="21">
        <f>L12-AC12</f>
        <v/>
      </c>
      <c r="AV12" s="21">
        <f>M12-AD12</f>
        <v/>
      </c>
      <c r="AW12" s="21">
        <f>N12-AE12</f>
        <v/>
      </c>
      <c r="AX12" s="21">
        <f>O12-AF12</f>
        <v/>
      </c>
      <c r="AY12" s="21">
        <f>P12-AG12</f>
        <v/>
      </c>
      <c r="AZ12" s="21">
        <f>Q12-AH12</f>
        <v/>
      </c>
      <c r="BA12" s="21">
        <f>R12-AI12</f>
        <v/>
      </c>
    </row>
    <row r="13">
      <c r="B13" s="21" t="n"/>
    </row>
    <row r="14">
      <c r="B14" s="21" t="n"/>
      <c r="F14" s="69" t="n"/>
      <c r="H14" s="70" t="n"/>
      <c r="W14" s="69" t="n"/>
      <c r="Y14" s="70" t="n"/>
    </row>
    <row r="15">
      <c r="B15" s="21" t="n"/>
      <c r="C15" s="15" t="inlineStr">
        <is>
          <t>vSw</t>
        </is>
      </c>
      <c r="D15" s="15" t="n">
        <v>1</v>
      </c>
      <c r="E15" s="15" t="n">
        <v>2</v>
      </c>
      <c r="F15" s="15" t="n">
        <v>3</v>
      </c>
      <c r="G15" s="15" t="n">
        <v>4</v>
      </c>
      <c r="H15" s="15" t="n">
        <v>5</v>
      </c>
      <c r="I15" s="15" t="n">
        <v>6</v>
      </c>
      <c r="J15" s="15" t="n">
        <v>7</v>
      </c>
      <c r="K15" s="15" t="n">
        <v>8</v>
      </c>
      <c r="L15" s="15" t="n">
        <v>9</v>
      </c>
      <c r="M15" s="15" t="n">
        <v>10</v>
      </c>
      <c r="N15" s="15" t="n">
        <v>11</v>
      </c>
      <c r="O15" s="15" t="n">
        <v>12</v>
      </c>
      <c r="P15" s="15" t="n">
        <v>13</v>
      </c>
      <c r="Q15" s="15" t="n">
        <v>14</v>
      </c>
      <c r="R15" s="15" t="n">
        <v>15</v>
      </c>
      <c r="T15" s="15" t="inlineStr">
        <is>
          <t>vSw</t>
        </is>
      </c>
      <c r="U15" s="15" t="n">
        <v>1</v>
      </c>
      <c r="V15" s="15" t="n">
        <v>2</v>
      </c>
      <c r="W15" s="15" t="n">
        <v>3</v>
      </c>
      <c r="X15" s="15" t="n">
        <v>4</v>
      </c>
      <c r="Y15" s="15" t="n">
        <v>5</v>
      </c>
      <c r="Z15" s="15" t="n">
        <v>6</v>
      </c>
      <c r="AA15" s="15" t="n">
        <v>7</v>
      </c>
      <c r="AB15" s="15" t="n">
        <v>8</v>
      </c>
      <c r="AC15" s="15" t="n">
        <v>9</v>
      </c>
      <c r="AD15" s="15" t="n">
        <v>10</v>
      </c>
      <c r="AE15" s="15" t="n">
        <v>11</v>
      </c>
      <c r="AF15" s="15" t="n">
        <v>12</v>
      </c>
      <c r="AG15" s="15" t="n">
        <v>13</v>
      </c>
      <c r="AH15" s="15" t="n">
        <v>14</v>
      </c>
      <c r="AI15" s="15" t="n">
        <v>15</v>
      </c>
      <c r="AJ15" s="19" t="n"/>
      <c r="AL15" s="18" t="inlineStr">
        <is>
          <t>vSw</t>
        </is>
      </c>
      <c r="AM15" s="19" t="n">
        <v>1</v>
      </c>
      <c r="AN15" s="19" t="n">
        <v>2</v>
      </c>
      <c r="AO15" s="19" t="n">
        <v>3</v>
      </c>
      <c r="AP15" s="19" t="n">
        <v>4</v>
      </c>
      <c r="AQ15" s="19" t="n">
        <v>5</v>
      </c>
      <c r="AR15" s="19" t="n">
        <v>6</v>
      </c>
      <c r="AS15" s="19" t="n">
        <v>7</v>
      </c>
      <c r="AT15" s="19" t="n">
        <v>8</v>
      </c>
      <c r="AU15" s="19" t="n">
        <v>9</v>
      </c>
      <c r="AV15" s="19" t="n">
        <v>10</v>
      </c>
      <c r="AW15" s="19" t="n">
        <v>11</v>
      </c>
      <c r="AX15" s="19" t="n">
        <v>12</v>
      </c>
      <c r="AY15" s="19" t="n">
        <v>13</v>
      </c>
      <c r="AZ15" s="19" t="n">
        <v>14</v>
      </c>
      <c r="BA15" s="19" t="n">
        <v>15</v>
      </c>
    </row>
    <row r="16">
      <c r="B16" s="21" t="n"/>
      <c r="C16" s="15" t="n">
        <v>1</v>
      </c>
      <c r="D16" s="21">
        <f>Results!D5</f>
        <v/>
      </c>
      <c r="E16" s="21">
        <f>Results!E5</f>
        <v/>
      </c>
      <c r="F16" s="21">
        <f>Results!F5</f>
        <v/>
      </c>
      <c r="G16" s="21">
        <f>Results!G5</f>
        <v/>
      </c>
      <c r="H16" s="21">
        <f>Results!H5</f>
        <v/>
      </c>
      <c r="I16" s="21">
        <f>Results!I5</f>
        <v/>
      </c>
      <c r="J16" s="21">
        <f>Results!J5</f>
        <v/>
      </c>
      <c r="K16" s="21">
        <f>Results!K5</f>
        <v/>
      </c>
      <c r="L16" s="21">
        <f>Results!L5</f>
        <v/>
      </c>
      <c r="M16" s="21">
        <f>Results!M5</f>
        <v/>
      </c>
      <c r="N16" s="21">
        <f>Results!N5</f>
        <v/>
      </c>
      <c r="O16" s="21">
        <f>Results!O5</f>
        <v/>
      </c>
      <c r="P16" s="21">
        <f>Results!P5</f>
        <v/>
      </c>
      <c r="Q16" s="21">
        <f>Results!Q5</f>
        <v/>
      </c>
      <c r="R16" s="21">
        <f>Results!R5</f>
        <v/>
      </c>
      <c r="S16" s="18">
        <f>MAX(D16:R16)</f>
        <v/>
      </c>
      <c r="T16" s="15" t="n">
        <v>1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-3.539022230825139e-10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-56.04966010712087</v>
      </c>
      <c r="AF16" s="21" t="n">
        <v>0</v>
      </c>
      <c r="AG16" s="21" t="n">
        <v>0</v>
      </c>
      <c r="AH16" s="21" t="n">
        <v>3.911562274083735e-10</v>
      </c>
      <c r="AI16" s="21" t="n">
        <v>2.607671945042966e-10</v>
      </c>
      <c r="AK16" s="19" t="n"/>
      <c r="AL16" s="19" t="n">
        <v>1</v>
      </c>
      <c r="AM16" s="21">
        <f>D16-U16</f>
        <v/>
      </c>
      <c r="AN16" s="21">
        <f>E16-V16</f>
        <v/>
      </c>
      <c r="AO16" s="21">
        <f>F16-W16</f>
        <v/>
      </c>
      <c r="AP16" s="21">
        <f>G16-X16</f>
        <v/>
      </c>
      <c r="AQ16" s="21">
        <f>H16-Y16</f>
        <v/>
      </c>
      <c r="AR16" s="21">
        <f>I16-Z16</f>
        <v/>
      </c>
      <c r="AS16" s="21">
        <f>J16-AA16</f>
        <v/>
      </c>
      <c r="AT16" s="21">
        <f>K16-AB16</f>
        <v/>
      </c>
      <c r="AU16" s="21">
        <f>L16-AC16</f>
        <v/>
      </c>
      <c r="AV16" s="21">
        <f>M16-AD16</f>
        <v/>
      </c>
      <c r="AW16" s="21">
        <f>N16-AE16</f>
        <v/>
      </c>
      <c r="AX16" s="21">
        <f>O16-AF16</f>
        <v/>
      </c>
      <c r="AY16" s="21">
        <f>P16-AG16</f>
        <v/>
      </c>
      <c r="AZ16" s="21">
        <f>Q16-AH16</f>
        <v/>
      </c>
      <c r="BA16" s="21">
        <f>R16-AI16</f>
        <v/>
      </c>
    </row>
    <row r="17">
      <c r="B17" s="21" t="n"/>
      <c r="C17" s="15" t="n">
        <v>2</v>
      </c>
      <c r="D17" s="21">
        <f>Results!D6</f>
        <v/>
      </c>
      <c r="E17" s="21">
        <f>Results!E6</f>
        <v/>
      </c>
      <c r="F17" s="21">
        <f>Results!F6</f>
        <v/>
      </c>
      <c r="G17" s="21">
        <f>Results!G6</f>
        <v/>
      </c>
      <c r="H17" s="21">
        <f>Results!H6</f>
        <v/>
      </c>
      <c r="I17" s="21">
        <f>Results!I6</f>
        <v/>
      </c>
      <c r="J17" s="21">
        <f>Results!J6</f>
        <v/>
      </c>
      <c r="K17" s="21">
        <f>Results!K6</f>
        <v/>
      </c>
      <c r="L17" s="21">
        <f>Results!L6</f>
        <v/>
      </c>
      <c r="M17" s="21">
        <f>Results!M6</f>
        <v/>
      </c>
      <c r="N17" s="21">
        <f>Results!N6</f>
        <v/>
      </c>
      <c r="O17" s="21">
        <f>Results!O6</f>
        <v/>
      </c>
      <c r="P17" s="21">
        <f>Results!P6</f>
        <v/>
      </c>
      <c r="Q17" s="21">
        <f>Results!Q6</f>
        <v/>
      </c>
      <c r="R17" s="21">
        <f>Results!R6</f>
        <v/>
      </c>
      <c r="S17" s="18">
        <f>MAX(D17:R17)</f>
        <v/>
      </c>
      <c r="T17" s="15" t="n">
        <v>2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-36.15456150099635</v>
      </c>
      <c r="Z17" s="21" t="n">
        <v>0</v>
      </c>
      <c r="AA17" s="21" t="n">
        <v>-178.8290909081697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3.539040349664901e-10</v>
      </c>
      <c r="AG17" s="21" t="n">
        <v>9.999983012676239e-05</v>
      </c>
      <c r="AH17" s="21" t="n">
        <v>0</v>
      </c>
      <c r="AI17" s="21" t="n">
        <v>0</v>
      </c>
      <c r="AK17" s="19" t="n"/>
      <c r="AL17" s="19" t="n">
        <v>2</v>
      </c>
      <c r="AM17" s="21">
        <f>D17-U17</f>
        <v/>
      </c>
      <c r="AN17" s="21">
        <f>E17-V17</f>
        <v/>
      </c>
      <c r="AO17" s="21">
        <f>F17-W17</f>
        <v/>
      </c>
      <c r="AP17" s="21">
        <f>G17-X17</f>
        <v/>
      </c>
      <c r="AQ17" s="21">
        <f>H17-Y17</f>
        <v/>
      </c>
      <c r="AR17" s="21">
        <f>I17-Z17</f>
        <v/>
      </c>
      <c r="AS17" s="21">
        <f>J17-AA17</f>
        <v/>
      </c>
      <c r="AT17" s="21">
        <f>K17-AB17</f>
        <v/>
      </c>
      <c r="AU17" s="21">
        <f>L17-AC17</f>
        <v/>
      </c>
      <c r="AV17" s="21">
        <f>M17-AD17</f>
        <v/>
      </c>
      <c r="AW17" s="21">
        <f>N17-AE17</f>
        <v/>
      </c>
      <c r="AX17" s="21">
        <f>O17-AF17</f>
        <v/>
      </c>
      <c r="AY17" s="21">
        <f>P17-AG17</f>
        <v/>
      </c>
      <c r="AZ17" s="21">
        <f>Q17-AH17</f>
        <v/>
      </c>
      <c r="BA17" s="21">
        <f>R17-AI17</f>
        <v/>
      </c>
    </row>
    <row r="18">
      <c r="B18" s="21" t="n"/>
      <c r="C18" s="15" t="n">
        <v>3</v>
      </c>
      <c r="D18" s="21">
        <f>Results!D7</f>
        <v/>
      </c>
      <c r="E18" s="21">
        <f>Results!E7</f>
        <v/>
      </c>
      <c r="F18" s="21">
        <f>Results!F7</f>
        <v/>
      </c>
      <c r="G18" s="21">
        <f>Results!G7</f>
        <v/>
      </c>
      <c r="H18" s="21">
        <f>Results!H7</f>
        <v/>
      </c>
      <c r="I18" s="21">
        <f>Results!I7</f>
        <v/>
      </c>
      <c r="J18" s="21">
        <f>Results!J7</f>
        <v/>
      </c>
      <c r="K18" s="21">
        <f>Results!K7</f>
        <v/>
      </c>
      <c r="L18" s="21">
        <f>Results!L7</f>
        <v/>
      </c>
      <c r="M18" s="21">
        <f>Results!M7</f>
        <v/>
      </c>
      <c r="N18" s="21">
        <f>Results!N7</f>
        <v/>
      </c>
      <c r="O18" s="21">
        <f>Results!O7</f>
        <v/>
      </c>
      <c r="P18" s="21">
        <f>Results!P7</f>
        <v/>
      </c>
      <c r="Q18" s="21">
        <f>Results!Q7</f>
        <v/>
      </c>
      <c r="R18" s="21">
        <f>Results!R7</f>
        <v/>
      </c>
      <c r="S18" s="18">
        <f>MAX(D18:R18)</f>
        <v/>
      </c>
      <c r="T18" s="15" t="n">
        <v>3</v>
      </c>
      <c r="U18" s="21" t="n">
        <v>-3.725105557350616e-11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2.23519407427375e-10</v>
      </c>
      <c r="AA18" s="21" t="n">
        <v>-2.980235080940474e-10</v>
      </c>
      <c r="AB18" s="21" t="n">
        <v>0</v>
      </c>
      <c r="AC18" s="21" t="n">
        <v>0</v>
      </c>
      <c r="AD18" s="21" t="n">
        <v>0</v>
      </c>
      <c r="AE18" s="21" t="n">
        <v>7.450466910086107e-11</v>
      </c>
      <c r="AF18" s="21" t="n">
        <v>-103.1717191711068</v>
      </c>
      <c r="AG18" s="21" t="n">
        <v>0</v>
      </c>
      <c r="AH18" s="21" t="n">
        <v>0</v>
      </c>
      <c r="AI18" s="21" t="n">
        <v>0</v>
      </c>
      <c r="AK18" s="19" t="n"/>
      <c r="AL18" s="19" t="n">
        <v>3</v>
      </c>
      <c r="AM18" s="21">
        <f>D18-U18</f>
        <v/>
      </c>
      <c r="AN18" s="21">
        <f>E18-V18</f>
        <v/>
      </c>
      <c r="AO18" s="21">
        <f>F18-W18</f>
        <v/>
      </c>
      <c r="AP18" s="21">
        <f>G18-X18</f>
        <v/>
      </c>
      <c r="AQ18" s="21">
        <f>H18-Y18</f>
        <v/>
      </c>
      <c r="AR18" s="21">
        <f>I18-Z18</f>
        <v/>
      </c>
      <c r="AS18" s="21">
        <f>J18-AA18</f>
        <v/>
      </c>
      <c r="AT18" s="21">
        <f>K18-AB18</f>
        <v/>
      </c>
      <c r="AU18" s="21">
        <f>L18-AC18</f>
        <v/>
      </c>
      <c r="AV18" s="21">
        <f>M18-AD18</f>
        <v/>
      </c>
      <c r="AW18" s="21">
        <f>N18-AE18</f>
        <v/>
      </c>
      <c r="AX18" s="21">
        <f>O18-AF18</f>
        <v/>
      </c>
      <c r="AY18" s="21">
        <f>P18-AG18</f>
        <v/>
      </c>
      <c r="AZ18" s="21">
        <f>Q18-AH18</f>
        <v/>
      </c>
      <c r="BA18" s="21">
        <f>R18-AI18</f>
        <v/>
      </c>
    </row>
    <row r="19">
      <c r="B19" s="21" t="n"/>
    </row>
    <row r="20">
      <c r="B20" s="21" t="n"/>
      <c r="F20" s="69" t="n"/>
      <c r="W20" s="69" t="n"/>
    </row>
    <row r="21">
      <c r="B21" s="21" t="n"/>
      <c r="C21" s="18" t="inlineStr">
        <is>
          <t>vRLTw (dias)</t>
        </is>
      </c>
      <c r="D21" s="15" t="n">
        <v>1</v>
      </c>
      <c r="E21" s="15" t="n">
        <v>2</v>
      </c>
      <c r="F21" s="15" t="n">
        <v>3</v>
      </c>
      <c r="G21" s="15" t="n">
        <v>4</v>
      </c>
      <c r="H21" s="15" t="n">
        <v>5</v>
      </c>
      <c r="I21" s="15" t="n">
        <v>6</v>
      </c>
      <c r="J21" s="15" t="n">
        <v>7</v>
      </c>
      <c r="K21" s="15" t="n">
        <v>8</v>
      </c>
      <c r="L21" s="15" t="n">
        <v>9</v>
      </c>
      <c r="M21" s="15" t="n">
        <v>10</v>
      </c>
      <c r="N21" s="15" t="n">
        <v>11</v>
      </c>
      <c r="O21" s="15" t="n">
        <v>12</v>
      </c>
      <c r="P21" s="15" t="n">
        <v>13</v>
      </c>
      <c r="Q21" s="15" t="n">
        <v>14</v>
      </c>
      <c r="R21" s="15" t="n">
        <v>15</v>
      </c>
      <c r="T21" s="18" t="inlineStr">
        <is>
          <t>vRLTw (dias)</t>
        </is>
      </c>
      <c r="U21" s="15" t="n">
        <v>1</v>
      </c>
      <c r="V21" s="15" t="n">
        <v>2</v>
      </c>
      <c r="W21" s="15" t="n">
        <v>3</v>
      </c>
      <c r="X21" s="15" t="n">
        <v>4</v>
      </c>
      <c r="Y21" s="15" t="n">
        <v>5</v>
      </c>
      <c r="Z21" s="15" t="n">
        <v>6</v>
      </c>
      <c r="AA21" s="15" t="n">
        <v>7</v>
      </c>
      <c r="AB21" s="15" t="n">
        <v>8</v>
      </c>
      <c r="AC21" s="15" t="n">
        <v>9</v>
      </c>
      <c r="AD21" s="15" t="n">
        <v>10</v>
      </c>
      <c r="AE21" s="15" t="n">
        <v>11</v>
      </c>
      <c r="AF21" s="15" t="n">
        <v>12</v>
      </c>
      <c r="AG21" s="15" t="n">
        <v>13</v>
      </c>
      <c r="AH21" s="15" t="n">
        <v>14</v>
      </c>
      <c r="AI21" s="15" t="n">
        <v>15</v>
      </c>
      <c r="AJ21" s="19" t="n"/>
      <c r="AL21" s="18" t="inlineStr">
        <is>
          <t>vRLTw (dias)</t>
        </is>
      </c>
      <c r="AM21" s="19" t="n">
        <v>1</v>
      </c>
      <c r="AN21" s="19" t="n">
        <v>2</v>
      </c>
      <c r="AO21" s="19" t="n">
        <v>3</v>
      </c>
      <c r="AP21" s="19" t="n">
        <v>4</v>
      </c>
      <c r="AQ21" s="19" t="n">
        <v>5</v>
      </c>
      <c r="AR21" s="19" t="n">
        <v>6</v>
      </c>
      <c r="AS21" s="19" t="n">
        <v>7</v>
      </c>
      <c r="AT21" s="19" t="n">
        <v>8</v>
      </c>
      <c r="AU21" s="19" t="n">
        <v>9</v>
      </c>
      <c r="AV21" s="19" t="n">
        <v>10</v>
      </c>
      <c r="AW21" s="19" t="n">
        <v>11</v>
      </c>
      <c r="AX21" s="19" t="n">
        <v>12</v>
      </c>
      <c r="AY21" s="19" t="n">
        <v>13</v>
      </c>
      <c r="AZ21" s="19" t="n">
        <v>14</v>
      </c>
      <c r="BA21" s="19" t="n">
        <v>15</v>
      </c>
    </row>
    <row r="22">
      <c r="B22" s="21" t="n"/>
      <c r="C22" s="15" t="n">
        <v>1</v>
      </c>
      <c r="D22" s="33" t="n">
        <v>0</v>
      </c>
      <c r="E22" s="33" t="n">
        <v>0</v>
      </c>
      <c r="F22" s="33" t="n">
        <v>0</v>
      </c>
      <c r="G22" s="33" t="n">
        <v>0</v>
      </c>
      <c r="H22" s="33" t="n">
        <v>15.41384625315287</v>
      </c>
      <c r="I22" s="33" t="n">
        <v>14.92848277419813</v>
      </c>
      <c r="J22" s="33" t="n">
        <v>0</v>
      </c>
      <c r="K22" s="33" t="n">
        <v>15.07082093565623</v>
      </c>
      <c r="L22" s="33" t="n">
        <v>13.05460385598251</v>
      </c>
      <c r="M22" s="33" t="n">
        <v>0</v>
      </c>
      <c r="N22" s="33" t="n">
        <v>0</v>
      </c>
      <c r="O22" s="33" t="n">
        <v>0</v>
      </c>
      <c r="P22" s="33" t="n">
        <v>15.20943995708739</v>
      </c>
      <c r="Q22" s="33" t="n">
        <v>14.89301091882487</v>
      </c>
      <c r="R22" s="33" t="n">
        <v>16.72753182232359</v>
      </c>
      <c r="T22" s="15" t="n">
        <v>1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14.79</v>
      </c>
      <c r="Z22" s="21" t="n">
        <v>14.31</v>
      </c>
      <c r="AA22" s="21" t="n">
        <v>0</v>
      </c>
      <c r="AB22" s="21" t="n">
        <v>14.44999999999999</v>
      </c>
      <c r="AC22" s="21" t="n">
        <v>12.52</v>
      </c>
      <c r="AD22" s="21" t="n">
        <v>0</v>
      </c>
      <c r="AE22" s="21" t="n">
        <v>0</v>
      </c>
      <c r="AF22" s="21" t="n">
        <v>0</v>
      </c>
      <c r="AG22" s="21" t="n">
        <v>14.58999999999999</v>
      </c>
      <c r="AH22" s="21" t="n">
        <v>14.28</v>
      </c>
      <c r="AI22" s="21" t="n">
        <v>16.04</v>
      </c>
      <c r="AK22" s="19" t="n"/>
      <c r="AL22" s="19" t="n">
        <v>1</v>
      </c>
      <c r="AM22" s="21">
        <f>D22-U22</f>
        <v/>
      </c>
      <c r="AN22" s="21">
        <f>E22-V22</f>
        <v/>
      </c>
      <c r="AO22" s="21">
        <f>F22-W22</f>
        <v/>
      </c>
      <c r="AP22" s="21">
        <f>G22-X22</f>
        <v/>
      </c>
      <c r="AQ22" s="21">
        <f>H22-Y22</f>
        <v/>
      </c>
      <c r="AR22" s="21">
        <f>I22-Z22</f>
        <v/>
      </c>
      <c r="AS22" s="21">
        <f>J22-AA22</f>
        <v/>
      </c>
      <c r="AT22" s="21">
        <f>K22-AB22</f>
        <v/>
      </c>
      <c r="AU22" s="21">
        <f>L22-AC22</f>
        <v/>
      </c>
      <c r="AV22" s="21">
        <f>M22-AD22</f>
        <v/>
      </c>
      <c r="AW22" s="21">
        <f>N22-AE22</f>
        <v/>
      </c>
      <c r="AX22" s="21">
        <f>O22-AF22</f>
        <v/>
      </c>
      <c r="AY22" s="21">
        <f>P22-AG22</f>
        <v/>
      </c>
      <c r="AZ22" s="21">
        <f>Q22-AH22</f>
        <v/>
      </c>
      <c r="BA22" s="21">
        <f>R22-AI22</f>
        <v/>
      </c>
    </row>
    <row r="23">
      <c r="B23" s="21" t="n"/>
      <c r="C23" s="15" t="n">
        <v>2</v>
      </c>
      <c r="D23" s="33" t="n">
        <v>13.6664979179803</v>
      </c>
      <c r="E23" s="33" t="n">
        <v>18.38759848509045</v>
      </c>
      <c r="F23" s="33" t="n">
        <v>0</v>
      </c>
      <c r="G23" s="33" t="n">
        <v>0</v>
      </c>
      <c r="H23" s="33" t="n">
        <v>0</v>
      </c>
      <c r="I23" s="33" t="n">
        <v>16.59431863761758</v>
      </c>
      <c r="J23" s="33" t="n">
        <v>0</v>
      </c>
      <c r="K23" s="33" t="n">
        <v>0</v>
      </c>
      <c r="L23" s="33" t="n">
        <v>0</v>
      </c>
      <c r="M23" s="33" t="n">
        <v>13.67917980120417</v>
      </c>
      <c r="N23" s="33" t="n">
        <v>0</v>
      </c>
      <c r="O23" s="33" t="n">
        <v>16.37606832700419</v>
      </c>
      <c r="P23" s="33" t="n">
        <v>20.30640512676308</v>
      </c>
      <c r="Q23" s="33" t="n">
        <v>18.69730960271286</v>
      </c>
      <c r="R23" s="33" t="n">
        <v>14.05212077464562</v>
      </c>
      <c r="T23" s="15" t="n">
        <v>2</v>
      </c>
      <c r="U23" s="21" t="n">
        <v>13.11</v>
      </c>
      <c r="V23" s="21" t="n">
        <v>17.64</v>
      </c>
      <c r="W23" s="21" t="n">
        <v>0</v>
      </c>
      <c r="X23" s="21" t="n">
        <v>0</v>
      </c>
      <c r="Y23" s="21" t="n">
        <v>0</v>
      </c>
      <c r="Z23" s="21" t="n">
        <v>15.91999999999999</v>
      </c>
      <c r="AA23" s="21" t="n">
        <v>0</v>
      </c>
      <c r="AB23" s="21" t="n">
        <v>0</v>
      </c>
      <c r="AC23" s="21" t="n">
        <v>0</v>
      </c>
      <c r="AD23" s="21" t="n">
        <v>13.12</v>
      </c>
      <c r="AE23" s="21" t="n">
        <v>0</v>
      </c>
      <c r="AF23" s="21" t="n">
        <v>15.71</v>
      </c>
      <c r="AG23" s="21" t="n">
        <v>20.20819624450057</v>
      </c>
      <c r="AH23" s="21" t="n">
        <v>17.93999999999999</v>
      </c>
      <c r="AI23" s="21" t="n">
        <v>13.47999999999999</v>
      </c>
      <c r="AK23" s="19" t="n"/>
      <c r="AL23" s="19" t="n">
        <v>2</v>
      </c>
      <c r="AM23" s="21">
        <f>D23-U23</f>
        <v/>
      </c>
      <c r="AN23" s="21">
        <f>E23-V23</f>
        <v/>
      </c>
      <c r="AO23" s="21">
        <f>F23-W23</f>
        <v/>
      </c>
      <c r="AP23" s="21">
        <f>G23-X23</f>
        <v/>
      </c>
      <c r="AQ23" s="21">
        <f>H23-Y23</f>
        <v/>
      </c>
      <c r="AR23" s="21">
        <f>I23-Z23</f>
        <v/>
      </c>
      <c r="AS23" s="21">
        <f>J23-AA23</f>
        <v/>
      </c>
      <c r="AT23" s="21">
        <f>K23-AB23</f>
        <v/>
      </c>
      <c r="AU23" s="21">
        <f>L23-AC23</f>
        <v/>
      </c>
      <c r="AV23" s="21">
        <f>M23-AD23</f>
        <v/>
      </c>
      <c r="AW23" s="21">
        <f>N23-AE23</f>
        <v/>
      </c>
      <c r="AX23" s="21">
        <f>O23-AF23</f>
        <v/>
      </c>
      <c r="AY23" s="21">
        <f>P23-AG23</f>
        <v/>
      </c>
      <c r="AZ23" s="21">
        <f>Q23-AH23</f>
        <v/>
      </c>
      <c r="BA23" s="21">
        <f>R23-AI23</f>
        <v/>
      </c>
    </row>
    <row r="24">
      <c r="B24" s="21" t="n"/>
      <c r="C24" s="15" t="n">
        <v>3</v>
      </c>
      <c r="D24" s="33" t="n">
        <v>19.04899107603164</v>
      </c>
      <c r="E24" s="33" t="n">
        <v>0</v>
      </c>
      <c r="F24" s="33" t="n">
        <v>0</v>
      </c>
      <c r="G24" s="33" t="n">
        <v>14.56264667290736</v>
      </c>
      <c r="H24" s="33" t="n">
        <v>0</v>
      </c>
      <c r="I24" s="33" t="n">
        <v>18.36830147529109</v>
      </c>
      <c r="J24" s="33" t="n">
        <v>13.21724378266345</v>
      </c>
      <c r="K24" s="33" t="n">
        <v>0</v>
      </c>
      <c r="L24" s="33" t="n">
        <v>0</v>
      </c>
      <c r="M24" s="33" t="n">
        <v>0</v>
      </c>
      <c r="N24" s="33" t="n">
        <v>10.79850509679205</v>
      </c>
      <c r="O24" s="33" t="n">
        <v>0</v>
      </c>
      <c r="P24" s="33" t="n">
        <v>0</v>
      </c>
      <c r="Q24" s="33" t="n">
        <v>0</v>
      </c>
      <c r="R24" s="33" t="n">
        <v>13.31197060186437</v>
      </c>
      <c r="T24" s="15" t="n">
        <v>3</v>
      </c>
      <c r="U24" s="21" t="n">
        <v>18.26</v>
      </c>
      <c r="V24" s="21" t="n">
        <v>0</v>
      </c>
      <c r="W24" s="21" t="n">
        <v>0</v>
      </c>
      <c r="X24" s="21" t="n">
        <v>13.97</v>
      </c>
      <c r="Y24" s="21" t="n">
        <v>0</v>
      </c>
      <c r="Z24" s="21" t="n">
        <v>17.6</v>
      </c>
      <c r="AA24" s="21" t="n">
        <v>12.66</v>
      </c>
      <c r="AB24" s="21" t="n">
        <v>0</v>
      </c>
      <c r="AC24" s="21" t="n">
        <v>0</v>
      </c>
      <c r="AD24" s="21" t="n">
        <v>0</v>
      </c>
      <c r="AE24" s="21" t="n">
        <v>10.35</v>
      </c>
      <c r="AF24" s="21" t="n">
        <v>0</v>
      </c>
      <c r="AG24" s="21" t="n">
        <v>0</v>
      </c>
      <c r="AH24" s="21" t="n">
        <v>0</v>
      </c>
      <c r="AI24" s="21" t="n">
        <v>12.77</v>
      </c>
      <c r="AK24" s="19" t="n"/>
      <c r="AL24" s="19" t="n">
        <v>3</v>
      </c>
      <c r="AM24" s="21">
        <f>D24-U24</f>
        <v/>
      </c>
      <c r="AN24" s="21">
        <f>E24-V24</f>
        <v/>
      </c>
      <c r="AO24" s="21">
        <f>F24-W24</f>
        <v/>
      </c>
      <c r="AP24" s="21">
        <f>G24-X24</f>
        <v/>
      </c>
      <c r="AQ24" s="21">
        <f>H24-Y24</f>
        <v/>
      </c>
      <c r="AR24" s="21">
        <f>I24-Z24</f>
        <v/>
      </c>
      <c r="AS24" s="21">
        <f>J24-AA24</f>
        <v/>
      </c>
      <c r="AT24" s="21">
        <f>K24-AB24</f>
        <v/>
      </c>
      <c r="AU24" s="21">
        <f>L24-AC24</f>
        <v/>
      </c>
      <c r="AV24" s="21">
        <f>M24-AD24</f>
        <v/>
      </c>
      <c r="AW24" s="21">
        <f>N24-AE24</f>
        <v/>
      </c>
      <c r="AX24" s="21">
        <f>O24-AF24</f>
        <v/>
      </c>
      <c r="AY24" s="21">
        <f>P24-AG24</f>
        <v/>
      </c>
      <c r="AZ24" s="21">
        <f>Q24-AH24</f>
        <v/>
      </c>
      <c r="BA24" s="21">
        <f>R24-AI24</f>
        <v/>
      </c>
    </row>
    <row r="25">
      <c r="B25" s="21" t="n"/>
    </row>
    <row r="26">
      <c r="B26" s="21" t="n"/>
      <c r="F26" s="69" t="n"/>
      <c r="W26" s="69" t="n"/>
      <c r="AJ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</row>
    <row r="27">
      <c r="B27" s="21" t="n"/>
      <c r="C27" s="18" t="inlineStr">
        <is>
          <t>vCTw (dias)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  <c r="T27" s="18" t="inlineStr">
        <is>
          <t>vCTw (dias)</t>
        </is>
      </c>
      <c r="U27" s="15" t="n">
        <v>1</v>
      </c>
      <c r="V27" s="15" t="n">
        <v>2</v>
      </c>
      <c r="W27" s="15" t="n">
        <v>3</v>
      </c>
      <c r="X27" s="15" t="n">
        <v>4</v>
      </c>
      <c r="Y27" s="15" t="n">
        <v>5</v>
      </c>
      <c r="Z27" s="15" t="n">
        <v>6</v>
      </c>
      <c r="AA27" s="15" t="n">
        <v>7</v>
      </c>
      <c r="AB27" s="15" t="n">
        <v>8</v>
      </c>
      <c r="AC27" s="15" t="n">
        <v>9</v>
      </c>
      <c r="AD27" s="15" t="n">
        <v>10</v>
      </c>
      <c r="AE27" s="15" t="n">
        <v>11</v>
      </c>
      <c r="AF27" s="15" t="n">
        <v>12</v>
      </c>
      <c r="AG27" s="15" t="n">
        <v>13</v>
      </c>
      <c r="AH27" s="15" t="n">
        <v>14</v>
      </c>
      <c r="AI27" s="15" t="n">
        <v>15</v>
      </c>
      <c r="AJ27" s="19" t="n"/>
      <c r="AL27" s="18" t="inlineStr">
        <is>
          <t>vCTw (dias)</t>
        </is>
      </c>
      <c r="AM27" s="19" t="n">
        <v>1</v>
      </c>
      <c r="AN27" s="19" t="n">
        <v>2</v>
      </c>
      <c r="AO27" s="19" t="n">
        <v>3</v>
      </c>
      <c r="AP27" s="19" t="n">
        <v>4</v>
      </c>
      <c r="AQ27" s="19" t="n">
        <v>5</v>
      </c>
      <c r="AR27" s="19" t="n">
        <v>6</v>
      </c>
      <c r="AS27" s="19" t="n">
        <v>7</v>
      </c>
      <c r="AT27" s="19" t="n">
        <v>8</v>
      </c>
      <c r="AU27" s="19" t="n">
        <v>9</v>
      </c>
      <c r="AV27" s="19" t="n">
        <v>10</v>
      </c>
      <c r="AW27" s="19" t="n">
        <v>11</v>
      </c>
      <c r="AX27" s="19" t="n">
        <v>12</v>
      </c>
      <c r="AY27" s="19" t="n">
        <v>13</v>
      </c>
      <c r="AZ27" s="19" t="n">
        <v>14</v>
      </c>
      <c r="BA27" s="19" t="n">
        <v>15</v>
      </c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T27" s="19" t="n"/>
      <c r="BU27" s="19" t="n"/>
      <c r="BV27" s="19" t="n"/>
      <c r="BW27" s="19" t="n"/>
      <c r="BX27" s="19" t="n"/>
      <c r="BY27" s="19" t="n"/>
      <c r="BZ27" s="19" t="n"/>
      <c r="CA27" s="19" t="n"/>
      <c r="CB27" s="19" t="n"/>
      <c r="CC27" s="19" t="n"/>
      <c r="CD27" s="19" t="n"/>
      <c r="CE27" s="19" t="n"/>
      <c r="CF27" s="19" t="n"/>
      <c r="CG27" s="19" t="n"/>
      <c r="CH27" s="19" t="n"/>
    </row>
    <row r="28">
      <c r="B28" s="21" t="n"/>
      <c r="C28" s="15" t="n">
        <v>1</v>
      </c>
      <c r="D28" s="33" t="n">
        <v>0</v>
      </c>
      <c r="E28" s="33" t="n">
        <v>0</v>
      </c>
      <c r="F28" s="33" t="n">
        <v>0</v>
      </c>
      <c r="G28" s="33" t="n">
        <v>0</v>
      </c>
      <c r="H28" s="33" t="n">
        <v>14.79000000186264</v>
      </c>
      <c r="I28" s="33" t="n">
        <v>21.19794103853702</v>
      </c>
      <c r="J28" s="33" t="n">
        <v>0</v>
      </c>
      <c r="K28" s="33" t="n">
        <v>13.32938225812177</v>
      </c>
      <c r="L28" s="33" t="n">
        <v>8.679175792187541</v>
      </c>
      <c r="M28" s="33" t="n">
        <v>0</v>
      </c>
      <c r="N28" s="33" t="n">
        <v>0</v>
      </c>
      <c r="O28" s="33" t="n">
        <v>0</v>
      </c>
      <c r="P28" s="33" t="n">
        <v>8.146279504095661</v>
      </c>
      <c r="Q28" s="33" t="n">
        <v>20.70293766178302</v>
      </c>
      <c r="R28" s="33" t="n">
        <v>21.85591951432228</v>
      </c>
      <c r="T28" s="15" t="n">
        <v>1</v>
      </c>
      <c r="U28" s="33" t="n">
        <v>0</v>
      </c>
      <c r="V28" s="33" t="n">
        <v>0</v>
      </c>
      <c r="W28" s="33" t="n">
        <v>0</v>
      </c>
      <c r="X28" s="33" t="n">
        <v>0</v>
      </c>
      <c r="Y28" s="33" t="n">
        <v>14.52646681010723</v>
      </c>
      <c r="Z28" s="33" t="n">
        <v>21.19794103858993</v>
      </c>
      <c r="AA28" s="33" t="n">
        <v>0</v>
      </c>
      <c r="AB28" s="33" t="n">
        <v>12.70856132246553</v>
      </c>
      <c r="AC28" s="33" t="n">
        <v>8.144571936205026</v>
      </c>
      <c r="AD28" s="33" t="n">
        <v>0</v>
      </c>
      <c r="AE28" s="33" t="n">
        <v>0</v>
      </c>
      <c r="AF28" s="33" t="n">
        <v>0</v>
      </c>
      <c r="AG28" s="33" t="n">
        <v>7.526839547008271</v>
      </c>
      <c r="AH28" s="33" t="n">
        <v>20.70293766101822</v>
      </c>
      <c r="AI28" s="33" t="n">
        <v>21.85591951448471</v>
      </c>
      <c r="AK28" s="19" t="n"/>
      <c r="AL28" s="19" t="n">
        <v>1</v>
      </c>
      <c r="AM28" s="21">
        <f>D28-U28</f>
        <v/>
      </c>
      <c r="AN28" s="21">
        <f>E28-V28</f>
        <v/>
      </c>
      <c r="AO28" s="21">
        <f>F28-W28</f>
        <v/>
      </c>
      <c r="AP28" s="21">
        <f>G28-X28</f>
        <v/>
      </c>
      <c r="AQ28" s="21">
        <f>H28-Y28</f>
        <v/>
      </c>
      <c r="AR28" s="21">
        <f>I28-Z28</f>
        <v/>
      </c>
      <c r="AS28" s="21">
        <f>J28-AA28</f>
        <v/>
      </c>
      <c r="AT28" s="21">
        <f>K28-AB28</f>
        <v/>
      </c>
      <c r="AU28" s="21">
        <f>L28-AC28</f>
        <v/>
      </c>
      <c r="AV28" s="21">
        <f>M28-AD28</f>
        <v/>
      </c>
      <c r="AW28" s="21">
        <f>N28-AE28</f>
        <v/>
      </c>
      <c r="AX28" s="21">
        <f>O28-AF28</f>
        <v/>
      </c>
      <c r="AY28" s="21">
        <f>P28-AG28</f>
        <v/>
      </c>
      <c r="AZ28" s="21">
        <f>Q28-AH28</f>
        <v/>
      </c>
      <c r="BA28" s="21">
        <f>R28-AI28</f>
        <v/>
      </c>
      <c r="BC28" s="19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T28" s="71" t="n"/>
      <c r="BU28" s="71" t="n"/>
      <c r="BV28" s="71" t="n"/>
      <c r="BW28" s="71" t="n"/>
      <c r="BX28" s="71" t="n"/>
      <c r="BY28" s="71" t="n"/>
      <c r="BZ28" s="71" t="n"/>
      <c r="CA28" s="71" t="n"/>
      <c r="CB28" s="71" t="n"/>
      <c r="CC28" s="71" t="n"/>
      <c r="CD28" s="71" t="n"/>
      <c r="CE28" s="71" t="n"/>
      <c r="CF28" s="71" t="n"/>
      <c r="CG28" s="71" t="n"/>
      <c r="CH28" s="71" t="n"/>
    </row>
    <row r="29">
      <c r="B29" s="21" t="n"/>
      <c r="C29" s="15" t="n">
        <v>2</v>
      </c>
      <c r="D29" s="33" t="n">
        <v>8.304888412490827</v>
      </c>
      <c r="E29" s="33" t="n">
        <v>16.46517892215461</v>
      </c>
      <c r="F29" s="33" t="n">
        <v>0</v>
      </c>
      <c r="G29" s="33" t="n">
        <v>0</v>
      </c>
      <c r="H29" s="33" t="n">
        <v>0</v>
      </c>
      <c r="I29" s="33" t="n">
        <v>12.03942040167068</v>
      </c>
      <c r="J29" s="33" t="n">
        <v>0</v>
      </c>
      <c r="K29" s="33" t="n">
        <v>0</v>
      </c>
      <c r="L29" s="33" t="n">
        <v>0</v>
      </c>
      <c r="M29" s="33" t="n">
        <v>10.38863419235584</v>
      </c>
      <c r="N29" s="33" t="n">
        <v>0</v>
      </c>
      <c r="O29" s="33" t="n">
        <v>17.34121294190455</v>
      </c>
      <c r="P29" s="33" t="n">
        <v>19.48000000010133</v>
      </c>
      <c r="Q29" s="33" t="n">
        <v>12.39098607256042</v>
      </c>
      <c r="R29" s="33" t="n">
        <v>7.844369655136283</v>
      </c>
      <c r="T29" s="15" t="n">
        <v>2</v>
      </c>
      <c r="U29" s="33" t="n">
        <v>7.748390494510527</v>
      </c>
      <c r="V29" s="33" t="n">
        <v>15.71758043706416</v>
      </c>
      <c r="W29" s="33" t="n">
        <v>0</v>
      </c>
      <c r="X29" s="33" t="n">
        <v>0</v>
      </c>
      <c r="Y29" s="33" t="n">
        <v>0</v>
      </c>
      <c r="Z29" s="33" t="n">
        <v>11.3651017640531</v>
      </c>
      <c r="AA29" s="33" t="n">
        <v>0</v>
      </c>
      <c r="AB29" s="33" t="n">
        <v>0</v>
      </c>
      <c r="AC29" s="33" t="n">
        <v>0</v>
      </c>
      <c r="AD29" s="33" t="n">
        <v>9.829454391151662</v>
      </c>
      <c r="AE29" s="33" t="n">
        <v>0</v>
      </c>
      <c r="AF29" s="33" t="n">
        <v>17.34121294194832</v>
      </c>
      <c r="AG29" s="33" t="n">
        <v>19.47999999981373</v>
      </c>
      <c r="AH29" s="33" t="n">
        <v>11.63367646984755</v>
      </c>
      <c r="AI29" s="33" t="n">
        <v>7.272248880490654</v>
      </c>
      <c r="AK29" s="19" t="n"/>
      <c r="AL29" s="19" t="n">
        <v>2</v>
      </c>
      <c r="AM29" s="21">
        <f>D29-U29</f>
        <v/>
      </c>
      <c r="AN29" s="21">
        <f>E29-V29</f>
        <v/>
      </c>
      <c r="AO29" s="21">
        <f>F29-W29</f>
        <v/>
      </c>
      <c r="AP29" s="21">
        <f>G29-X29</f>
        <v/>
      </c>
      <c r="AQ29" s="21">
        <f>H29-Y29</f>
        <v/>
      </c>
      <c r="AR29" s="21">
        <f>I29-Z29</f>
        <v/>
      </c>
      <c r="AS29" s="21">
        <f>J29-AA29</f>
        <v/>
      </c>
      <c r="AT29" s="21">
        <f>K29-AB29</f>
        <v/>
      </c>
      <c r="AU29" s="21">
        <f>L29-AC29</f>
        <v/>
      </c>
      <c r="AV29" s="21">
        <f>M29-AD29</f>
        <v/>
      </c>
      <c r="AW29" s="21">
        <f>N29-AE29</f>
        <v/>
      </c>
      <c r="AX29" s="21">
        <f>O29-AF29</f>
        <v/>
      </c>
      <c r="AY29" s="21">
        <f>P29-AG29</f>
        <v/>
      </c>
      <c r="AZ29" s="21">
        <f>Q29-AH29</f>
        <v/>
      </c>
      <c r="BA29" s="21">
        <f>R29-AI29</f>
        <v/>
      </c>
      <c r="BC29" s="19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</row>
    <row r="30">
      <c r="B30" s="21" t="n"/>
      <c r="C30" s="15" t="n">
        <v>3</v>
      </c>
      <c r="D30" s="33" t="n">
        <v>27.58591610622108</v>
      </c>
      <c r="E30" s="33" t="n">
        <v>0</v>
      </c>
      <c r="F30" s="33" t="n">
        <v>0</v>
      </c>
      <c r="G30" s="33" t="n">
        <v>13.26585827845621</v>
      </c>
      <c r="H30" s="33" t="n">
        <v>0</v>
      </c>
      <c r="I30" s="33" t="n">
        <v>27.56048492220416</v>
      </c>
      <c r="J30" s="33" t="n">
        <v>18.88106583448202</v>
      </c>
      <c r="K30" s="33" t="n">
        <v>0</v>
      </c>
      <c r="L30" s="33" t="n">
        <v>0</v>
      </c>
      <c r="M30" s="33" t="n">
        <v>0</v>
      </c>
      <c r="N30" s="33" t="n">
        <v>15.97619047619365</v>
      </c>
      <c r="O30" s="33" t="n">
        <v>0</v>
      </c>
      <c r="P30" s="33" t="n">
        <v>0</v>
      </c>
      <c r="Q30" s="33" t="n">
        <v>0</v>
      </c>
      <c r="R30" s="33" t="n">
        <v>8.313795716576493</v>
      </c>
      <c r="T30" s="15" t="n">
        <v>3</v>
      </c>
      <c r="U30" s="33" t="n">
        <v>27.58591610591859</v>
      </c>
      <c r="V30" s="33" t="n">
        <v>0</v>
      </c>
      <c r="W30" s="33" t="n">
        <v>0</v>
      </c>
      <c r="X30" s="33" t="n">
        <v>12.67321160554885</v>
      </c>
      <c r="Y30" s="33" t="n">
        <v>0</v>
      </c>
      <c r="Z30" s="33" t="n">
        <v>27.5604849217087</v>
      </c>
      <c r="AA30" s="33" t="n">
        <v>18.88106583446265</v>
      </c>
      <c r="AB30" s="33" t="n">
        <v>0</v>
      </c>
      <c r="AC30" s="33" t="n">
        <v>0</v>
      </c>
      <c r="AD30" s="33" t="n">
        <v>0</v>
      </c>
      <c r="AE30" s="33" t="n">
        <v>15.97619047604501</v>
      </c>
      <c r="AF30" s="33" t="n">
        <v>0</v>
      </c>
      <c r="AG30" s="33" t="n">
        <v>0</v>
      </c>
      <c r="AH30" s="33" t="n">
        <v>0</v>
      </c>
      <c r="AI30" s="33" t="n">
        <v>7.771825114712115</v>
      </c>
      <c r="AK30" s="19" t="n"/>
      <c r="AL30" s="19" t="n">
        <v>3</v>
      </c>
      <c r="AM30" s="21">
        <f>D30-U30</f>
        <v/>
      </c>
      <c r="AN30" s="21">
        <f>E30-V30</f>
        <v/>
      </c>
      <c r="AO30" s="21">
        <f>F30-W30</f>
        <v/>
      </c>
      <c r="AP30" s="21">
        <f>G30-X30</f>
        <v/>
      </c>
      <c r="AQ30" s="21">
        <f>H30-Y30</f>
        <v/>
      </c>
      <c r="AR30" s="21">
        <f>I30-Z30</f>
        <v/>
      </c>
      <c r="AS30" s="21">
        <f>J30-AA30</f>
        <v/>
      </c>
      <c r="AT30" s="21">
        <f>K30-AB30</f>
        <v/>
      </c>
      <c r="AU30" s="21">
        <f>L30-AC30</f>
        <v/>
      </c>
      <c r="AV30" s="21">
        <f>M30-AD30</f>
        <v/>
      </c>
      <c r="AW30" s="21">
        <f>N30-AE30</f>
        <v/>
      </c>
      <c r="AX30" s="21">
        <f>O30-AF30</f>
        <v/>
      </c>
      <c r="AY30" s="21">
        <f>P30-AG30</f>
        <v/>
      </c>
      <c r="AZ30" s="21">
        <f>Q30-AH30</f>
        <v/>
      </c>
      <c r="BA30" s="21">
        <f>R30-AI30</f>
        <v/>
      </c>
      <c r="BC30" s="19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T30" s="71" t="n"/>
      <c r="BU30" s="71" t="n"/>
      <c r="BV30" s="71" t="n"/>
      <c r="BW30" s="71" t="n"/>
      <c r="BX30" s="71" t="n"/>
      <c r="BY30" s="71" t="n"/>
      <c r="BZ30" s="71" t="n"/>
      <c r="CA30" s="71" t="n"/>
      <c r="CB30" s="71" t="n"/>
      <c r="CC30" s="71" t="n"/>
      <c r="CD30" s="71" t="n"/>
      <c r="CE30" s="71" t="n"/>
      <c r="CF30" s="71" t="n"/>
      <c r="CG30" s="71" t="n"/>
      <c r="CH30" s="71" t="n"/>
    </row>
    <row r="32">
      <c r="F32" s="6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</row>
    <row r="33">
      <c r="C33" s="18" t="inlineStr">
        <is>
          <t>bDeltaw</t>
        </is>
      </c>
      <c r="D33" s="15" t="n">
        <v>1</v>
      </c>
      <c r="E33" s="15" t="n">
        <v>2</v>
      </c>
      <c r="F33" s="15" t="n">
        <v>3</v>
      </c>
      <c r="G33" s="15" t="n">
        <v>4</v>
      </c>
      <c r="H33" s="15" t="n">
        <v>5</v>
      </c>
      <c r="I33" s="15" t="n">
        <v>6</v>
      </c>
      <c r="J33" s="15" t="n">
        <v>7</v>
      </c>
      <c r="K33" s="15" t="n">
        <v>8</v>
      </c>
      <c r="L33" s="15" t="n">
        <v>9</v>
      </c>
      <c r="M33" s="15" t="n">
        <v>10</v>
      </c>
      <c r="N33" s="15" t="n">
        <v>11</v>
      </c>
      <c r="O33" s="15" t="n">
        <v>12</v>
      </c>
      <c r="P33" s="15" t="n">
        <v>13</v>
      </c>
      <c r="Q33" s="15" t="n">
        <v>14</v>
      </c>
      <c r="R33" s="15" t="n">
        <v>15</v>
      </c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</row>
    <row r="34">
      <c r="C34" s="15" t="n">
        <v>1</v>
      </c>
      <c r="D34" s="27" t="n">
        <v>0</v>
      </c>
      <c r="E34" s="27" t="n">
        <v>0</v>
      </c>
      <c r="F34" s="27" t="n">
        <v>0</v>
      </c>
      <c r="G34" s="27" t="n">
        <v>0</v>
      </c>
      <c r="H34" s="27" t="n">
        <v>1</v>
      </c>
      <c r="I34" s="27" t="n">
        <v>1</v>
      </c>
      <c r="J34" s="27" t="n">
        <v>0</v>
      </c>
      <c r="K34" s="27" t="n">
        <v>1</v>
      </c>
      <c r="L34" s="27" t="n">
        <v>1</v>
      </c>
      <c r="M34" s="27" t="n">
        <v>0</v>
      </c>
      <c r="N34" s="27" t="n">
        <v>0</v>
      </c>
      <c r="O34" s="27" t="n">
        <v>0</v>
      </c>
      <c r="P34" s="27" t="n">
        <v>1</v>
      </c>
      <c r="Q34" s="27" t="n">
        <v>1</v>
      </c>
      <c r="R34" s="27" t="n">
        <v>1</v>
      </c>
      <c r="BS34" s="19" t="n"/>
    </row>
    <row r="35">
      <c r="C35" s="15" t="n">
        <v>2</v>
      </c>
      <c r="D35" s="27" t="n">
        <v>1</v>
      </c>
      <c r="E35" s="27" t="n">
        <v>1</v>
      </c>
      <c r="F35" s="27" t="n">
        <v>0</v>
      </c>
      <c r="G35" s="27" t="n">
        <v>0</v>
      </c>
      <c r="H35" s="27" t="n">
        <v>0</v>
      </c>
      <c r="I35" s="27" t="n">
        <v>1</v>
      </c>
      <c r="J35" s="27" t="n">
        <v>0</v>
      </c>
      <c r="K35" s="27" t="n">
        <v>0</v>
      </c>
      <c r="L35" s="27" t="n">
        <v>0</v>
      </c>
      <c r="M35" s="27" t="n">
        <v>1</v>
      </c>
      <c r="N35" s="27" t="n">
        <v>0</v>
      </c>
      <c r="O35" s="27" t="n">
        <v>1</v>
      </c>
      <c r="P35" s="27" t="n">
        <v>1</v>
      </c>
      <c r="Q35" s="27" t="n">
        <v>1</v>
      </c>
      <c r="R35" s="27" t="n">
        <v>1</v>
      </c>
      <c r="BS35" s="19" t="n"/>
    </row>
    <row r="36">
      <c r="C36" s="15" t="n">
        <v>3</v>
      </c>
      <c r="D36" s="27" t="n">
        <v>1</v>
      </c>
      <c r="E36" s="27" t="n">
        <v>0</v>
      </c>
      <c r="F36" s="27" t="n">
        <v>0</v>
      </c>
      <c r="G36" s="27" t="n">
        <v>1</v>
      </c>
      <c r="H36" s="27" t="n">
        <v>0</v>
      </c>
      <c r="I36" s="27" t="n">
        <v>1</v>
      </c>
      <c r="J36" s="27" t="n">
        <v>1</v>
      </c>
      <c r="K36" s="27" t="n">
        <v>0</v>
      </c>
      <c r="L36" s="27" t="n">
        <v>0</v>
      </c>
      <c r="M36" s="27" t="n">
        <v>0</v>
      </c>
      <c r="N36" s="27" t="n">
        <v>1</v>
      </c>
      <c r="O36" s="27" t="n">
        <v>0</v>
      </c>
      <c r="P36" s="27" t="n">
        <v>0</v>
      </c>
      <c r="Q36" s="27" t="n">
        <v>0</v>
      </c>
      <c r="R36" s="27" t="n">
        <v>1</v>
      </c>
      <c r="BS36" s="19" t="n"/>
    </row>
    <row r="37"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</row>
    <row r="39">
      <c r="C39" s="18" t="inlineStr">
        <is>
          <t>bZetaw</t>
        </is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1</v>
      </c>
      <c r="L39" s="27" t="n">
        <v>1</v>
      </c>
      <c r="M39" s="27" t="n">
        <v>0</v>
      </c>
      <c r="N39" s="27" t="n">
        <v>0</v>
      </c>
      <c r="O39" s="27" t="n">
        <v>0</v>
      </c>
      <c r="P39" s="27" t="n">
        <v>1</v>
      </c>
      <c r="Q39" s="27" t="n">
        <v>0</v>
      </c>
      <c r="R39" s="27" t="n">
        <v>0</v>
      </c>
      <c r="S39" s="19">
        <f>SUM(Suppliers_Zeta)</f>
        <v/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  <c r="Z39" s="18" t="n">
        <v>0</v>
      </c>
      <c r="AA39" s="18" t="n">
        <v>1</v>
      </c>
      <c r="AB39" s="18" t="n">
        <v>1</v>
      </c>
      <c r="AC39" s="18" t="n">
        <v>0</v>
      </c>
      <c r="AD39" s="18" t="n">
        <v>0</v>
      </c>
      <c r="AE39" s="18" t="n">
        <v>0</v>
      </c>
      <c r="AF39" s="18" t="n">
        <v>1</v>
      </c>
      <c r="AG39" s="18" t="n">
        <v>0</v>
      </c>
      <c r="AH39" s="18" t="n">
        <v>0</v>
      </c>
      <c r="AI39" s="18">
        <f>SUM(T39:AH41)</f>
        <v/>
      </c>
    </row>
    <row r="40">
      <c r="C40" s="15" t="n"/>
      <c r="D40" s="27" t="n">
        <v>1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1</v>
      </c>
      <c r="J40" s="27" t="n">
        <v>0</v>
      </c>
      <c r="K40" s="27" t="n">
        <v>0</v>
      </c>
      <c r="L40" s="27" t="n">
        <v>0</v>
      </c>
      <c r="M40" s="27" t="n">
        <v>1</v>
      </c>
      <c r="N40" s="27" t="n">
        <v>0</v>
      </c>
      <c r="O40" s="27" t="n">
        <v>0</v>
      </c>
      <c r="P40" s="27" t="n">
        <v>0</v>
      </c>
      <c r="Q40" s="27" t="n">
        <v>1</v>
      </c>
      <c r="R40" s="27" t="n">
        <v>1</v>
      </c>
      <c r="T40" s="18" t="n">
        <v>1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1</v>
      </c>
      <c r="Z40" s="18" t="n">
        <v>0</v>
      </c>
      <c r="AA40" s="18" t="n">
        <v>0</v>
      </c>
      <c r="AB40" s="18" t="n">
        <v>0</v>
      </c>
      <c r="AC40" s="18" t="n">
        <v>1</v>
      </c>
      <c r="AD40" s="18" t="n">
        <v>0</v>
      </c>
      <c r="AE40" s="18" t="n">
        <v>0</v>
      </c>
      <c r="AF40" s="18" t="n">
        <v>0</v>
      </c>
      <c r="AG40" s="18" t="n">
        <v>1</v>
      </c>
      <c r="AH40" s="18" t="n">
        <v>1</v>
      </c>
    </row>
    <row r="41">
      <c r="C41" s="15" t="n"/>
      <c r="D41" s="27" t="n">
        <v>0</v>
      </c>
      <c r="E41" s="27" t="n">
        <v>0</v>
      </c>
      <c r="F41" s="27" t="n">
        <v>0</v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0</v>
      </c>
      <c r="L41" s="27" t="n">
        <v>0</v>
      </c>
      <c r="M41" s="27" t="n">
        <v>0</v>
      </c>
      <c r="N41" s="27" t="n">
        <v>0</v>
      </c>
      <c r="O41" s="27" t="n">
        <v>0</v>
      </c>
      <c r="P41" s="27" t="n">
        <v>0</v>
      </c>
      <c r="Q41" s="27" t="n">
        <v>0</v>
      </c>
      <c r="R41" s="27" t="n">
        <v>1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0</v>
      </c>
      <c r="AC41" s="18" t="n">
        <v>0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1</v>
      </c>
    </row>
    <row r="44">
      <c r="C44" s="18" t="inlineStr">
        <is>
          <t>bGammaw</t>
        </is>
      </c>
      <c r="D44" s="15" t="n">
        <v>1</v>
      </c>
      <c r="E44" s="15" t="n">
        <v>2</v>
      </c>
      <c r="F44" s="15" t="n">
        <v>3</v>
      </c>
      <c r="G44" s="15" t="n">
        <v>4</v>
      </c>
      <c r="H44" s="15" t="n">
        <v>5</v>
      </c>
      <c r="I44" s="15" t="n">
        <v>6</v>
      </c>
      <c r="J44" s="15" t="n">
        <v>7</v>
      </c>
      <c r="K44" s="15" t="n">
        <v>8</v>
      </c>
      <c r="L44" s="15" t="n">
        <v>9</v>
      </c>
      <c r="M44" s="15" t="n">
        <v>10</v>
      </c>
      <c r="N44" s="15" t="n">
        <v>11</v>
      </c>
      <c r="O44" s="15" t="n">
        <v>12</v>
      </c>
      <c r="P44" s="15" t="n">
        <v>13</v>
      </c>
      <c r="Q44" s="15" t="n">
        <v>14</v>
      </c>
      <c r="R44" s="15" t="n">
        <v>15</v>
      </c>
    </row>
    <row r="45">
      <c r="C45" s="15" t="n">
        <v>1</v>
      </c>
      <c r="D45" s="27" t="n">
        <v>0</v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27" t="n">
        <v>0</v>
      </c>
      <c r="K45" s="27" t="n">
        <v>0</v>
      </c>
      <c r="L45" s="27" t="n">
        <v>0</v>
      </c>
      <c r="M45" s="27" t="n">
        <v>0</v>
      </c>
      <c r="N45" s="27" t="n">
        <v>1</v>
      </c>
      <c r="O45" s="27" t="n">
        <v>0</v>
      </c>
      <c r="P45" s="27" t="n">
        <v>0</v>
      </c>
      <c r="Q45" s="27" t="n">
        <v>0</v>
      </c>
      <c r="R45" s="27" t="n">
        <v>0</v>
      </c>
      <c r="S45" s="19">
        <f>SUM(Suppliers_Gamma)</f>
        <v/>
      </c>
      <c r="T45" s="18" t="n">
        <v>0</v>
      </c>
      <c r="U45" s="18" t="n">
        <v>0</v>
      </c>
      <c r="V45" s="18" t="n">
        <v>0</v>
      </c>
      <c r="W45" s="18" t="n">
        <v>0</v>
      </c>
      <c r="X45" s="18" t="n">
        <v>0</v>
      </c>
      <c r="Y45" s="18" t="n">
        <v>0</v>
      </c>
      <c r="Z45" s="18" t="n">
        <v>0</v>
      </c>
      <c r="AA45" s="18" t="n">
        <v>0</v>
      </c>
      <c r="AB45" s="18" t="n">
        <v>0</v>
      </c>
      <c r="AC45" s="18" t="n">
        <v>0</v>
      </c>
      <c r="AD45" s="18" t="n">
        <v>1</v>
      </c>
      <c r="AE45" s="18" t="n">
        <v>0</v>
      </c>
      <c r="AF45" s="18" t="n">
        <v>0</v>
      </c>
      <c r="AG45" s="18" t="n">
        <v>0</v>
      </c>
      <c r="AH45" s="18" t="n">
        <v>0</v>
      </c>
      <c r="AI45" s="18">
        <f>SUM(T45:AH47)</f>
        <v/>
      </c>
    </row>
    <row r="46">
      <c r="C46" s="15" t="n">
        <v>2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1</v>
      </c>
      <c r="I46" s="27" t="n">
        <v>0</v>
      </c>
      <c r="J46" s="27" t="n">
        <v>1</v>
      </c>
      <c r="K46" s="27" t="n">
        <v>0</v>
      </c>
      <c r="L46" s="27" t="n">
        <v>0</v>
      </c>
      <c r="M46" s="27" t="n">
        <v>0</v>
      </c>
      <c r="N46" s="27" t="n">
        <v>0</v>
      </c>
      <c r="O46" s="27" t="n">
        <v>0</v>
      </c>
      <c r="P46" s="27" t="n">
        <v>0</v>
      </c>
      <c r="Q46" s="27" t="n">
        <v>0</v>
      </c>
      <c r="R46" s="27" t="n">
        <v>0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1</v>
      </c>
      <c r="Y46" s="18" t="n">
        <v>0</v>
      </c>
      <c r="Z46" s="18" t="n">
        <v>1</v>
      </c>
      <c r="AA46" s="18" t="n">
        <v>0</v>
      </c>
      <c r="AB46" s="18" t="n">
        <v>0</v>
      </c>
      <c r="AC46" s="18" t="n">
        <v>0</v>
      </c>
      <c r="AD46" s="18" t="n">
        <v>0</v>
      </c>
      <c r="AE46" s="18" t="n">
        <v>0</v>
      </c>
      <c r="AF46" s="18" t="n">
        <v>0</v>
      </c>
      <c r="AG46" s="18" t="n">
        <v>0</v>
      </c>
      <c r="AH46" s="18" t="n">
        <v>0</v>
      </c>
    </row>
    <row r="47">
      <c r="C47" s="15" t="n">
        <v>3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  <c r="L47" s="27" t="n">
        <v>0</v>
      </c>
      <c r="M47" s="27" t="n">
        <v>0</v>
      </c>
      <c r="N47" s="27" t="n">
        <v>0</v>
      </c>
      <c r="O47" s="27" t="n">
        <v>1</v>
      </c>
      <c r="P47" s="27" t="n">
        <v>0</v>
      </c>
      <c r="Q47" s="27" t="n">
        <v>0</v>
      </c>
      <c r="R47" s="27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1</v>
      </c>
      <c r="AF47" s="18" t="n">
        <v>0</v>
      </c>
      <c r="AG47" s="18" t="n">
        <v>0</v>
      </c>
      <c r="AH47" s="18" t="n">
        <v>0</v>
      </c>
    </row>
    <row r="50">
      <c r="C50" s="18" t="inlineStr">
        <is>
          <t>bRhow</t>
        </is>
      </c>
      <c r="D50" s="15" t="n">
        <v>1</v>
      </c>
      <c r="E50" s="15" t="n">
        <v>2</v>
      </c>
      <c r="F50" s="15" t="n">
        <v>3</v>
      </c>
      <c r="G50" s="15" t="n">
        <v>4</v>
      </c>
      <c r="H50" s="15" t="n">
        <v>5</v>
      </c>
      <c r="I50" s="15" t="n">
        <v>6</v>
      </c>
      <c r="J50" s="15" t="n">
        <v>7</v>
      </c>
      <c r="K50" s="15" t="n">
        <v>8</v>
      </c>
      <c r="L50" s="15" t="n">
        <v>9</v>
      </c>
      <c r="M50" s="15" t="n">
        <v>10</v>
      </c>
      <c r="N50" s="15" t="n">
        <v>11</v>
      </c>
      <c r="O50" s="15" t="n">
        <v>12</v>
      </c>
      <c r="P50" s="15" t="n">
        <v>13</v>
      </c>
      <c r="Q50" s="15" t="n">
        <v>14</v>
      </c>
      <c r="R50" s="15" t="n">
        <v>15</v>
      </c>
    </row>
    <row r="51">
      <c r="C51" s="15" t="n">
        <v>1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0</v>
      </c>
      <c r="J51" s="27" t="n">
        <v>0</v>
      </c>
      <c r="K51" s="27" t="n">
        <v>1</v>
      </c>
      <c r="L51" s="27" t="n">
        <v>1</v>
      </c>
      <c r="M51" s="27" t="n">
        <v>0</v>
      </c>
      <c r="N51" s="27" t="n">
        <v>0</v>
      </c>
      <c r="O51" s="27" t="n">
        <v>0</v>
      </c>
      <c r="P51" s="27" t="n">
        <v>1</v>
      </c>
      <c r="Q51" s="27" t="n">
        <v>0</v>
      </c>
      <c r="R51" s="27" t="n">
        <v>0</v>
      </c>
    </row>
    <row r="52">
      <c r="C52" s="15" t="n">
        <v>2</v>
      </c>
      <c r="D52" s="27" t="n">
        <v>1</v>
      </c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1</v>
      </c>
      <c r="J52" s="27" t="n">
        <v>0</v>
      </c>
      <c r="K52" s="27" t="n">
        <v>0</v>
      </c>
      <c r="L52" s="27" t="n">
        <v>0</v>
      </c>
      <c r="M52" s="27" t="n">
        <v>1</v>
      </c>
      <c r="N52" s="27" t="n">
        <v>0</v>
      </c>
      <c r="O52" s="27" t="n">
        <v>0</v>
      </c>
      <c r="P52" s="27" t="n">
        <v>0</v>
      </c>
      <c r="Q52" s="27" t="n">
        <v>1</v>
      </c>
      <c r="R52" s="27" t="n">
        <v>1</v>
      </c>
    </row>
    <row r="53">
      <c r="C53" s="15" t="n">
        <v>3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0</v>
      </c>
      <c r="L53" s="27" t="n">
        <v>0</v>
      </c>
      <c r="M53" s="27" t="n">
        <v>0</v>
      </c>
      <c r="N53" s="27" t="n">
        <v>0</v>
      </c>
      <c r="O53" s="27" t="n">
        <v>0</v>
      </c>
      <c r="P53" s="27" t="n">
        <v>0</v>
      </c>
      <c r="Q53" s="27" t="n">
        <v>0</v>
      </c>
      <c r="R53" s="27" t="n">
        <v>1</v>
      </c>
    </row>
    <row r="56">
      <c r="C56" s="18" t="inlineStr">
        <is>
          <t>bOmegaw</t>
        </is>
      </c>
      <c r="D56" s="15" t="n">
        <v>1</v>
      </c>
      <c r="E56" s="15" t="n">
        <v>2</v>
      </c>
      <c r="F56" s="15" t="n">
        <v>3</v>
      </c>
      <c r="G56" s="15" t="n">
        <v>4</v>
      </c>
      <c r="H56" s="15" t="n">
        <v>5</v>
      </c>
      <c r="I56" s="15" t="n">
        <v>6</v>
      </c>
      <c r="J56" s="15" t="n">
        <v>7</v>
      </c>
      <c r="K56" s="15" t="n">
        <v>8</v>
      </c>
      <c r="L56" s="15" t="n">
        <v>9</v>
      </c>
      <c r="M56" s="15" t="n">
        <v>10</v>
      </c>
      <c r="N56" s="15" t="n">
        <v>11</v>
      </c>
      <c r="O56" s="15" t="n">
        <v>12</v>
      </c>
      <c r="P56" s="15" t="n">
        <v>13</v>
      </c>
      <c r="Q56" s="15" t="n">
        <v>14</v>
      </c>
      <c r="R56" s="15" t="n">
        <v>15</v>
      </c>
    </row>
    <row r="57">
      <c r="C57" s="15" t="n">
        <v>1</v>
      </c>
      <c r="D57" s="27" t="n">
        <v>0</v>
      </c>
      <c r="E57" s="27" t="n">
        <v>0</v>
      </c>
      <c r="F57" s="27" t="n">
        <v>0</v>
      </c>
      <c r="G57" s="27" t="n">
        <v>0</v>
      </c>
      <c r="H57" s="27" t="n">
        <v>1</v>
      </c>
      <c r="I57" s="27" t="n">
        <v>1</v>
      </c>
      <c r="J57" s="27" t="n">
        <v>0</v>
      </c>
      <c r="K57" s="27" t="n">
        <v>0</v>
      </c>
      <c r="L57" s="27" t="n">
        <v>0</v>
      </c>
      <c r="M57" s="27" t="n">
        <v>0</v>
      </c>
      <c r="N57" s="27" t="n">
        <v>0</v>
      </c>
      <c r="O57" s="27" t="n">
        <v>0</v>
      </c>
      <c r="P57" s="27" t="n">
        <v>0</v>
      </c>
      <c r="Q57" s="27" t="n">
        <v>1</v>
      </c>
      <c r="R57" s="27" t="n">
        <v>1</v>
      </c>
      <c r="S57" s="18" t="inlineStr">
        <is>
          <t>Max</t>
        </is>
      </c>
    </row>
    <row r="58">
      <c r="C58" s="15" t="n">
        <v>2</v>
      </c>
      <c r="D58" s="27" t="n">
        <v>0</v>
      </c>
      <c r="E58" s="27" t="n">
        <v>1</v>
      </c>
      <c r="F58" s="27" t="n">
        <v>0</v>
      </c>
      <c r="G58" s="27" t="n">
        <v>0</v>
      </c>
      <c r="H58" s="27" t="n">
        <v>0</v>
      </c>
      <c r="I58" s="27" t="n">
        <v>0</v>
      </c>
      <c r="J58" s="27" t="n">
        <v>0</v>
      </c>
      <c r="K58" s="27" t="n">
        <v>0</v>
      </c>
      <c r="L58" s="27" t="n">
        <v>0</v>
      </c>
      <c r="M58" s="27" t="n">
        <v>0</v>
      </c>
      <c r="N58" s="27" t="n">
        <v>0</v>
      </c>
      <c r="O58" s="27" t="n">
        <v>1</v>
      </c>
      <c r="P58" s="27" t="n">
        <v>1</v>
      </c>
      <c r="Q58" s="27" t="n">
        <v>0</v>
      </c>
      <c r="R58" s="27" t="n">
        <v>0</v>
      </c>
      <c r="S58" s="72">
        <f>MAX(T58:AH58)</f>
        <v/>
      </c>
      <c r="T58" s="21">
        <f>IF(T63=1000000,0,D4-$S63)</f>
        <v/>
      </c>
      <c r="U58" s="21">
        <f>IF(U63=1000000,0,E4-$S63)</f>
        <v/>
      </c>
      <c r="V58" s="21">
        <f>IF(V63=1000000,0,F4-$S63)</f>
        <v/>
      </c>
      <c r="W58" s="21">
        <f>IF(W63=1000000,0,G4-$S63)</f>
        <v/>
      </c>
      <c r="X58" s="21">
        <f>IF(X63=1000000,0,H4-$S63)</f>
        <v/>
      </c>
      <c r="Y58" s="21">
        <f>IF(Y63=1000000,0,I4-$S63)</f>
        <v/>
      </c>
      <c r="Z58" s="21">
        <f>IF(Z63=1000000,0,J4-$S63)</f>
        <v/>
      </c>
      <c r="AA58" s="21">
        <f>IF(AA63=1000000,0,K4-$S63)</f>
        <v/>
      </c>
      <c r="AB58" s="21">
        <f>IF(AB63=1000000,0,L4-$S63)</f>
        <v/>
      </c>
      <c r="AC58" s="21">
        <f>IF(AC63=1000000,0,M4-$S63)</f>
        <v/>
      </c>
      <c r="AD58" s="21">
        <f>IF(AD63=1000000,0,N4-$S63)</f>
        <v/>
      </c>
      <c r="AE58" s="21">
        <f>IF(AE63=1000000,0,O4-$S63)</f>
        <v/>
      </c>
      <c r="AF58" s="21">
        <f>IF(AF63=1000000,0,P4-$S63)</f>
        <v/>
      </c>
      <c r="AG58" s="21">
        <f>IF(AG63=1000000,0,Q4-$S63)</f>
        <v/>
      </c>
      <c r="AH58" s="21">
        <f>IF(AH63=1000000,0,R4-$S63)</f>
        <v/>
      </c>
    </row>
    <row r="59">
      <c r="C59" s="15" t="n">
        <v>3</v>
      </c>
      <c r="D59" s="27" t="n">
        <v>1</v>
      </c>
      <c r="E59" s="27" t="n">
        <v>0</v>
      </c>
      <c r="F59" s="27" t="n">
        <v>0</v>
      </c>
      <c r="G59" s="27" t="n">
        <v>1</v>
      </c>
      <c r="H59" s="27" t="n">
        <v>0</v>
      </c>
      <c r="I59" s="27" t="n">
        <v>1</v>
      </c>
      <c r="J59" s="27" t="n">
        <v>1</v>
      </c>
      <c r="K59" s="27" t="n">
        <v>0</v>
      </c>
      <c r="L59" s="27" t="n">
        <v>0</v>
      </c>
      <c r="M59" s="27" t="n">
        <v>0</v>
      </c>
      <c r="N59" s="27" t="n">
        <v>1</v>
      </c>
      <c r="O59" s="27" t="n">
        <v>0</v>
      </c>
      <c r="P59" s="27" t="n">
        <v>0</v>
      </c>
      <c r="Q59" s="27" t="n">
        <v>0</v>
      </c>
      <c r="R59" s="27" t="n">
        <v>0</v>
      </c>
      <c r="S59" s="72">
        <f>MAX(T59:AH59)</f>
        <v/>
      </c>
      <c r="T59" s="21">
        <f>IF(T64=1000000,0,D5-$S64)</f>
        <v/>
      </c>
      <c r="U59" s="21">
        <f>IF(U64=1000000,0,E5-$S64)</f>
        <v/>
      </c>
      <c r="V59" s="21">
        <f>IF(V64=1000000,0,F5-$S64)</f>
        <v/>
      </c>
      <c r="W59" s="21">
        <f>IF(W64=1000000,0,G5-$S64)</f>
        <v/>
      </c>
      <c r="X59" s="21">
        <f>IF(X64=1000000,0,H5-$S64)</f>
        <v/>
      </c>
      <c r="Y59" s="21">
        <f>IF(Y64=1000000,0,I5-$S64)</f>
        <v/>
      </c>
      <c r="Z59" s="21">
        <f>IF(Z64=1000000,0,J5-$S64)</f>
        <v/>
      </c>
      <c r="AA59" s="21">
        <f>IF(AA64=1000000,0,K5-$S64)</f>
        <v/>
      </c>
      <c r="AB59" s="21">
        <f>IF(AB64=1000000,0,L5-$S64)</f>
        <v/>
      </c>
      <c r="AC59" s="21">
        <f>IF(AC64=1000000,0,M5-$S64)</f>
        <v/>
      </c>
      <c r="AD59" s="21">
        <f>IF(AD64=1000000,0,N5-$S64)</f>
        <v/>
      </c>
      <c r="AE59" s="21">
        <f>IF(AE64=1000000,0,O5-$S64)</f>
        <v/>
      </c>
      <c r="AF59" s="21">
        <f>IF(AF64=1000000,0,P5-$S64)</f>
        <v/>
      </c>
      <c r="AG59" s="21">
        <f>IF(AG64=1000000,0,Q5-$S64)</f>
        <v/>
      </c>
      <c r="AH59" s="21">
        <f>IF(AH64=1000000,0,R5-$S64)</f>
        <v/>
      </c>
    </row>
    <row r="60">
      <c r="S60" s="72">
        <f>MAX(T60:AH60)</f>
        <v/>
      </c>
      <c r="T60" s="21">
        <f>IF(T65=1000000,0,D6-$S65)</f>
        <v/>
      </c>
      <c r="U60" s="21">
        <f>IF(U65=1000000,0,E6-$S65)</f>
        <v/>
      </c>
      <c r="V60" s="21">
        <f>IF(V65=1000000,0,F6-$S65)</f>
        <v/>
      </c>
      <c r="W60" s="21">
        <f>IF(W65=1000000,0,G6-$S65)</f>
        <v/>
      </c>
      <c r="X60" s="21">
        <f>IF(X65=1000000,0,H6-$S65)</f>
        <v/>
      </c>
      <c r="Y60" s="21">
        <f>IF(Y65=1000000,0,I6-$S65)</f>
        <v/>
      </c>
      <c r="Z60" s="21">
        <f>IF(Z65=1000000,0,J6-$S65)</f>
        <v/>
      </c>
      <c r="AA60" s="21">
        <f>IF(AA65=1000000,0,K6-$S65)</f>
        <v/>
      </c>
      <c r="AB60" s="21">
        <f>IF(AB65=1000000,0,L6-$S65)</f>
        <v/>
      </c>
      <c r="AC60" s="21">
        <f>IF(AC65=1000000,0,M6-$S65)</f>
        <v/>
      </c>
      <c r="AD60" s="21">
        <f>IF(AD65=1000000,0,N6-$S65)</f>
        <v/>
      </c>
      <c r="AE60" s="21">
        <f>IF(AE65=1000000,0,O6-$S65)</f>
        <v/>
      </c>
      <c r="AF60" s="21">
        <f>IF(AF65=1000000,0,P6-$S65)</f>
        <v/>
      </c>
      <c r="AG60" s="21">
        <f>IF(AG65=1000000,0,Q6-$S65)</f>
        <v/>
      </c>
      <c r="AH60" s="21">
        <f>IF(AH65=1000000,0,R6-$S65)</f>
        <v/>
      </c>
    </row>
    <row r="62">
      <c r="B62" s="18" t="inlineStr">
        <is>
          <t>Results</t>
        </is>
      </c>
      <c r="C62" s="18" t="inlineStr">
        <is>
          <t>RunOutTimew</t>
        </is>
      </c>
      <c r="D62" s="15" t="n">
        <v>1</v>
      </c>
      <c r="E62" s="15" t="n">
        <v>2</v>
      </c>
      <c r="F62" s="15" t="n">
        <v>3</v>
      </c>
      <c r="G62" s="15" t="n">
        <v>4</v>
      </c>
      <c r="H62" s="15" t="n">
        <v>5</v>
      </c>
      <c r="I62" s="15" t="n">
        <v>6</v>
      </c>
      <c r="J62" s="15" t="n">
        <v>7</v>
      </c>
      <c r="K62" s="15" t="n">
        <v>8</v>
      </c>
      <c r="L62" s="15" t="n">
        <v>9</v>
      </c>
      <c r="M62" s="15" t="n">
        <v>10</v>
      </c>
      <c r="N62" s="15" t="n">
        <v>11</v>
      </c>
      <c r="O62" s="15" t="n">
        <v>12</v>
      </c>
      <c r="P62" s="15" t="n">
        <v>13</v>
      </c>
      <c r="Q62" s="15" t="n">
        <v>14</v>
      </c>
      <c r="R62" s="15" t="n">
        <v>15</v>
      </c>
      <c r="S62" s="18" t="inlineStr">
        <is>
          <t>Min</t>
        </is>
      </c>
    </row>
    <row r="63">
      <c r="C63" s="15" t="n">
        <v>1</v>
      </c>
      <c r="D63" s="33" t="n">
        <v>-16.44322845417236</v>
      </c>
      <c r="E63" s="33" t="n">
        <v>-22.32510288065841</v>
      </c>
      <c r="F63" s="33" t="n">
        <v>-9.107321965897693</v>
      </c>
      <c r="G63" s="33" t="n">
        <v>-8.751620670494535</v>
      </c>
      <c r="H63" s="33" t="n">
        <v>15.05353319057816</v>
      </c>
      <c r="I63" s="33" t="n">
        <v>7.422058962042007</v>
      </c>
      <c r="J63" s="33" t="n">
        <v>-6.432065415784479</v>
      </c>
      <c r="K63" s="33" t="n">
        <v>16.19143867754277</v>
      </c>
      <c r="L63" s="33" t="n">
        <v>16.89542806359238</v>
      </c>
      <c r="M63" s="33" t="n">
        <v>-39.83572895277204</v>
      </c>
      <c r="N63" s="33" t="n">
        <v>69.40966010733436</v>
      </c>
      <c r="O63" s="33" t="n">
        <v>-36.4282892137495</v>
      </c>
      <c r="P63" s="33" t="n">
        <v>21.65316045380874</v>
      </c>
      <c r="Q63" s="33" t="n">
        <v>7.857062337955134</v>
      </c>
      <c r="R63" s="33" t="n">
        <v>10.22408048605213</v>
      </c>
      <c r="S63" s="72">
        <f>MIN(T63:AH63)</f>
        <v/>
      </c>
      <c r="T63" s="50">
        <f>IF(D63&lt;0,1000000,D63)</f>
        <v/>
      </c>
      <c r="U63" s="50">
        <f>IF(E63&lt;0,1000000,E63)</f>
        <v/>
      </c>
      <c r="V63" s="50">
        <f>IF(F63&lt;0,1000000,F63)</f>
        <v/>
      </c>
      <c r="W63" s="50">
        <f>IF(G63&lt;0,1000000,G63)</f>
        <v/>
      </c>
      <c r="X63" s="50">
        <f>IF(H63&lt;0,1000000,H63)</f>
        <v/>
      </c>
      <c r="Y63" s="50">
        <f>IF(I63&lt;0,1000000,I63)</f>
        <v/>
      </c>
      <c r="Z63" s="50">
        <f>IF(J63&lt;0,1000000,J63)</f>
        <v/>
      </c>
      <c r="AA63" s="50">
        <f>IF(K63&lt;0,1000000,K63)</f>
        <v/>
      </c>
      <c r="AB63" s="50">
        <f>IF(L63&lt;0,1000000,L63)</f>
        <v/>
      </c>
      <c r="AC63" s="50">
        <f>IF(M63&lt;0,1000000,M63)</f>
        <v/>
      </c>
      <c r="AD63" s="50">
        <f>IF(N63&lt;0,1000000,N63)</f>
        <v/>
      </c>
      <c r="AE63" s="50">
        <f>IF(O63&lt;0,1000000,O63)</f>
        <v/>
      </c>
      <c r="AF63" s="50">
        <f>IF(P63&lt;0,1000000,P63)</f>
        <v/>
      </c>
      <c r="AG63" s="50">
        <f>IF(Q63&lt;0,1000000,Q63)</f>
        <v/>
      </c>
      <c r="AH63" s="50">
        <f>IF(R63&lt;0,1000000,R63)</f>
        <v/>
      </c>
    </row>
    <row r="64">
      <c r="C64" s="15" t="n">
        <v>2</v>
      </c>
      <c r="D64" s="33" t="n">
        <v>18.47160950619041</v>
      </c>
      <c r="E64" s="33" t="n">
        <v>19.56241956241956</v>
      </c>
      <c r="F64" s="33" t="n">
        <v>-13.46431667148224</v>
      </c>
      <c r="G64" s="33" t="n">
        <v>-3.949810020323407</v>
      </c>
      <c r="H64" s="33" t="n">
        <v>47.88456150182124</v>
      </c>
      <c r="I64" s="33" t="n">
        <v>20.47489823609227</v>
      </c>
      <c r="J64" s="33" t="n">
        <v>190.9090909090919</v>
      </c>
      <c r="K64" s="33" t="n">
        <v>-15.07305819020764</v>
      </c>
      <c r="L64" s="33" t="n">
        <v>-15.47525530243519</v>
      </c>
      <c r="M64" s="33" t="n">
        <v>16.41054560834625</v>
      </c>
      <c r="N64" s="33" t="n">
        <v>-3.982747545195925</v>
      </c>
      <c r="O64" s="33" t="n">
        <v>14.07878705834574</v>
      </c>
      <c r="P64" s="33" t="n">
        <v>20.20809624451309</v>
      </c>
      <c r="Q64" s="33" t="n">
        <v>24.24632352941175</v>
      </c>
      <c r="R64" s="33" t="n">
        <v>19.68775111927448</v>
      </c>
      <c r="S64" s="72">
        <f>MIN(T64:AH64)</f>
        <v/>
      </c>
      <c r="T64" s="50">
        <f>IF(D64&lt;0,1000000,D64)</f>
        <v/>
      </c>
      <c r="U64" s="50">
        <f>IF(E64&lt;0,1000000,E64)</f>
        <v/>
      </c>
      <c r="V64" s="50">
        <f>IF(F64&lt;0,1000000,F64)</f>
        <v/>
      </c>
      <c r="W64" s="50">
        <f>IF(G64&lt;0,1000000,G64)</f>
        <v/>
      </c>
      <c r="X64" s="50">
        <f>IF(H64&lt;0,1000000,H64)</f>
        <v/>
      </c>
      <c r="Y64" s="50">
        <f>IF(I64&lt;0,1000000,I64)</f>
        <v/>
      </c>
      <c r="Z64" s="50">
        <f>IF(J64&lt;0,1000000,J64)</f>
        <v/>
      </c>
      <c r="AA64" s="50">
        <f>IF(K64&lt;0,1000000,K64)</f>
        <v/>
      </c>
      <c r="AB64" s="50">
        <f>IF(L64&lt;0,1000000,L64)</f>
        <v/>
      </c>
      <c r="AC64" s="50">
        <f>IF(M64&lt;0,1000000,M64)</f>
        <v/>
      </c>
      <c r="AD64" s="50">
        <f>IF(N64&lt;0,1000000,N64)</f>
        <v/>
      </c>
      <c r="AE64" s="50">
        <f>IF(O64&lt;0,1000000,O64)</f>
        <v/>
      </c>
      <c r="AF64" s="50">
        <f>IF(P64&lt;0,1000000,P64)</f>
        <v/>
      </c>
      <c r="AG64" s="50">
        <f>IF(Q64&lt;0,1000000,Q64)</f>
        <v/>
      </c>
      <c r="AH64" s="50">
        <f>IF(R64&lt;0,1000000,R64)</f>
        <v/>
      </c>
    </row>
    <row r="65">
      <c r="C65" s="15" t="n">
        <v>3</v>
      </c>
      <c r="D65" s="33" t="n">
        <v>8.934083893226804</v>
      </c>
      <c r="E65" s="33" t="n">
        <v>-8.04004854368932</v>
      </c>
      <c r="F65" s="33" t="n">
        <v>-4.882892354418551</v>
      </c>
      <c r="G65" s="33" t="n">
        <v>15.266788395212</v>
      </c>
      <c r="H65" s="33" t="n">
        <v>-14.74458605325873</v>
      </c>
      <c r="I65" s="33" t="n">
        <v>7.639515078649434</v>
      </c>
      <c r="J65" s="33" t="n">
        <v>6.438934165655165</v>
      </c>
      <c r="K65" s="33" t="n">
        <v>-6.523507401984705</v>
      </c>
      <c r="L65" s="33" t="n">
        <v>-18.91559788034714</v>
      </c>
      <c r="M65" s="33" t="n">
        <v>-21.41327623126339</v>
      </c>
      <c r="N65" s="33" t="n">
        <v>4.723809523809524</v>
      </c>
      <c r="O65" s="33" t="n">
        <v>117.191719171917</v>
      </c>
      <c r="P65" s="33" t="n">
        <v>-16.54021244309559</v>
      </c>
      <c r="Q65" s="33" t="n">
        <v>-28.8272157564906</v>
      </c>
      <c r="R65" s="33" t="n">
        <v>17.76817488561261</v>
      </c>
      <c r="S65" s="72">
        <f>MIN(T65:AH65)</f>
        <v/>
      </c>
      <c r="T65" s="50">
        <f>IF(D65&lt;0,1000000,D65)</f>
        <v/>
      </c>
      <c r="U65" s="50">
        <f>IF(E65&lt;0,1000000,E65)</f>
        <v/>
      </c>
      <c r="V65" s="50">
        <f>IF(F65&lt;0,1000000,F65)</f>
        <v/>
      </c>
      <c r="W65" s="50">
        <f>IF(G65&lt;0,1000000,G65)</f>
        <v/>
      </c>
      <c r="X65" s="50">
        <f>IF(H65&lt;0,1000000,H65)</f>
        <v/>
      </c>
      <c r="Y65" s="50">
        <f>IF(I65&lt;0,1000000,I65)</f>
        <v/>
      </c>
      <c r="Z65" s="50">
        <f>IF(J65&lt;0,1000000,J65)</f>
        <v/>
      </c>
      <c r="AA65" s="50">
        <f>IF(K65&lt;0,1000000,K65)</f>
        <v/>
      </c>
      <c r="AB65" s="50">
        <f>IF(L65&lt;0,1000000,L65)</f>
        <v/>
      </c>
      <c r="AC65" s="50">
        <f>IF(M65&lt;0,1000000,M65)</f>
        <v/>
      </c>
      <c r="AD65" s="50">
        <f>IF(N65&lt;0,1000000,N65)</f>
        <v/>
      </c>
      <c r="AE65" s="50">
        <f>IF(O65&lt;0,1000000,O65)</f>
        <v/>
      </c>
      <c r="AF65" s="50">
        <f>IF(P65&lt;0,1000000,P65)</f>
        <v/>
      </c>
      <c r="AG65" s="50">
        <f>IF(Q65&lt;0,1000000,Q65)</f>
        <v/>
      </c>
      <c r="AH65" s="50">
        <f>IF(R65&lt;0,1000000,R65)</f>
        <v/>
      </c>
    </row>
    <row r="66">
      <c r="C66" s="15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</row>
    <row r="68">
      <c r="C68" s="18" t="inlineStr">
        <is>
          <t>3*SigmaELTw+2*ELTw</t>
        </is>
      </c>
      <c r="D68" s="15" t="n">
        <v>1</v>
      </c>
      <c r="E68" s="15" t="n">
        <v>2</v>
      </c>
      <c r="F68" s="15" t="n">
        <v>3</v>
      </c>
      <c r="G68" s="15" t="n">
        <v>4</v>
      </c>
      <c r="H68" s="15" t="n">
        <v>5</v>
      </c>
      <c r="I68" s="15" t="n">
        <v>6</v>
      </c>
      <c r="J68" s="15" t="n">
        <v>7</v>
      </c>
      <c r="K68" s="15" t="n">
        <v>8</v>
      </c>
      <c r="L68" s="15" t="n">
        <v>9</v>
      </c>
      <c r="M68" s="15" t="n">
        <v>10</v>
      </c>
      <c r="N68" s="15" t="n">
        <v>11</v>
      </c>
      <c r="O68" s="15" t="n">
        <v>12</v>
      </c>
      <c r="P68" s="15" t="n">
        <v>13</v>
      </c>
      <c r="Q68" s="15" t="n">
        <v>14</v>
      </c>
      <c r="R68" s="15" t="n">
        <v>15</v>
      </c>
    </row>
    <row r="69">
      <c r="C69" s="15" t="n">
        <v>1</v>
      </c>
      <c r="D69" s="21">
        <f>3*Suppliers!I27+2*Suppliers_stock_balance!D4</f>
        <v/>
      </c>
      <c r="E69" s="21">
        <f>3*Suppliers!J27+2*Suppliers_stock_balance!E4</f>
        <v/>
      </c>
      <c r="F69" s="21">
        <f>3*Suppliers!K27+2*Suppliers_stock_balance!F4</f>
        <v/>
      </c>
      <c r="G69" s="21">
        <f>3*Suppliers!L27+2*Suppliers_stock_balance!G4</f>
        <v/>
      </c>
      <c r="H69" s="21">
        <f>3*Suppliers!M27+2*Suppliers_stock_balance!H4</f>
        <v/>
      </c>
      <c r="I69" s="21">
        <f>3*Suppliers!N27+2*Suppliers_stock_balance!I4</f>
        <v/>
      </c>
      <c r="J69" s="21">
        <f>3*Suppliers!O27+2*Suppliers_stock_balance!J4</f>
        <v/>
      </c>
      <c r="K69" s="21">
        <f>3*Suppliers!P27+2*Suppliers_stock_balance!K4</f>
        <v/>
      </c>
      <c r="L69" s="21">
        <f>3*Suppliers!Q27+2*Suppliers_stock_balance!L4</f>
        <v/>
      </c>
      <c r="M69" s="21">
        <f>3*Suppliers!R27+2*Suppliers_stock_balance!M4</f>
        <v/>
      </c>
      <c r="N69" s="21">
        <f>3*Suppliers!S27+2*Suppliers_stock_balance!N4</f>
        <v/>
      </c>
      <c r="O69" s="21">
        <f>3*Suppliers!T27+2*Suppliers_stock_balance!O4</f>
        <v/>
      </c>
      <c r="P69" s="21">
        <f>3*Suppliers!U27+2*Suppliers_stock_balance!P4</f>
        <v/>
      </c>
      <c r="Q69" s="21">
        <f>3*Suppliers!V27+2*Suppliers_stock_balance!Q4</f>
        <v/>
      </c>
      <c r="R69" s="21">
        <f>3*Suppliers!W27+2*Suppliers_stock_balance!R4</f>
        <v/>
      </c>
    </row>
    <row r="70">
      <c r="C70" s="15" t="n">
        <v>2</v>
      </c>
      <c r="D70" s="21">
        <f>3*Suppliers!I28+2*Suppliers_stock_balance!D5</f>
        <v/>
      </c>
      <c r="E70" s="21">
        <f>3*Suppliers!J28+2*Suppliers_stock_balance!E5</f>
        <v/>
      </c>
      <c r="F70" s="21">
        <f>3*Suppliers!K28+2*Suppliers_stock_balance!F5</f>
        <v/>
      </c>
      <c r="G70" s="21">
        <f>3*Suppliers!L28+2*Suppliers_stock_balance!G5</f>
        <v/>
      </c>
      <c r="H70" s="21">
        <f>3*Suppliers!M28+2*Suppliers_stock_balance!H5</f>
        <v/>
      </c>
      <c r="I70" s="21">
        <f>3*Suppliers!N28+2*Suppliers_stock_balance!I5</f>
        <v/>
      </c>
      <c r="J70" s="21">
        <f>3*Suppliers!O28+2*Suppliers_stock_balance!J5</f>
        <v/>
      </c>
      <c r="K70" s="21">
        <f>3*Suppliers!P28+2*Suppliers_stock_balance!K5</f>
        <v/>
      </c>
      <c r="L70" s="21">
        <f>3*Suppliers!Q28+2*Suppliers_stock_balance!L5</f>
        <v/>
      </c>
      <c r="M70" s="21">
        <f>3*Suppliers!R28+2*Suppliers_stock_balance!M5</f>
        <v/>
      </c>
      <c r="N70" s="21">
        <f>3*Suppliers!S28+2*Suppliers_stock_balance!N5</f>
        <v/>
      </c>
      <c r="O70" s="21">
        <f>3*Suppliers!T28+2*Suppliers_stock_balance!O5</f>
        <v/>
      </c>
      <c r="P70" s="21">
        <f>3*Suppliers!U28+2*Suppliers_stock_balance!P5</f>
        <v/>
      </c>
      <c r="Q70" s="21">
        <f>3*Suppliers!V28+2*Suppliers_stock_balance!Q5</f>
        <v/>
      </c>
      <c r="R70" s="21">
        <f>3*Suppliers!W28+2*Suppliers_stock_balance!R5</f>
        <v/>
      </c>
    </row>
    <row r="71">
      <c r="C71" s="15" t="n">
        <v>3</v>
      </c>
      <c r="D71" s="21">
        <f>3*Suppliers!I29+2*Suppliers_stock_balance!D6</f>
        <v/>
      </c>
      <c r="E71" s="21">
        <f>3*Suppliers!J29+2*Suppliers_stock_balance!E6</f>
        <v/>
      </c>
      <c r="F71" s="21">
        <f>3*Suppliers!K29+2*Suppliers_stock_balance!F6</f>
        <v/>
      </c>
      <c r="G71" s="21">
        <f>3*Suppliers!L29+2*Suppliers_stock_balance!G6</f>
        <v/>
      </c>
      <c r="H71" s="21">
        <f>3*Suppliers!M29+2*Suppliers_stock_balance!H6</f>
        <v/>
      </c>
      <c r="I71" s="21">
        <f>3*Suppliers!N29+2*Suppliers_stock_balance!I6</f>
        <v/>
      </c>
      <c r="J71" s="21">
        <f>3*Suppliers!O29+2*Suppliers_stock_balance!J6</f>
        <v/>
      </c>
      <c r="K71" s="21">
        <f>3*Suppliers!P29+2*Suppliers_stock_balance!K6</f>
        <v/>
      </c>
      <c r="L71" s="21">
        <f>3*Suppliers!Q29+2*Suppliers_stock_balance!L6</f>
        <v/>
      </c>
      <c r="M71" s="21">
        <f>3*Suppliers!R29+2*Suppliers_stock_balance!M6</f>
        <v/>
      </c>
      <c r="N71" s="21">
        <f>3*Suppliers!S29+2*Suppliers_stock_balance!N6</f>
        <v/>
      </c>
      <c r="O71" s="21">
        <f>3*Suppliers!T29+2*Suppliers_stock_balance!O6</f>
        <v/>
      </c>
      <c r="P71" s="21">
        <f>3*Suppliers!U29+2*Suppliers_stock_balance!P6</f>
        <v/>
      </c>
      <c r="Q71" s="21">
        <f>3*Suppliers!V29+2*Suppliers_stock_balance!Q6</f>
        <v/>
      </c>
      <c r="R71" s="21">
        <f>3*Suppliers!W29+2*Suppliers_stock_balance!R6</f>
        <v/>
      </c>
    </row>
    <row r="72">
      <c r="C72" s="15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</row>
    <row r="74">
      <c r="C74" s="18" t="inlineStr">
        <is>
          <t>S0</t>
        </is>
      </c>
      <c r="D74" s="15" t="n">
        <v>1</v>
      </c>
      <c r="E74" s="15" t="n">
        <v>2</v>
      </c>
      <c r="F74" s="15" t="n">
        <v>3</v>
      </c>
      <c r="G74" s="15" t="n">
        <v>4</v>
      </c>
      <c r="H74" s="15" t="n">
        <v>5</v>
      </c>
      <c r="I74" s="15" t="n">
        <v>6</v>
      </c>
      <c r="J74" s="15" t="n">
        <v>7</v>
      </c>
      <c r="K74" s="15" t="n">
        <v>8</v>
      </c>
      <c r="L74" s="15" t="n">
        <v>9</v>
      </c>
      <c r="M74" s="15" t="n">
        <v>10</v>
      </c>
      <c r="N74" s="15" t="n">
        <v>11</v>
      </c>
      <c r="O74" s="15" t="n">
        <v>12</v>
      </c>
      <c r="P74" s="15" t="n">
        <v>13</v>
      </c>
      <c r="Q74" s="15" t="n">
        <v>14</v>
      </c>
      <c r="R74" s="15" t="n">
        <v>15</v>
      </c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</row>
    <row r="75">
      <c r="C75" s="15" t="n">
        <v>1</v>
      </c>
      <c r="D75" s="21">
        <f>Suppliers_Cap!D33</f>
        <v/>
      </c>
      <c r="E75" s="21">
        <f>Suppliers_Cap!E33</f>
        <v/>
      </c>
      <c r="F75" s="21">
        <f>Suppliers_Cap!F33</f>
        <v/>
      </c>
      <c r="G75" s="21">
        <f>Suppliers_Cap!G33</f>
        <v/>
      </c>
      <c r="H75" s="21">
        <f>Suppliers_Cap!H33</f>
        <v/>
      </c>
      <c r="I75" s="21">
        <f>Suppliers_Cap!I33</f>
        <v/>
      </c>
      <c r="J75" s="21">
        <f>Suppliers_Cap!J33</f>
        <v/>
      </c>
      <c r="K75" s="21">
        <f>Suppliers_Cap!K33</f>
        <v/>
      </c>
      <c r="L75" s="21">
        <f>Suppliers_Cap!L33</f>
        <v/>
      </c>
      <c r="M75" s="21">
        <f>Suppliers_Cap!M33</f>
        <v/>
      </c>
      <c r="N75" s="21">
        <f>Suppliers_Cap!N33</f>
        <v/>
      </c>
      <c r="O75" s="21">
        <f>Suppliers_Cap!O33</f>
        <v/>
      </c>
      <c r="P75" s="21">
        <f>Suppliers_Cap!P33</f>
        <v/>
      </c>
      <c r="Q75" s="21">
        <f>Suppliers_Cap!Q33</f>
        <v/>
      </c>
      <c r="R75" s="21">
        <f>Suppliers_Cap!R33</f>
        <v/>
      </c>
      <c r="S75" s="69">
        <f>MAX(D75:R75)</f>
        <v/>
      </c>
      <c r="AI75" s="72" t="n"/>
    </row>
    <row r="76">
      <c r="C76" s="15" t="n">
        <v>2</v>
      </c>
      <c r="D76" s="21">
        <f>Suppliers_Cap!D34</f>
        <v/>
      </c>
      <c r="E76" s="21">
        <f>Suppliers_Cap!E34</f>
        <v/>
      </c>
      <c r="F76" s="21">
        <f>Suppliers_Cap!F34</f>
        <v/>
      </c>
      <c r="G76" s="21">
        <f>Suppliers_Cap!G34</f>
        <v/>
      </c>
      <c r="H76" s="21">
        <f>Suppliers_Cap!H34</f>
        <v/>
      </c>
      <c r="I76" s="21">
        <f>Suppliers_Cap!I34</f>
        <v/>
      </c>
      <c r="J76" s="21">
        <f>Suppliers_Cap!J34</f>
        <v/>
      </c>
      <c r="K76" s="21">
        <f>Suppliers_Cap!K34</f>
        <v/>
      </c>
      <c r="L76" s="21">
        <f>Suppliers_Cap!L34</f>
        <v/>
      </c>
      <c r="M76" s="21">
        <f>Suppliers_Cap!M34</f>
        <v/>
      </c>
      <c r="N76" s="21">
        <f>Suppliers_Cap!N34</f>
        <v/>
      </c>
      <c r="O76" s="21">
        <f>Suppliers_Cap!O34</f>
        <v/>
      </c>
      <c r="P76" s="21">
        <f>Suppliers_Cap!P34</f>
        <v/>
      </c>
      <c r="Q76" s="21">
        <f>Suppliers_Cap!Q34</f>
        <v/>
      </c>
      <c r="R76" s="21">
        <f>Suppliers_Cap!R34</f>
        <v/>
      </c>
      <c r="S76" s="69">
        <f>MAX(D76:R76)</f>
        <v/>
      </c>
      <c r="AI76" s="72" t="n"/>
    </row>
    <row r="77">
      <c r="C77" s="15" t="n">
        <v>3</v>
      </c>
      <c r="D77" s="21">
        <f>Suppliers_Cap!D35</f>
        <v/>
      </c>
      <c r="E77" s="21">
        <f>Suppliers_Cap!E35</f>
        <v/>
      </c>
      <c r="F77" s="21">
        <f>Suppliers_Cap!F35</f>
        <v/>
      </c>
      <c r="G77" s="21">
        <f>Suppliers_Cap!G35</f>
        <v/>
      </c>
      <c r="H77" s="21">
        <f>Suppliers_Cap!H35</f>
        <v/>
      </c>
      <c r="I77" s="21">
        <f>Suppliers_Cap!I35</f>
        <v/>
      </c>
      <c r="J77" s="21">
        <f>Suppliers_Cap!J35</f>
        <v/>
      </c>
      <c r="K77" s="21">
        <f>Suppliers_Cap!K35</f>
        <v/>
      </c>
      <c r="L77" s="21">
        <f>Suppliers_Cap!L35</f>
        <v/>
      </c>
      <c r="M77" s="21">
        <f>Suppliers_Cap!M35</f>
        <v/>
      </c>
      <c r="N77" s="21">
        <f>Suppliers_Cap!N35</f>
        <v/>
      </c>
      <c r="O77" s="21">
        <f>Suppliers_Cap!O35</f>
        <v/>
      </c>
      <c r="P77" s="21">
        <f>Suppliers_Cap!P35</f>
        <v/>
      </c>
      <c r="Q77" s="21">
        <f>Suppliers_Cap!Q35</f>
        <v/>
      </c>
      <c r="R77" s="21">
        <f>Suppliers_Cap!R35</f>
        <v/>
      </c>
      <c r="S77" s="69">
        <f>MAX(D77:R77)</f>
        <v/>
      </c>
      <c r="AI77" s="72" t="n"/>
    </row>
    <row r="80">
      <c r="B80" s="18" t="inlineStr">
        <is>
          <t>Min Rep</t>
        </is>
      </c>
      <c r="C80" s="18" t="inlineStr">
        <is>
          <t>2*ELTw-RunOutTimew</t>
        </is>
      </c>
      <c r="D80" s="21">
        <f>IF(D63&lt;0,"Inesgotável",(2*D4-D63))</f>
        <v/>
      </c>
      <c r="E80" s="21">
        <f>IF(E63&lt;0,"Inesgotável",(2*E4-E63))</f>
        <v/>
      </c>
      <c r="F80" s="21">
        <f>IF(F63&lt;0,"Inesgotável",(2*F4-F63))</f>
        <v/>
      </c>
      <c r="G80" s="21">
        <f>IF(G63&lt;0,"Inesgotável",(2*G4-G63))</f>
        <v/>
      </c>
      <c r="H80" s="21">
        <f>IF(H63&lt;0,"Inesgotável",(2*H4-H63))</f>
        <v/>
      </c>
      <c r="I80" s="21">
        <f>IF(I63&lt;0,"Inesgotável",(2*I4-I63))</f>
        <v/>
      </c>
      <c r="J80" s="21">
        <f>IF(J63&lt;0,"Inesgotável",(2*J4-J63))</f>
        <v/>
      </c>
      <c r="K80" s="21">
        <f>IF(K63&lt;0,"Inesgotável",(2*K4-K63))</f>
        <v/>
      </c>
      <c r="L80" s="21">
        <f>IF(L63&lt;0,"Inesgotável",(2*L4-L63))</f>
        <v/>
      </c>
      <c r="M80" s="21">
        <f>IF(M63&lt;0,"Inesgotável",(2*M4-M63))</f>
        <v/>
      </c>
      <c r="N80" s="21">
        <f>IF(N63&lt;0,"Inesgotável",(2*N4-N63))</f>
        <v/>
      </c>
      <c r="O80" s="21">
        <f>IF(O63&lt;0,"Inesgotável",(2*O4-O63))</f>
        <v/>
      </c>
      <c r="P80" s="21">
        <f>IF(P63&lt;0,"Inesgotável",(2*P4-P63))</f>
        <v/>
      </c>
      <c r="Q80" s="21">
        <f>IF(Q63&lt;0,"Inesgotável",(2*Q4-Q63))</f>
        <v/>
      </c>
      <c r="R80" s="21">
        <f>IF(R63&lt;0,"Inesgotável",(2*R4-R63))</f>
        <v/>
      </c>
      <c r="AJ80" s="58" t="n"/>
    </row>
    <row r="81">
      <c r="D81" s="21">
        <f>IF(D64&lt;0,"Inesgotável",(2*D5-D64))</f>
        <v/>
      </c>
      <c r="E81" s="21">
        <f>IF(E64&lt;0,"Inesgotável",(2*E5-E64))</f>
        <v/>
      </c>
      <c r="F81" s="21">
        <f>IF(F64&lt;0,"Inesgotável",(2*F5-F64))</f>
        <v/>
      </c>
      <c r="G81" s="21">
        <f>IF(G64&lt;0,"Inesgotável",(2*G5-G64))</f>
        <v/>
      </c>
      <c r="H81" s="21">
        <f>IF(H64&lt;0,"Inesgotável",(2*H5-H64))</f>
        <v/>
      </c>
      <c r="I81" s="21">
        <f>IF(I64&lt;0,"Inesgotável",(2*I5-I64))</f>
        <v/>
      </c>
      <c r="J81" s="21">
        <f>IF(J64&lt;0,"Inesgotável",(2*J5-J64))</f>
        <v/>
      </c>
      <c r="K81" s="21">
        <f>IF(K64&lt;0,"Inesgotável",(2*K5-K64))</f>
        <v/>
      </c>
      <c r="L81" s="21">
        <f>IF(L64&lt;0,"Inesgotável",(2*L5-L64))</f>
        <v/>
      </c>
      <c r="M81" s="21">
        <f>IF(M64&lt;0,"Inesgotável",(2*M5-M64))</f>
        <v/>
      </c>
      <c r="N81" s="21">
        <f>IF(N64&lt;0,"Inesgotável",(2*N5-N64))</f>
        <v/>
      </c>
      <c r="O81" s="21">
        <f>IF(O64&lt;0,"Inesgotável",(2*O5-O64))</f>
        <v/>
      </c>
      <c r="P81" s="21">
        <f>IF(P64&lt;0,"Inesgotável",(2*P5-P64))</f>
        <v/>
      </c>
      <c r="Q81" s="21">
        <f>IF(Q64&lt;0,"Inesgotável",(2*Q5-Q64))</f>
        <v/>
      </c>
      <c r="R81" s="21">
        <f>IF(R64&lt;0,"Inesgotável",(2*R5-R64))</f>
        <v/>
      </c>
      <c r="AJ81" s="58" t="n"/>
    </row>
    <row r="82">
      <c r="D82" s="21">
        <f>IF(D65&lt;0,"Inesgotável",(2*D6-D65))</f>
        <v/>
      </c>
      <c r="E82" s="21">
        <f>IF(E65&lt;0,"Inesgotável",(2*E6-E65))</f>
        <v/>
      </c>
      <c r="F82" s="21">
        <f>IF(F65&lt;0,"Inesgotável",(2*F6-F65))</f>
        <v/>
      </c>
      <c r="G82" s="21">
        <f>IF(G65&lt;0,"Inesgotável",(2*G6-G65))</f>
        <v/>
      </c>
      <c r="H82" s="21">
        <f>IF(H65&lt;0,"Inesgotável",(2*H6-H65))</f>
        <v/>
      </c>
      <c r="I82" s="21">
        <f>IF(I65&lt;0,"Inesgotável",(2*I6-I65))</f>
        <v/>
      </c>
      <c r="J82" s="21">
        <f>IF(J65&lt;0,"Inesgotável",(2*J6-J65))</f>
        <v/>
      </c>
      <c r="K82" s="21">
        <f>IF(K65&lt;0,"Inesgotável",(2*K6-K65))</f>
        <v/>
      </c>
      <c r="L82" s="21">
        <f>IF(L65&lt;0,"Inesgotável",(2*L6-L65))</f>
        <v/>
      </c>
      <c r="M82" s="21">
        <f>IF(M65&lt;0,"Inesgotável",(2*M6-M65))</f>
        <v/>
      </c>
      <c r="N82" s="21">
        <f>IF(N65&lt;0,"Inesgotável",(2*N6-N65))</f>
        <v/>
      </c>
      <c r="O82" s="21">
        <f>IF(O65&lt;0,"Inesgotável",(2*O6-O65))</f>
        <v/>
      </c>
      <c r="P82" s="21">
        <f>IF(P65&lt;0,"Inesgotável",(2*P6-P65))</f>
        <v/>
      </c>
      <c r="Q82" s="21">
        <f>IF(Q65&lt;0,"Inesgotável",(2*Q6-Q65))</f>
        <v/>
      </c>
      <c r="R82" s="21">
        <f>IF(R65&lt;0,"Inesgotável",(2*R6-R65))</f>
        <v/>
      </c>
      <c r="AJ82" s="58" t="n"/>
    </row>
    <row r="85">
      <c r="C85" s="15" t="inlineStr">
        <is>
          <t>SigmaELTw</t>
        </is>
      </c>
      <c r="D85" s="15" t="n">
        <v>1</v>
      </c>
      <c r="E85" s="15" t="n">
        <v>2</v>
      </c>
      <c r="F85" s="15" t="n">
        <v>3</v>
      </c>
      <c r="G85" s="15" t="n">
        <v>4</v>
      </c>
      <c r="H85" s="15" t="n">
        <v>5</v>
      </c>
      <c r="I85" s="15" t="n">
        <v>6</v>
      </c>
      <c r="J85" s="15" t="n">
        <v>7</v>
      </c>
      <c r="K85" s="15" t="n">
        <v>8</v>
      </c>
      <c r="L85" s="15" t="n">
        <v>9</v>
      </c>
      <c r="M85" s="15" t="n">
        <v>10</v>
      </c>
      <c r="N85" s="15" t="n">
        <v>11</v>
      </c>
      <c r="O85" s="15" t="n">
        <v>12</v>
      </c>
      <c r="P85" s="15" t="n">
        <v>13</v>
      </c>
      <c r="Q85" s="15" t="n">
        <v>14</v>
      </c>
      <c r="R85" s="15" t="n">
        <v>15</v>
      </c>
    </row>
    <row r="86">
      <c r="C86" s="15" t="n">
        <v>1</v>
      </c>
      <c r="D86" s="21">
        <f>Suppliers!I27</f>
        <v/>
      </c>
      <c r="E86" s="21">
        <f>Suppliers!J27</f>
        <v/>
      </c>
      <c r="F86" s="21">
        <f>Suppliers!K27</f>
        <v/>
      </c>
      <c r="G86" s="21">
        <f>Suppliers!L27</f>
        <v/>
      </c>
      <c r="H86" s="21">
        <f>Suppliers!M27</f>
        <v/>
      </c>
      <c r="I86" s="21">
        <f>Suppliers!N27</f>
        <v/>
      </c>
      <c r="J86" s="21">
        <f>Suppliers!O27</f>
        <v/>
      </c>
      <c r="K86" s="21">
        <f>Suppliers!P27</f>
        <v/>
      </c>
      <c r="L86" s="21">
        <f>Suppliers!Q27</f>
        <v/>
      </c>
      <c r="M86" s="21">
        <f>Suppliers!R27</f>
        <v/>
      </c>
      <c r="N86" s="21">
        <f>Suppliers!S27</f>
        <v/>
      </c>
      <c r="O86" s="21">
        <f>Suppliers!T27</f>
        <v/>
      </c>
      <c r="P86" s="21">
        <f>Suppliers!U27</f>
        <v/>
      </c>
      <c r="Q86" s="21">
        <f>Suppliers!V27</f>
        <v/>
      </c>
      <c r="R86" s="21">
        <f>Suppliers!W27</f>
        <v/>
      </c>
    </row>
    <row r="87">
      <c r="C87" s="15" t="n">
        <v>2</v>
      </c>
      <c r="D87" s="21">
        <f>Suppliers!I28</f>
        <v/>
      </c>
      <c r="E87" s="21">
        <f>Suppliers!J28</f>
        <v/>
      </c>
      <c r="F87" s="21">
        <f>Suppliers!K28</f>
        <v/>
      </c>
      <c r="G87" s="21">
        <f>Suppliers!L28</f>
        <v/>
      </c>
      <c r="H87" s="21">
        <f>Suppliers!M28</f>
        <v/>
      </c>
      <c r="I87" s="21">
        <f>Suppliers!N28</f>
        <v/>
      </c>
      <c r="J87" s="21">
        <f>Suppliers!O28</f>
        <v/>
      </c>
      <c r="K87" s="21">
        <f>Suppliers!P28</f>
        <v/>
      </c>
      <c r="L87" s="21">
        <f>Suppliers!Q28</f>
        <v/>
      </c>
      <c r="M87" s="21">
        <f>Suppliers!R28</f>
        <v/>
      </c>
      <c r="N87" s="21">
        <f>Suppliers!S28</f>
        <v/>
      </c>
      <c r="O87" s="21">
        <f>Suppliers!T28</f>
        <v/>
      </c>
      <c r="P87" s="21">
        <f>Suppliers!U28</f>
        <v/>
      </c>
      <c r="Q87" s="21">
        <f>Suppliers!V28</f>
        <v/>
      </c>
      <c r="R87" s="21">
        <f>Suppliers!W28</f>
        <v/>
      </c>
    </row>
    <row r="88">
      <c r="C88" s="15" t="n">
        <v>3</v>
      </c>
      <c r="D88" s="21">
        <f>Suppliers!I29</f>
        <v/>
      </c>
      <c r="E88" s="21">
        <f>Suppliers!J29</f>
        <v/>
      </c>
      <c r="F88" s="21">
        <f>Suppliers!K29</f>
        <v/>
      </c>
      <c r="G88" s="21">
        <f>Suppliers!L29</f>
        <v/>
      </c>
      <c r="H88" s="21">
        <f>Suppliers!M29</f>
        <v/>
      </c>
      <c r="I88" s="21">
        <f>Suppliers!N29</f>
        <v/>
      </c>
      <c r="J88" s="21">
        <f>Suppliers!O29</f>
        <v/>
      </c>
      <c r="K88" s="21">
        <f>Suppliers!P29</f>
        <v/>
      </c>
      <c r="L88" s="21">
        <f>Suppliers!Q29</f>
        <v/>
      </c>
      <c r="M88" s="21">
        <f>Suppliers!R29</f>
        <v/>
      </c>
      <c r="N88" s="21">
        <f>Suppliers!S29</f>
        <v/>
      </c>
      <c r="O88" s="21">
        <f>Suppliers!T29</f>
        <v/>
      </c>
      <c r="P88" s="21">
        <f>Suppliers!U29</f>
        <v/>
      </c>
      <c r="Q88" s="21">
        <f>Suppliers!V29</f>
        <v/>
      </c>
      <c r="R88" s="21">
        <f>Suppliers!W29</f>
        <v/>
      </c>
    </row>
    <row r="91">
      <c r="C91" s="15" t="inlineStr">
        <is>
          <t>vZw</t>
        </is>
      </c>
      <c r="D91" s="15" t="n">
        <v>1</v>
      </c>
      <c r="E91" s="15" t="n">
        <v>2</v>
      </c>
      <c r="F91" s="15" t="n">
        <v>3</v>
      </c>
      <c r="G91" s="15" t="n">
        <v>4</v>
      </c>
      <c r="H91" s="15" t="n">
        <v>5</v>
      </c>
      <c r="I91" s="15" t="n">
        <v>6</v>
      </c>
      <c r="J91" s="15" t="n">
        <v>7</v>
      </c>
      <c r="K91" s="15" t="n">
        <v>8</v>
      </c>
      <c r="L91" s="15" t="n">
        <v>9</v>
      </c>
      <c r="M91" s="15" t="n">
        <v>10</v>
      </c>
      <c r="N91" s="15" t="n">
        <v>11</v>
      </c>
      <c r="O91" s="15" t="n">
        <v>12</v>
      </c>
      <c r="P91" s="15" t="n">
        <v>13</v>
      </c>
      <c r="Q91" s="15" t="n">
        <v>14</v>
      </c>
      <c r="R91" s="15" t="n">
        <v>15</v>
      </c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</row>
    <row r="92">
      <c r="C92" s="15" t="n">
        <v>1</v>
      </c>
      <c r="D92" s="33" t="n">
        <v>0</v>
      </c>
      <c r="E92" s="33" t="n">
        <v>0</v>
      </c>
      <c r="F92" s="33" t="n">
        <v>0</v>
      </c>
      <c r="G92" s="33" t="n">
        <v>0</v>
      </c>
      <c r="H92" s="33" t="n">
        <v>1.155270839171976</v>
      </c>
      <c r="I92" s="33" t="n">
        <v>1.18392567744473</v>
      </c>
      <c r="J92" s="33" t="n">
        <v>0</v>
      </c>
      <c r="K92" s="33" t="n">
        <v>1.176688658185302</v>
      </c>
      <c r="L92" s="33" t="n">
        <v>1.169555580149531</v>
      </c>
      <c r="M92" s="33" t="n">
        <v>0</v>
      </c>
      <c r="N92" s="33" t="n">
        <v>0</v>
      </c>
      <c r="O92" s="33" t="n">
        <v>0</v>
      </c>
      <c r="P92" s="33" t="n">
        <v>1.16283078080852</v>
      </c>
      <c r="Q92" s="33" t="n">
        <v>1.175927332536389</v>
      </c>
      <c r="R92" s="33" t="n">
        <v>1.17406390496377</v>
      </c>
      <c r="T92" s="19" t="n"/>
    </row>
    <row r="93">
      <c r="C93" s="15" t="n">
        <v>2</v>
      </c>
      <c r="D93" s="33" t="n">
        <v>1.162762052598595</v>
      </c>
      <c r="E93" s="33" t="n">
        <v>1.160867213035335</v>
      </c>
      <c r="F93" s="33" t="n">
        <v>0</v>
      </c>
      <c r="G93" s="33" t="n">
        <v>0</v>
      </c>
      <c r="H93" s="33" t="n">
        <v>0</v>
      </c>
      <c r="I93" s="33" t="n">
        <v>1.160217890833668</v>
      </c>
      <c r="J93" s="33" t="n">
        <v>0</v>
      </c>
      <c r="K93" s="33" t="n">
        <v>0</v>
      </c>
      <c r="L93" s="33" t="n">
        <v>0</v>
      </c>
      <c r="M93" s="33" t="n">
        <v>1.167389981151032</v>
      </c>
      <c r="N93" s="33" t="n">
        <v>0</v>
      </c>
      <c r="O93" s="33" t="n">
        <v>1.161409463647541</v>
      </c>
      <c r="P93" s="33" t="n">
        <v>1.161986960997965</v>
      </c>
      <c r="Q93" s="33" t="n">
        <v>1.15619786673718</v>
      </c>
      <c r="R93" s="33" t="n">
        <v>1.162610799930142</v>
      </c>
      <c r="T93" s="19" t="n"/>
    </row>
    <row r="94">
      <c r="C94" s="15" t="n">
        <v>3</v>
      </c>
      <c r="D94" s="33" t="n">
        <v>1.183427442165737</v>
      </c>
      <c r="E94" s="33" t="n">
        <v>0</v>
      </c>
      <c r="F94" s="33" t="n">
        <v>0</v>
      </c>
      <c r="G94" s="33" t="n">
        <v>1.162052299818338</v>
      </c>
      <c r="H94" s="33" t="n">
        <v>0</v>
      </c>
      <c r="I94" s="33" t="n">
        <v>1.195613873356908</v>
      </c>
      <c r="J94" s="33" t="n">
        <v>1.205633453799344</v>
      </c>
      <c r="K94" s="33" t="n">
        <v>0</v>
      </c>
      <c r="L94" s="33" t="n">
        <v>0</v>
      </c>
      <c r="M94" s="33" t="n">
        <v>0</v>
      </c>
      <c r="N94" s="33" t="n">
        <v>1.1871495413391</v>
      </c>
      <c r="O94" s="33" t="n">
        <v>0</v>
      </c>
      <c r="P94" s="33" t="n">
        <v>0</v>
      </c>
      <c r="Q94" s="33" t="n">
        <v>0</v>
      </c>
      <c r="R94" s="33" t="n">
        <v>1.162528104420549</v>
      </c>
      <c r="T94" s="19" t="n"/>
    </row>
    <row r="96">
      <c r="F96" s="69" t="n"/>
    </row>
    <row r="97">
      <c r="C97" s="15" t="inlineStr">
        <is>
          <t>vZw*SigmaELTw</t>
        </is>
      </c>
      <c r="D97" s="15" t="n">
        <v>1</v>
      </c>
      <c r="E97" s="15" t="n">
        <v>2</v>
      </c>
      <c r="F97" s="15" t="n">
        <v>3</v>
      </c>
      <c r="G97" s="15" t="n">
        <v>4</v>
      </c>
      <c r="H97" s="15" t="n">
        <v>5</v>
      </c>
      <c r="I97" s="15" t="n">
        <v>6</v>
      </c>
      <c r="J97" s="15" t="n">
        <v>7</v>
      </c>
      <c r="K97" s="15" t="n">
        <v>8</v>
      </c>
      <c r="L97" s="15" t="n">
        <v>9</v>
      </c>
      <c r="M97" s="15" t="n">
        <v>10</v>
      </c>
      <c r="N97" s="15" t="n">
        <v>11</v>
      </c>
      <c r="O97" s="15" t="n">
        <v>12</v>
      </c>
      <c r="P97" s="15" t="n">
        <v>13</v>
      </c>
      <c r="Q97" s="15" t="n">
        <v>14</v>
      </c>
      <c r="R97" s="15" t="n">
        <v>15</v>
      </c>
    </row>
    <row r="98">
      <c r="C98" s="15" t="n">
        <v>1</v>
      </c>
      <c r="D98" s="21">
        <f>D92*D86</f>
        <v/>
      </c>
      <c r="E98" s="21">
        <f>E92*E86</f>
        <v/>
      </c>
      <c r="F98" s="21">
        <f>F92*F86</f>
        <v/>
      </c>
      <c r="G98" s="21">
        <f>G92*G86</f>
        <v/>
      </c>
      <c r="H98" s="21">
        <f>H92*H86</f>
        <v/>
      </c>
      <c r="I98" s="21">
        <f>I92*I86</f>
        <v/>
      </c>
      <c r="J98" s="21">
        <f>J92*J86</f>
        <v/>
      </c>
      <c r="K98" s="21">
        <f>K92*K86</f>
        <v/>
      </c>
      <c r="L98" s="21">
        <f>L92*L86</f>
        <v/>
      </c>
      <c r="M98" s="21">
        <f>M92*M86</f>
        <v/>
      </c>
      <c r="N98" s="21">
        <f>N92*N86</f>
        <v/>
      </c>
      <c r="O98" s="21">
        <f>O92*O86</f>
        <v/>
      </c>
      <c r="P98" s="21">
        <f>P92*P86</f>
        <v/>
      </c>
      <c r="Q98" s="21">
        <f>Q92*Q86</f>
        <v/>
      </c>
      <c r="R98" s="21">
        <f>R92*R86</f>
        <v/>
      </c>
    </row>
    <row r="99">
      <c r="C99" s="15" t="n">
        <v>2</v>
      </c>
      <c r="D99" s="21">
        <f>D93*D87</f>
        <v/>
      </c>
      <c r="E99" s="21">
        <f>E93*E87</f>
        <v/>
      </c>
      <c r="F99" s="21">
        <f>F93*F87</f>
        <v/>
      </c>
      <c r="G99" s="21">
        <f>G93*G87</f>
        <v/>
      </c>
      <c r="H99" s="21">
        <f>H93*H87</f>
        <v/>
      </c>
      <c r="I99" s="21">
        <f>I93*I87</f>
        <v/>
      </c>
      <c r="J99" s="21">
        <f>J93*J87</f>
        <v/>
      </c>
      <c r="K99" s="21">
        <f>K93*K87</f>
        <v/>
      </c>
      <c r="L99" s="21">
        <f>L93*L87</f>
        <v/>
      </c>
      <c r="M99" s="21">
        <f>M93*M87</f>
        <v/>
      </c>
      <c r="N99" s="21">
        <f>N93*N87</f>
        <v/>
      </c>
      <c r="O99" s="21">
        <f>O93*O87</f>
        <v/>
      </c>
      <c r="P99" s="21">
        <f>P93*P87</f>
        <v/>
      </c>
      <c r="Q99" s="21">
        <f>Q93*Q87</f>
        <v/>
      </c>
      <c r="R99" s="21">
        <f>R93*R87</f>
        <v/>
      </c>
    </row>
    <row r="100">
      <c r="C100" s="15" t="n">
        <v>3</v>
      </c>
      <c r="D100" s="21">
        <f>D94*D88</f>
        <v/>
      </c>
      <c r="E100" s="21">
        <f>E94*E88</f>
        <v/>
      </c>
      <c r="F100" s="21">
        <f>F94*F88</f>
        <v/>
      </c>
      <c r="G100" s="21">
        <f>G94*G88</f>
        <v/>
      </c>
      <c r="H100" s="21">
        <f>H94*H88</f>
        <v/>
      </c>
      <c r="I100" s="21">
        <f>I94*I88</f>
        <v/>
      </c>
      <c r="J100" s="21">
        <f>J94*J88</f>
        <v/>
      </c>
      <c r="K100" s="21">
        <f>K94*K88</f>
        <v/>
      </c>
      <c r="L100" s="21">
        <f>L94*L88</f>
        <v/>
      </c>
      <c r="M100" s="21">
        <f>M94*M88</f>
        <v/>
      </c>
      <c r="N100" s="21">
        <f>N94*N88</f>
        <v/>
      </c>
      <c r="O100" s="21">
        <f>O94*O88</f>
        <v/>
      </c>
      <c r="P100" s="21">
        <f>P94*P88</f>
        <v/>
      </c>
      <c r="Q100" s="21">
        <f>Q94*Q88</f>
        <v/>
      </c>
      <c r="R100" s="21">
        <f>R94*R88</f>
        <v/>
      </c>
    </row>
    <row r="103">
      <c r="C103" s="15" t="inlineStr">
        <is>
          <t>RunOutTimew - ELTw</t>
        </is>
      </c>
      <c r="D103" s="15" t="n">
        <v>1</v>
      </c>
      <c r="E103" s="15" t="n">
        <v>2</v>
      </c>
      <c r="F103" s="15" t="n">
        <v>3</v>
      </c>
      <c r="G103" s="15" t="n">
        <v>4</v>
      </c>
      <c r="H103" s="15" t="n">
        <v>5</v>
      </c>
      <c r="I103" s="15" t="n">
        <v>6</v>
      </c>
      <c r="J103" s="15" t="n">
        <v>7</v>
      </c>
      <c r="K103" s="15" t="n">
        <v>8</v>
      </c>
      <c r="L103" s="15" t="n">
        <v>9</v>
      </c>
      <c r="M103" s="15" t="n">
        <v>10</v>
      </c>
      <c r="N103" s="15" t="n">
        <v>11</v>
      </c>
      <c r="O103" s="15" t="n">
        <v>12</v>
      </c>
      <c r="P103" s="15" t="n">
        <v>13</v>
      </c>
      <c r="Q103" s="15" t="n">
        <v>14</v>
      </c>
      <c r="R103" s="15" t="n">
        <v>15</v>
      </c>
    </row>
    <row r="104">
      <c r="C104" s="15" t="n">
        <v>1</v>
      </c>
      <c r="D104" s="21">
        <f>IF(D63&lt;0,"inexhaustible",D63-D4)</f>
        <v/>
      </c>
      <c r="E104" s="21">
        <f>IF(E63&lt;0,"inexhaustible",E63-E4)</f>
        <v/>
      </c>
      <c r="F104" s="21">
        <f>IF(F63&lt;0,"inexhaustible",F63-F4)</f>
        <v/>
      </c>
      <c r="G104" s="21">
        <f>IF(G63&lt;0,"inexhaustible",G63-G4)</f>
        <v/>
      </c>
      <c r="H104" s="21">
        <f>IF(H63&lt;0,"inexhaustible",H63-H4)</f>
        <v/>
      </c>
      <c r="I104" s="21">
        <f>IF(I63&lt;0,"inexhaustible",I63-I4)</f>
        <v/>
      </c>
      <c r="J104" s="21">
        <f>IF(J63&lt;0,"inexhaustible",J63-J4)</f>
        <v/>
      </c>
      <c r="K104" s="21">
        <f>IF(K63&lt;0,"inexhaustible",K63-K4)</f>
        <v/>
      </c>
      <c r="L104" s="21">
        <f>IF(L63&lt;0,"inexhaustible",L63-L4)</f>
        <v/>
      </c>
      <c r="M104" s="21">
        <f>IF(M63&lt;0,"inexhaustible",M63-M4)</f>
        <v/>
      </c>
      <c r="N104" s="21">
        <f>IF(N63&lt;0,"inexhaustible",N63-N4)</f>
        <v/>
      </c>
      <c r="O104" s="21">
        <f>IF(O63&lt;0,"inexhaustible",O63-O4)</f>
        <v/>
      </c>
      <c r="P104" s="21">
        <f>IF(P63&lt;0,"inexhaustible",P63-P4)</f>
        <v/>
      </c>
      <c r="Q104" s="21">
        <f>IF(Q63&lt;0,"inexhaustible",Q63-Q4)</f>
        <v/>
      </c>
      <c r="R104" s="21">
        <f>IF(R63&lt;0,"inexhaustible",R63-R4)</f>
        <v/>
      </c>
    </row>
    <row r="105">
      <c r="C105" s="15" t="n">
        <v>2</v>
      </c>
      <c r="D105" s="21">
        <f>IF(D64&lt;0,"inexhaustible",D64-D5)</f>
        <v/>
      </c>
      <c r="E105" s="21">
        <f>IF(E64&lt;0,"inexhaustible",E64-E5)</f>
        <v/>
      </c>
      <c r="F105" s="21">
        <f>IF(F64&lt;0,"inexhaustible",F64-F5)</f>
        <v/>
      </c>
      <c r="G105" s="21">
        <f>IF(G64&lt;0,"inexhaustible",G64-G5)</f>
        <v/>
      </c>
      <c r="H105" s="21">
        <f>IF(H64&lt;0,"inexhaustible",H64-H5)</f>
        <v/>
      </c>
      <c r="I105" s="21">
        <f>IF(I64&lt;0,"inexhaustible",I64-I5)</f>
        <v/>
      </c>
      <c r="J105" s="21">
        <f>IF(J64&lt;0,"inexhaustible",J64-J5)</f>
        <v/>
      </c>
      <c r="K105" s="21">
        <f>IF(K64&lt;0,"inexhaustible",K64-K5)</f>
        <v/>
      </c>
      <c r="L105" s="21">
        <f>IF(L64&lt;0,"inexhaustible",L64-L5)</f>
        <v/>
      </c>
      <c r="M105" s="21">
        <f>IF(M64&lt;0,"inexhaustible",M64-M5)</f>
        <v/>
      </c>
      <c r="N105" s="21">
        <f>IF(N64&lt;0,"inexhaustible",N64-N5)</f>
        <v/>
      </c>
      <c r="O105" s="21">
        <f>IF(O64&lt;0,"inexhaustible",O64-O5)</f>
        <v/>
      </c>
      <c r="P105" s="21">
        <f>IF(P64&lt;0,"inexhaustible",P64-P5)</f>
        <v/>
      </c>
      <c r="Q105" s="21">
        <f>IF(Q64&lt;0,"inexhaustible",Q64-Q5)</f>
        <v/>
      </c>
      <c r="R105" s="21">
        <f>IF(R64&lt;0,"inexhaustible",R64-R5)</f>
        <v/>
      </c>
    </row>
    <row r="106">
      <c r="C106" s="15" t="n">
        <v>3</v>
      </c>
      <c r="D106" s="21">
        <f>IF(D65&lt;0,"inexhaustible",D65-D6)</f>
        <v/>
      </c>
      <c r="E106" s="21">
        <f>IF(E65&lt;0,"inexhaustible",E65-E6)</f>
        <v/>
      </c>
      <c r="F106" s="21">
        <f>IF(F65&lt;0,"inexhaustible",F65-F6)</f>
        <v/>
      </c>
      <c r="G106" s="21">
        <f>IF(G65&lt;0,"inexhaustible",G65-G6)</f>
        <v/>
      </c>
      <c r="H106" s="21">
        <f>IF(H65&lt;0,"inexhaustible",H65-H6)</f>
        <v/>
      </c>
      <c r="I106" s="21">
        <f>IF(I65&lt;0,"inexhaustible",I65-I6)</f>
        <v/>
      </c>
      <c r="J106" s="21">
        <f>IF(J65&lt;0,"inexhaustible",J65-J6)</f>
        <v/>
      </c>
      <c r="K106" s="21">
        <f>IF(K65&lt;0,"inexhaustible",K65-K6)</f>
        <v/>
      </c>
      <c r="L106" s="21">
        <f>IF(L65&lt;0,"inexhaustible",L65-L6)</f>
        <v/>
      </c>
      <c r="M106" s="21">
        <f>IF(M65&lt;0,"inexhaustible",M65-M6)</f>
        <v/>
      </c>
      <c r="N106" s="21">
        <f>IF(N65&lt;0,"inexhaustible",N65-N6)</f>
        <v/>
      </c>
      <c r="O106" s="21">
        <f>IF(O65&lt;0,"inexhaustible",O65-O6)</f>
        <v/>
      </c>
      <c r="P106" s="21">
        <f>IF(P65&lt;0,"inexhaustible",P65-P6)</f>
        <v/>
      </c>
      <c r="Q106" s="21">
        <f>IF(Q65&lt;0,"inexhaustible",Q65-Q6)</f>
        <v/>
      </c>
      <c r="R106" s="21">
        <f>IF(R65&lt;0,"inexhaustible",R65-R6)</f>
        <v/>
      </c>
    </row>
    <row r="109">
      <c r="C109" s="18" t="inlineStr">
        <is>
          <t>bOmega1w</t>
        </is>
      </c>
      <c r="D109" s="15" t="n">
        <v>1</v>
      </c>
      <c r="E109" s="15" t="n">
        <v>2</v>
      </c>
      <c r="F109" s="15" t="n">
        <v>3</v>
      </c>
      <c r="G109" s="15" t="n">
        <v>4</v>
      </c>
      <c r="H109" s="15" t="n">
        <v>5</v>
      </c>
      <c r="I109" s="15" t="n">
        <v>6</v>
      </c>
      <c r="J109" s="15" t="n">
        <v>7</v>
      </c>
      <c r="K109" s="15" t="n">
        <v>8</v>
      </c>
      <c r="L109" s="15" t="n">
        <v>9</v>
      </c>
      <c r="M109" s="15" t="n">
        <v>10</v>
      </c>
      <c r="N109" s="15" t="n">
        <v>11</v>
      </c>
      <c r="O109" s="15" t="n">
        <v>12</v>
      </c>
      <c r="P109" s="15" t="n">
        <v>13</v>
      </c>
      <c r="Q109" s="15" t="n">
        <v>14</v>
      </c>
      <c r="R109" s="15" t="n">
        <v>15</v>
      </c>
    </row>
    <row r="110">
      <c r="C110" s="15" t="n">
        <v>1</v>
      </c>
      <c r="D110" s="27" t="n">
        <v>0</v>
      </c>
      <c r="E110" s="27" t="n">
        <v>0</v>
      </c>
      <c r="F110" s="27" t="n">
        <v>0</v>
      </c>
      <c r="G110" s="27" t="n">
        <v>0</v>
      </c>
      <c r="H110" s="27" t="n">
        <v>1</v>
      </c>
      <c r="I110" s="27" t="n">
        <v>0</v>
      </c>
      <c r="J110" s="27" t="n">
        <v>0</v>
      </c>
      <c r="K110" s="27" t="n">
        <v>1</v>
      </c>
      <c r="L110" s="27" t="n">
        <v>1</v>
      </c>
      <c r="M110" s="27" t="n">
        <v>0</v>
      </c>
      <c r="N110" s="27" t="n">
        <v>0</v>
      </c>
      <c r="O110" s="27" t="n">
        <v>0</v>
      </c>
      <c r="P110" s="27" t="n">
        <v>1</v>
      </c>
      <c r="Q110" s="27" t="n">
        <v>0</v>
      </c>
      <c r="R110" s="27" t="n">
        <v>0</v>
      </c>
    </row>
    <row r="111">
      <c r="C111" s="15" t="n">
        <v>2</v>
      </c>
      <c r="D111" s="27" t="n">
        <v>1</v>
      </c>
      <c r="E111" s="27" t="n">
        <v>1</v>
      </c>
      <c r="F111" s="27" t="n">
        <v>0</v>
      </c>
      <c r="G111" s="27" t="n">
        <v>0</v>
      </c>
      <c r="H111" s="27" t="n">
        <v>0</v>
      </c>
      <c r="I111" s="27" t="n">
        <v>1</v>
      </c>
      <c r="J111" s="27" t="n">
        <v>0</v>
      </c>
      <c r="K111" s="27" t="n">
        <v>0</v>
      </c>
      <c r="L111" s="27" t="n">
        <v>0</v>
      </c>
      <c r="M111" s="27" t="n">
        <v>1</v>
      </c>
      <c r="N111" s="27" t="n">
        <v>0</v>
      </c>
      <c r="O111" s="27" t="n">
        <v>0</v>
      </c>
      <c r="P111" s="27" t="n">
        <v>1</v>
      </c>
      <c r="Q111" s="27" t="n">
        <v>1</v>
      </c>
      <c r="R111" s="27" t="n">
        <v>1</v>
      </c>
    </row>
    <row r="112">
      <c r="C112" s="15" t="n">
        <v>3</v>
      </c>
      <c r="D112" s="27" t="n">
        <v>0</v>
      </c>
      <c r="E112" s="27" t="n">
        <v>0</v>
      </c>
      <c r="F112" s="27" t="n">
        <v>0</v>
      </c>
      <c r="G112" s="27" t="n">
        <v>1</v>
      </c>
      <c r="H112" s="27" t="n">
        <v>0</v>
      </c>
      <c r="I112" s="27" t="n">
        <v>0</v>
      </c>
      <c r="J112" s="27" t="n">
        <v>0</v>
      </c>
      <c r="K112" s="27" t="n">
        <v>0</v>
      </c>
      <c r="L112" s="27" t="n">
        <v>0</v>
      </c>
      <c r="M112" s="27" t="n">
        <v>0</v>
      </c>
      <c r="N112" s="27" t="n">
        <v>0</v>
      </c>
      <c r="O112" s="27" t="n">
        <v>0</v>
      </c>
      <c r="P112" s="27" t="n">
        <v>0</v>
      </c>
      <c r="Q112" s="27" t="n">
        <v>0</v>
      </c>
      <c r="R112" s="27" t="n">
        <v>1</v>
      </c>
    </row>
    <row r="115">
      <c r="C115" s="18" t="inlineStr">
        <is>
          <t>bOmega2w</t>
        </is>
      </c>
      <c r="D115" s="15" t="n">
        <v>1</v>
      </c>
      <c r="E115" s="15" t="n">
        <v>2</v>
      </c>
      <c r="F115" s="15" t="n">
        <v>3</v>
      </c>
      <c r="G115" s="15" t="n">
        <v>4</v>
      </c>
      <c r="H115" s="15" t="n">
        <v>5</v>
      </c>
      <c r="I115" s="15" t="n">
        <v>6</v>
      </c>
      <c r="J115" s="15" t="n">
        <v>7</v>
      </c>
      <c r="K115" s="15" t="n">
        <v>8</v>
      </c>
      <c r="L115" s="15" t="n">
        <v>9</v>
      </c>
      <c r="M115" s="15" t="n">
        <v>10</v>
      </c>
      <c r="N115" s="15" t="n">
        <v>11</v>
      </c>
      <c r="O115" s="15" t="n">
        <v>12</v>
      </c>
      <c r="P115" s="15" t="n">
        <v>13</v>
      </c>
      <c r="Q115" s="15" t="n">
        <v>14</v>
      </c>
      <c r="R115" s="15" t="n">
        <v>15</v>
      </c>
    </row>
    <row r="116">
      <c r="C116" s="15" t="n">
        <v>1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1</v>
      </c>
      <c r="I116" s="27" t="n">
        <v>0</v>
      </c>
      <c r="J116" s="27" t="n">
        <v>0</v>
      </c>
      <c r="K116" s="27" t="n">
        <v>0</v>
      </c>
      <c r="L116" s="27" t="n">
        <v>0</v>
      </c>
      <c r="M116" s="27" t="n">
        <v>0</v>
      </c>
      <c r="N116" s="27" t="n">
        <v>0</v>
      </c>
      <c r="O116" s="27" t="n">
        <v>0</v>
      </c>
      <c r="P116" s="27" t="n">
        <v>0</v>
      </c>
      <c r="Q116" s="27" t="n">
        <v>0</v>
      </c>
      <c r="R116" s="27" t="n">
        <v>0</v>
      </c>
    </row>
    <row r="117">
      <c r="C117" s="15" t="n">
        <v>2</v>
      </c>
      <c r="D117" s="27" t="n">
        <v>0</v>
      </c>
      <c r="E117" s="27" t="n">
        <v>1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7" t="n">
        <v>0</v>
      </c>
      <c r="L117" s="27" t="n">
        <v>0</v>
      </c>
      <c r="M117" s="27" t="n">
        <v>0</v>
      </c>
      <c r="N117" s="27" t="n">
        <v>0</v>
      </c>
      <c r="O117" s="27" t="n">
        <v>0</v>
      </c>
      <c r="P117" s="27" t="n">
        <v>1</v>
      </c>
      <c r="Q117" s="27" t="n">
        <v>0</v>
      </c>
      <c r="R117" s="27" t="n">
        <v>0</v>
      </c>
    </row>
    <row r="118">
      <c r="C118" s="15" t="n">
        <v>3</v>
      </c>
      <c r="D118" s="27" t="n">
        <v>0</v>
      </c>
      <c r="E118" s="27" t="n">
        <v>0</v>
      </c>
      <c r="F118" s="27" t="n">
        <v>0</v>
      </c>
      <c r="G118" s="27" t="n">
        <v>1</v>
      </c>
      <c r="H118" s="27" t="n">
        <v>0</v>
      </c>
      <c r="I118" s="27" t="n">
        <v>0</v>
      </c>
      <c r="J118" s="27" t="n">
        <v>0</v>
      </c>
      <c r="K118" s="27" t="n">
        <v>0</v>
      </c>
      <c r="L118" s="27" t="n">
        <v>0</v>
      </c>
      <c r="M118" s="27" t="n">
        <v>0</v>
      </c>
      <c r="N118" s="27" t="n">
        <v>0</v>
      </c>
      <c r="O118" s="27" t="n">
        <v>0</v>
      </c>
      <c r="P118" s="27" t="n">
        <v>0</v>
      </c>
      <c r="Q118" s="27" t="n">
        <v>0</v>
      </c>
      <c r="R118" s="27" t="n">
        <v>0</v>
      </c>
    </row>
    <row r="121">
      <c r="C121" s="18" t="inlineStr">
        <is>
          <t>bOmega3w</t>
        </is>
      </c>
      <c r="D121" s="15" t="n">
        <v>1</v>
      </c>
      <c r="E121" s="15" t="n">
        <v>2</v>
      </c>
      <c r="F121" s="15" t="n">
        <v>3</v>
      </c>
      <c r="G121" s="15" t="n">
        <v>4</v>
      </c>
      <c r="H121" s="15" t="n">
        <v>5</v>
      </c>
      <c r="I121" s="15" t="n">
        <v>6</v>
      </c>
      <c r="J121" s="15" t="n">
        <v>7</v>
      </c>
      <c r="K121" s="15" t="n">
        <v>8</v>
      </c>
      <c r="L121" s="15" t="n">
        <v>9</v>
      </c>
      <c r="M121" s="15" t="n">
        <v>10</v>
      </c>
      <c r="N121" s="15" t="n">
        <v>11</v>
      </c>
      <c r="O121" s="15" t="n">
        <v>12</v>
      </c>
      <c r="P121" s="15" t="n">
        <v>13</v>
      </c>
      <c r="Q121" s="15" t="n">
        <v>14</v>
      </c>
      <c r="R121" s="15" t="n">
        <v>15</v>
      </c>
    </row>
    <row r="122">
      <c r="C122" s="15" t="n">
        <v>1</v>
      </c>
      <c r="D122" s="27" t="n">
        <v>0</v>
      </c>
      <c r="E122" s="27" t="n">
        <v>0</v>
      </c>
      <c r="F122" s="27" t="n">
        <v>0</v>
      </c>
      <c r="G122" s="27" t="n">
        <v>0</v>
      </c>
      <c r="H122" s="27" t="n">
        <v>0</v>
      </c>
      <c r="I122" s="27" t="n">
        <v>1</v>
      </c>
      <c r="J122" s="27" t="n">
        <v>0</v>
      </c>
      <c r="K122" s="27" t="n">
        <v>0</v>
      </c>
      <c r="L122" s="27" t="n">
        <v>0</v>
      </c>
      <c r="M122" s="27" t="n">
        <v>0</v>
      </c>
      <c r="N122" s="27" t="n">
        <v>0</v>
      </c>
      <c r="O122" s="27" t="n">
        <v>0</v>
      </c>
      <c r="P122" s="27" t="n">
        <v>0</v>
      </c>
      <c r="Q122" s="27" t="n">
        <v>1</v>
      </c>
      <c r="R122" s="27" t="n">
        <v>1</v>
      </c>
      <c r="S122" s="19">
        <f>SUM(Suppliers_Omega3)</f>
        <v/>
      </c>
      <c r="T122" s="18" t="n">
        <v>0</v>
      </c>
      <c r="U122" s="18" t="n">
        <v>0</v>
      </c>
      <c r="V122" s="18" t="n">
        <v>0</v>
      </c>
      <c r="W122" s="18" t="n">
        <v>0</v>
      </c>
      <c r="X122" s="18" t="n">
        <v>0</v>
      </c>
      <c r="Y122" s="18" t="n">
        <v>1</v>
      </c>
      <c r="Z122" s="18" t="n">
        <v>0</v>
      </c>
      <c r="AA122" s="18" t="n">
        <v>0</v>
      </c>
      <c r="AB122" s="18" t="n">
        <v>0</v>
      </c>
      <c r="AC122" s="18" t="n">
        <v>0</v>
      </c>
      <c r="AD122" s="18" t="n">
        <v>0</v>
      </c>
      <c r="AE122" s="18" t="n">
        <v>0</v>
      </c>
      <c r="AF122" s="18" t="n">
        <v>0</v>
      </c>
      <c r="AG122" s="18" t="n">
        <v>1</v>
      </c>
      <c r="AH122" s="18" t="n">
        <v>1</v>
      </c>
      <c r="AI122" s="18">
        <f>SUM(T122:AH124)</f>
        <v/>
      </c>
    </row>
    <row r="123">
      <c r="C123" s="15" t="n">
        <v>2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0</v>
      </c>
      <c r="J123" s="27" t="n">
        <v>0</v>
      </c>
      <c r="K123" s="27" t="n">
        <v>0</v>
      </c>
      <c r="L123" s="27" t="n">
        <v>0</v>
      </c>
      <c r="M123" s="27" t="n">
        <v>0</v>
      </c>
      <c r="N123" s="27" t="n">
        <v>0</v>
      </c>
      <c r="O123" s="27" t="n">
        <v>1</v>
      </c>
      <c r="P123" s="27" t="n">
        <v>0</v>
      </c>
      <c r="Q123" s="27" t="n">
        <v>0</v>
      </c>
      <c r="R123" s="27" t="n">
        <v>0</v>
      </c>
      <c r="T123" s="18" t="n">
        <v>0</v>
      </c>
      <c r="U123" s="18" t="n">
        <v>0</v>
      </c>
      <c r="V123" s="18" t="n">
        <v>0</v>
      </c>
      <c r="W123" s="18" t="n">
        <v>0</v>
      </c>
      <c r="X123" s="18" t="n">
        <v>0</v>
      </c>
      <c r="Y123" s="18" t="n">
        <v>0</v>
      </c>
      <c r="Z123" s="18" t="n">
        <v>0</v>
      </c>
      <c r="AA123" s="18" t="n">
        <v>0</v>
      </c>
      <c r="AB123" s="18" t="n">
        <v>0</v>
      </c>
      <c r="AC123" s="18" t="n">
        <v>0</v>
      </c>
      <c r="AD123" s="18" t="n">
        <v>0</v>
      </c>
      <c r="AE123" s="18" t="n">
        <v>1</v>
      </c>
      <c r="AF123" s="18" t="n">
        <v>0</v>
      </c>
      <c r="AG123" s="18" t="n">
        <v>0</v>
      </c>
      <c r="AH123" s="18" t="n">
        <v>0</v>
      </c>
    </row>
    <row r="124">
      <c r="C124" s="15" t="n">
        <v>3</v>
      </c>
      <c r="D124" s="27" t="n">
        <v>1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1</v>
      </c>
      <c r="J124" s="27" t="n">
        <v>1</v>
      </c>
      <c r="K124" s="27" t="n">
        <v>0</v>
      </c>
      <c r="L124" s="27" t="n">
        <v>0</v>
      </c>
      <c r="M124" s="27" t="n">
        <v>0</v>
      </c>
      <c r="N124" s="27" t="n">
        <v>1</v>
      </c>
      <c r="O124" s="27" t="n">
        <v>0</v>
      </c>
      <c r="P124" s="27" t="n">
        <v>0</v>
      </c>
      <c r="Q124" s="27" t="n">
        <v>0</v>
      </c>
      <c r="R124" s="27" t="n">
        <v>0</v>
      </c>
      <c r="T124" s="18" t="n">
        <v>1</v>
      </c>
      <c r="U124" s="18" t="n">
        <v>0</v>
      </c>
      <c r="V124" s="18" t="n">
        <v>0</v>
      </c>
      <c r="W124" s="18" t="n">
        <v>0</v>
      </c>
      <c r="X124" s="18" t="n">
        <v>0</v>
      </c>
      <c r="Y124" s="18" t="n">
        <v>1</v>
      </c>
      <c r="Z124" s="18" t="n">
        <v>1</v>
      </c>
      <c r="AA124" s="18" t="n">
        <v>0</v>
      </c>
      <c r="AB124" s="18" t="n">
        <v>0</v>
      </c>
      <c r="AC124" s="18" t="n">
        <v>0</v>
      </c>
      <c r="AD124" s="18" t="n">
        <v>1</v>
      </c>
      <c r="AE124" s="18" t="n">
        <v>0</v>
      </c>
      <c r="AF124" s="18" t="n">
        <v>0</v>
      </c>
      <c r="AG124" s="18" t="n">
        <v>0</v>
      </c>
      <c r="AH124" s="18" t="n">
        <v>0</v>
      </c>
    </row>
    <row r="127">
      <c r="C127" s="15" t="inlineStr">
        <is>
          <t>3*SigmaELTw</t>
        </is>
      </c>
      <c r="D127" s="15" t="n">
        <v>1</v>
      </c>
      <c r="E127" s="15" t="n">
        <v>2</v>
      </c>
      <c r="F127" s="15" t="n">
        <v>3</v>
      </c>
      <c r="G127" s="15" t="n">
        <v>4</v>
      </c>
      <c r="H127" s="15" t="n">
        <v>5</v>
      </c>
      <c r="I127" s="15" t="n">
        <v>6</v>
      </c>
      <c r="J127" s="15" t="n">
        <v>7</v>
      </c>
      <c r="K127" s="15" t="n">
        <v>8</v>
      </c>
      <c r="L127" s="15" t="n">
        <v>9</v>
      </c>
      <c r="M127" s="15" t="n">
        <v>10</v>
      </c>
      <c r="N127" s="15" t="n">
        <v>11</v>
      </c>
      <c r="O127" s="15" t="n">
        <v>12</v>
      </c>
      <c r="P127" s="15" t="n">
        <v>13</v>
      </c>
      <c r="Q127" s="15" t="n">
        <v>14</v>
      </c>
      <c r="R127" s="15" t="n">
        <v>15</v>
      </c>
    </row>
    <row r="128">
      <c r="C128" s="15" t="n">
        <v>1</v>
      </c>
      <c r="D128" s="69">
        <f>3*D86</f>
        <v/>
      </c>
      <c r="E128" s="69">
        <f>3*E86</f>
        <v/>
      </c>
      <c r="F128" s="69">
        <f>3*F86</f>
        <v/>
      </c>
      <c r="G128" s="69">
        <f>3*G86</f>
        <v/>
      </c>
      <c r="H128" s="69">
        <f>3*H86</f>
        <v/>
      </c>
      <c r="I128" s="69">
        <f>3*I86</f>
        <v/>
      </c>
      <c r="J128" s="69">
        <f>3*J86</f>
        <v/>
      </c>
      <c r="K128" s="69">
        <f>3*K86</f>
        <v/>
      </c>
      <c r="L128" s="69">
        <f>3*L86</f>
        <v/>
      </c>
      <c r="M128" s="69">
        <f>3*M86</f>
        <v/>
      </c>
      <c r="N128" s="69">
        <f>3*N86</f>
        <v/>
      </c>
      <c r="O128" s="69">
        <f>3*O86</f>
        <v/>
      </c>
      <c r="P128" s="69">
        <f>3*P86</f>
        <v/>
      </c>
      <c r="Q128" s="69">
        <f>3*Q86</f>
        <v/>
      </c>
      <c r="R128" s="69">
        <f>3*R86</f>
        <v/>
      </c>
    </row>
    <row r="129">
      <c r="C129" s="15" t="n">
        <v>2</v>
      </c>
      <c r="D129" s="69">
        <f>3*D87</f>
        <v/>
      </c>
      <c r="E129" s="69">
        <f>3*E87</f>
        <v/>
      </c>
      <c r="F129" s="69">
        <f>3*F87</f>
        <v/>
      </c>
      <c r="G129" s="69">
        <f>3*G87</f>
        <v/>
      </c>
      <c r="H129" s="69">
        <f>3*H87</f>
        <v/>
      </c>
      <c r="I129" s="69">
        <f>3*I87</f>
        <v/>
      </c>
      <c r="J129" s="69">
        <f>3*J87</f>
        <v/>
      </c>
      <c r="K129" s="69">
        <f>3*K87</f>
        <v/>
      </c>
      <c r="L129" s="69">
        <f>3*L87</f>
        <v/>
      </c>
      <c r="M129" s="69">
        <f>3*M87</f>
        <v/>
      </c>
      <c r="N129" s="69">
        <f>3*N87</f>
        <v/>
      </c>
      <c r="O129" s="69">
        <f>3*O87</f>
        <v/>
      </c>
      <c r="P129" s="69">
        <f>3*P87</f>
        <v/>
      </c>
      <c r="Q129" s="69">
        <f>3*Q87</f>
        <v/>
      </c>
      <c r="R129" s="69">
        <f>3*R87</f>
        <v/>
      </c>
    </row>
    <row r="130">
      <c r="C130" s="15" t="n">
        <v>3</v>
      </c>
      <c r="D130" s="69">
        <f>3*D88</f>
        <v/>
      </c>
      <c r="E130" s="69">
        <f>3*E88</f>
        <v/>
      </c>
      <c r="F130" s="69">
        <f>3*F88</f>
        <v/>
      </c>
      <c r="G130" s="69">
        <f>3*G88</f>
        <v/>
      </c>
      <c r="H130" s="69">
        <f>3*H88</f>
        <v/>
      </c>
      <c r="I130" s="69">
        <f>3*I88</f>
        <v/>
      </c>
      <c r="J130" s="69">
        <f>3*J88</f>
        <v/>
      </c>
      <c r="K130" s="69">
        <f>3*K88</f>
        <v/>
      </c>
      <c r="L130" s="69">
        <f>3*L88</f>
        <v/>
      </c>
      <c r="M130" s="69">
        <f>3*M88</f>
        <v/>
      </c>
      <c r="N130" s="69">
        <f>3*N88</f>
        <v/>
      </c>
      <c r="O130" s="69">
        <f>3*O88</f>
        <v/>
      </c>
      <c r="P130" s="69">
        <f>3*P88</f>
        <v/>
      </c>
      <c r="Q130" s="69">
        <f>3*Q88</f>
        <v/>
      </c>
      <c r="R130" s="69">
        <f>3*R88</f>
        <v/>
      </c>
    </row>
    <row r="133" ht="28.8" customHeight="1">
      <c r="C133" s="35" t="inlineStr">
        <is>
          <t>(3*SigmaELTw)-(RunOutTimew-ELT)</t>
        </is>
      </c>
      <c r="D133" s="15" t="n">
        <v>1</v>
      </c>
      <c r="E133" s="15" t="n">
        <v>2</v>
      </c>
      <c r="F133" s="15" t="n">
        <v>3</v>
      </c>
      <c r="G133" s="15" t="n">
        <v>4</v>
      </c>
      <c r="H133" s="15" t="n">
        <v>5</v>
      </c>
      <c r="I133" s="15" t="n">
        <v>6</v>
      </c>
      <c r="J133" s="15" t="n">
        <v>7</v>
      </c>
      <c r="K133" s="15" t="n">
        <v>8</v>
      </c>
      <c r="L133" s="15" t="n">
        <v>9</v>
      </c>
      <c r="M133" s="15" t="n">
        <v>10</v>
      </c>
      <c r="N133" s="15" t="n">
        <v>11</v>
      </c>
      <c r="O133" s="15" t="n">
        <v>12</v>
      </c>
      <c r="P133" s="15" t="n">
        <v>13</v>
      </c>
      <c r="Q133" s="15" t="n">
        <v>14</v>
      </c>
      <c r="R133" s="15" t="n">
        <v>15</v>
      </c>
    </row>
    <row r="134">
      <c r="C134" s="15" t="n">
        <v>1</v>
      </c>
      <c r="D134" s="69">
        <f>IF(D63&lt;0,"Inesgotável",(D128-D104))</f>
        <v/>
      </c>
      <c r="E134" s="69">
        <f>IF(E63&lt;0,"Inesgotável",(E128-E104))</f>
        <v/>
      </c>
      <c r="F134" s="69">
        <f>IF(F63&lt;0,"Inesgotável",(F128-F104))</f>
        <v/>
      </c>
      <c r="G134" s="69">
        <f>IF(G63&lt;0,"Inesgotável",(G128-G104))</f>
        <v/>
      </c>
      <c r="H134" s="69">
        <f>IF(H63&lt;0,"Inesgotável",(H128-H104))</f>
        <v/>
      </c>
      <c r="I134" s="69">
        <f>IF(I63&lt;0,"Inesgotável",(I128-I104))</f>
        <v/>
      </c>
      <c r="J134" s="69">
        <f>IF(J63&lt;0,"Inesgotável",(J128-J104))</f>
        <v/>
      </c>
      <c r="K134" s="69">
        <f>IF(K63&lt;0,"Inesgotável",(K128-K104))</f>
        <v/>
      </c>
      <c r="L134" s="69">
        <f>IF(L63&lt;0,"Inesgotável",(L128-L104))</f>
        <v/>
      </c>
      <c r="M134" s="69">
        <f>IF(M63&lt;0,"Inesgotável",(M128-M104))</f>
        <v/>
      </c>
      <c r="N134" s="69">
        <f>IF(N63&lt;0,"Inesgotável",(N128-N104))</f>
        <v/>
      </c>
      <c r="O134" s="69">
        <f>IF(O63&lt;0,"Inesgotável",(O128-O104))</f>
        <v/>
      </c>
      <c r="P134" s="69">
        <f>IF(P63&lt;0,"Inesgotável",(P128-P104))</f>
        <v/>
      </c>
      <c r="Q134" s="69">
        <f>IF(Q63&lt;0,"Inesgotável",(Q128-Q104))</f>
        <v/>
      </c>
      <c r="R134" s="69">
        <f>IF(R63&lt;0,"Inesgotável",(R128-R104))</f>
        <v/>
      </c>
    </row>
    <row r="135">
      <c r="C135" s="15" t="n">
        <v>2</v>
      </c>
      <c r="D135" s="69">
        <f>IF(D64&lt;0,"Inesgotável",(D129-D105))</f>
        <v/>
      </c>
      <c r="E135" s="69">
        <f>IF(E64&lt;0,"Inesgotável",(E129-E105))</f>
        <v/>
      </c>
      <c r="F135" s="69">
        <f>IF(F64&lt;0,"Inesgotável",(F129-F105))</f>
        <v/>
      </c>
      <c r="G135" s="69">
        <f>IF(G64&lt;0,"Inesgotável",(G129-G105))</f>
        <v/>
      </c>
      <c r="H135" s="69">
        <f>IF(H64&lt;0,"Inesgotável",(H129-H105))</f>
        <v/>
      </c>
      <c r="I135" s="69">
        <f>IF(I64&lt;0,"Inesgotável",(I129-I105))</f>
        <v/>
      </c>
      <c r="J135" s="69">
        <f>IF(J64&lt;0,"Inesgotável",(J129-J105))</f>
        <v/>
      </c>
      <c r="K135" s="69">
        <f>IF(K64&lt;0,"Inesgotável",(K129-K105))</f>
        <v/>
      </c>
      <c r="L135" s="69">
        <f>IF(L64&lt;0,"Inesgotável",(L129-L105))</f>
        <v/>
      </c>
      <c r="M135" s="69">
        <f>IF(M64&lt;0,"Inesgotável",(M129-M105))</f>
        <v/>
      </c>
      <c r="N135" s="69">
        <f>IF(N64&lt;0,"Inesgotável",(N129-N105))</f>
        <v/>
      </c>
      <c r="O135" s="69">
        <f>IF(O64&lt;0,"Inesgotável",(O129-O105))</f>
        <v/>
      </c>
      <c r="P135" s="69">
        <f>IF(P64&lt;0,"Inesgotável",(P129-P105))</f>
        <v/>
      </c>
      <c r="Q135" s="69">
        <f>IF(Q64&lt;0,"Inesgotável",(Q129-Q105))</f>
        <v/>
      </c>
      <c r="R135" s="69">
        <f>IF(R64&lt;0,"Inesgotável",(R129-R105))</f>
        <v/>
      </c>
    </row>
    <row r="136">
      <c r="C136" s="15" t="n">
        <v>3</v>
      </c>
      <c r="D136" s="69">
        <f>IF(D65&lt;0,"Inesgotável",(D130-D106))</f>
        <v/>
      </c>
      <c r="E136" s="69">
        <f>IF(E65&lt;0,"Inesgotável",(E130-E106))</f>
        <v/>
      </c>
      <c r="F136" s="69">
        <f>IF(F65&lt;0,"Inesgotável",(F130-F106))</f>
        <v/>
      </c>
      <c r="G136" s="69">
        <f>IF(G65&lt;0,"Inesgotável",(G130-G106))</f>
        <v/>
      </c>
      <c r="H136" s="69">
        <f>IF(H65&lt;0,"Inesgotável",(H130-H106))</f>
        <v/>
      </c>
      <c r="I136" s="69">
        <f>IF(I65&lt;0,"Inesgotável",(I130-I106))</f>
        <v/>
      </c>
      <c r="J136" s="69">
        <f>IF(J65&lt;0,"Inesgotável",(J130-J106))</f>
        <v/>
      </c>
      <c r="K136" s="69">
        <f>IF(K65&lt;0,"Inesgotável",(K130-K106))</f>
        <v/>
      </c>
      <c r="L136" s="69">
        <f>IF(L65&lt;0,"Inesgotável",(L130-L106))</f>
        <v/>
      </c>
      <c r="M136" s="69">
        <f>IF(M65&lt;0,"Inesgotável",(M130-M106))</f>
        <v/>
      </c>
      <c r="N136" s="69">
        <f>IF(N65&lt;0,"Inesgotável",(N130-N106))</f>
        <v/>
      </c>
      <c r="O136" s="69">
        <f>IF(O65&lt;0,"Inesgotável",(O130-O106))</f>
        <v/>
      </c>
      <c r="P136" s="69">
        <f>IF(P65&lt;0,"Inesgotável",(P130-P106))</f>
        <v/>
      </c>
      <c r="Q136" s="69">
        <f>IF(Q65&lt;0,"Inesgotável",(Q130-Q106))</f>
        <v/>
      </c>
      <c r="R136" s="69">
        <f>IF(R65&lt;0,"Inesgotável",(R130-R106))</f>
        <v/>
      </c>
    </row>
    <row r="139">
      <c r="C139" s="18" t="inlineStr">
        <is>
          <t>bOmega4w</t>
        </is>
      </c>
      <c r="D139" s="15" t="n">
        <v>1</v>
      </c>
      <c r="E139" s="15" t="n">
        <v>2</v>
      </c>
      <c r="F139" s="15" t="n">
        <v>3</v>
      </c>
      <c r="G139" s="15" t="n">
        <v>4</v>
      </c>
      <c r="H139" s="15" t="n">
        <v>5</v>
      </c>
      <c r="I139" s="15" t="n">
        <v>6</v>
      </c>
      <c r="J139" s="15" t="n">
        <v>7</v>
      </c>
      <c r="K139" s="15" t="n">
        <v>8</v>
      </c>
      <c r="L139" s="15" t="n">
        <v>9</v>
      </c>
      <c r="M139" s="15" t="n">
        <v>10</v>
      </c>
      <c r="N139" s="15" t="n">
        <v>11</v>
      </c>
      <c r="O139" s="15" t="n">
        <v>12</v>
      </c>
      <c r="P139" s="15" t="n">
        <v>13</v>
      </c>
      <c r="Q139" s="15" t="n">
        <v>14</v>
      </c>
      <c r="R139" s="15" t="n">
        <v>15</v>
      </c>
    </row>
    <row r="140">
      <c r="C140" s="15" t="n">
        <v>1</v>
      </c>
      <c r="D140" s="27" t="n">
        <v>0</v>
      </c>
      <c r="E140" s="27" t="n">
        <v>0</v>
      </c>
      <c r="F140" s="27" t="n">
        <v>0</v>
      </c>
      <c r="G140" s="27" t="n">
        <v>0</v>
      </c>
      <c r="H140" s="27" t="n">
        <v>1</v>
      </c>
      <c r="I140" s="27" t="n">
        <v>1</v>
      </c>
      <c r="J140" s="27" t="n">
        <v>0</v>
      </c>
      <c r="K140" s="27" t="n">
        <v>0</v>
      </c>
      <c r="L140" s="27" t="n">
        <v>0</v>
      </c>
      <c r="M140" s="27" t="n">
        <v>0</v>
      </c>
      <c r="N140" s="27" t="n">
        <v>0</v>
      </c>
      <c r="O140" s="27" t="n">
        <v>0</v>
      </c>
      <c r="P140" s="27" t="n">
        <v>0</v>
      </c>
      <c r="Q140" s="27" t="n">
        <v>1</v>
      </c>
      <c r="R140" s="27" t="n">
        <v>1</v>
      </c>
      <c r="T140" s="18" t="n">
        <v>0</v>
      </c>
      <c r="U140" s="18" t="n">
        <v>0</v>
      </c>
      <c r="V140" s="18" t="n">
        <v>0</v>
      </c>
      <c r="W140" s="18" t="n">
        <v>0</v>
      </c>
      <c r="X140" s="18" t="n">
        <v>1</v>
      </c>
      <c r="Y140" s="18" t="n">
        <v>1</v>
      </c>
      <c r="Z140" s="18" t="n">
        <v>0</v>
      </c>
      <c r="AA140" s="18" t="n">
        <v>0</v>
      </c>
      <c r="AB140" s="18" t="n">
        <v>0</v>
      </c>
      <c r="AC140" s="18" t="n">
        <v>0</v>
      </c>
      <c r="AD140" s="18" t="n">
        <v>0</v>
      </c>
      <c r="AE140" s="18" t="n">
        <v>0</v>
      </c>
      <c r="AF140" s="18" t="n">
        <v>0</v>
      </c>
      <c r="AG140" s="18" t="n">
        <v>1</v>
      </c>
      <c r="AH140" s="18" t="n">
        <v>1</v>
      </c>
      <c r="AI140" s="18">
        <f>SUM(T140:AH142)</f>
        <v/>
      </c>
    </row>
    <row r="141">
      <c r="C141" s="15" t="n">
        <v>2</v>
      </c>
      <c r="D141" s="27" t="n">
        <v>0</v>
      </c>
      <c r="E141" s="27" t="n">
        <v>0</v>
      </c>
      <c r="F141" s="27" t="n">
        <v>0</v>
      </c>
      <c r="G141" s="27" t="n">
        <v>0</v>
      </c>
      <c r="H141" s="27" t="n">
        <v>0</v>
      </c>
      <c r="I141" s="27" t="n">
        <v>0</v>
      </c>
      <c r="J141" s="27" t="n">
        <v>0</v>
      </c>
      <c r="K141" s="27" t="n">
        <v>0</v>
      </c>
      <c r="L141" s="27" t="n">
        <v>0</v>
      </c>
      <c r="M141" s="27" t="n">
        <v>0</v>
      </c>
      <c r="N141" s="27" t="n">
        <v>0</v>
      </c>
      <c r="O141" s="27" t="n">
        <v>1</v>
      </c>
      <c r="P141" s="27" t="n">
        <v>1</v>
      </c>
      <c r="Q141" s="27" t="n">
        <v>0</v>
      </c>
      <c r="R141" s="27" t="n">
        <v>0</v>
      </c>
      <c r="T141" s="18" t="n">
        <v>0</v>
      </c>
      <c r="U141" s="18" t="n">
        <v>0</v>
      </c>
      <c r="V141" s="18" t="n">
        <v>0</v>
      </c>
      <c r="W141" s="18" t="n">
        <v>0</v>
      </c>
      <c r="X141" s="18" t="n">
        <v>0</v>
      </c>
      <c r="Y141" s="18" t="n">
        <v>0</v>
      </c>
      <c r="Z141" s="18" t="n">
        <v>0</v>
      </c>
      <c r="AA141" s="18" t="n">
        <v>0</v>
      </c>
      <c r="AB141" s="18" t="n">
        <v>0</v>
      </c>
      <c r="AC141" s="18" t="n">
        <v>0</v>
      </c>
      <c r="AD141" s="18" t="n">
        <v>0</v>
      </c>
      <c r="AE141" s="18" t="n">
        <v>1</v>
      </c>
      <c r="AF141" s="18" t="n">
        <v>1</v>
      </c>
      <c r="AG141" s="18" t="n">
        <v>0</v>
      </c>
      <c r="AH141" s="18" t="n">
        <v>0</v>
      </c>
    </row>
    <row r="142">
      <c r="C142" s="15" t="n">
        <v>3</v>
      </c>
      <c r="D142" s="27" t="n">
        <v>1</v>
      </c>
      <c r="E142" s="27" t="n">
        <v>0</v>
      </c>
      <c r="F142" s="27" t="n">
        <v>0</v>
      </c>
      <c r="G142" s="27" t="n">
        <v>0</v>
      </c>
      <c r="H142" s="27" t="n">
        <v>0</v>
      </c>
      <c r="I142" s="27" t="n">
        <v>1</v>
      </c>
      <c r="J142" s="27" t="n">
        <v>1</v>
      </c>
      <c r="K142" s="27" t="n">
        <v>0</v>
      </c>
      <c r="L142" s="27" t="n">
        <v>0</v>
      </c>
      <c r="M142" s="27" t="n">
        <v>0</v>
      </c>
      <c r="N142" s="27" t="n">
        <v>1</v>
      </c>
      <c r="O142" s="27" t="n">
        <v>0</v>
      </c>
      <c r="P142" s="27" t="n">
        <v>0</v>
      </c>
      <c r="Q142" s="27" t="n">
        <v>0</v>
      </c>
      <c r="R142" s="27" t="n">
        <v>0</v>
      </c>
      <c r="T142" s="18" t="n">
        <v>1</v>
      </c>
      <c r="U142" s="18" t="n">
        <v>0</v>
      </c>
      <c r="V142" s="18" t="n">
        <v>0</v>
      </c>
      <c r="W142" s="18" t="n">
        <v>0</v>
      </c>
      <c r="X142" s="18" t="n">
        <v>0</v>
      </c>
      <c r="Y142" s="18" t="n">
        <v>1</v>
      </c>
      <c r="Z142" s="18" t="n">
        <v>1</v>
      </c>
      <c r="AA142" s="18" t="n">
        <v>0</v>
      </c>
      <c r="AB142" s="18" t="n">
        <v>0</v>
      </c>
      <c r="AC142" s="18" t="n">
        <v>0</v>
      </c>
      <c r="AD142" s="18" t="n">
        <v>1</v>
      </c>
      <c r="AE142" s="18" t="n">
        <v>0</v>
      </c>
      <c r="AF142" s="18" t="n">
        <v>0</v>
      </c>
      <c r="AG142" s="18" t="n">
        <v>0</v>
      </c>
      <c r="AH142" s="18" t="n">
        <v>0</v>
      </c>
    </row>
    <row r="145">
      <c r="C145" s="18" t="inlineStr">
        <is>
          <t>bOmega5w</t>
        </is>
      </c>
      <c r="D145" s="15" t="n">
        <v>1</v>
      </c>
      <c r="E145" s="15" t="n">
        <v>2</v>
      </c>
      <c r="F145" s="15" t="n">
        <v>3</v>
      </c>
      <c r="G145" s="15" t="n">
        <v>4</v>
      </c>
      <c r="H145" s="15" t="n">
        <v>5</v>
      </c>
      <c r="I145" s="15" t="n">
        <v>6</v>
      </c>
      <c r="J145" s="15" t="n">
        <v>7</v>
      </c>
      <c r="K145" s="15" t="n">
        <v>8</v>
      </c>
      <c r="L145" s="15" t="n">
        <v>9</v>
      </c>
      <c r="M145" s="15" t="n">
        <v>10</v>
      </c>
      <c r="N145" s="15" t="n">
        <v>11</v>
      </c>
      <c r="O145" s="15" t="n">
        <v>12</v>
      </c>
      <c r="P145" s="15" t="n">
        <v>13</v>
      </c>
      <c r="Q145" s="15" t="n">
        <v>14</v>
      </c>
      <c r="R145" s="15" t="n">
        <v>15</v>
      </c>
    </row>
    <row r="146">
      <c r="C146" s="15" t="n">
        <v>1</v>
      </c>
      <c r="D146" s="27" t="n">
        <v>0</v>
      </c>
      <c r="E146" s="27" t="n">
        <v>0</v>
      </c>
      <c r="F146" s="27" t="n">
        <v>0</v>
      </c>
      <c r="G146" s="27" t="n">
        <v>0</v>
      </c>
      <c r="H146" s="27" t="n">
        <v>1</v>
      </c>
      <c r="I146" s="27" t="n">
        <v>0</v>
      </c>
      <c r="J146" s="27" t="n">
        <v>0</v>
      </c>
      <c r="K146" s="27" t="n">
        <v>0</v>
      </c>
      <c r="L146" s="27" t="n">
        <v>0</v>
      </c>
      <c r="M146" s="27" t="n">
        <v>0</v>
      </c>
      <c r="N146" s="27" t="n">
        <v>0</v>
      </c>
      <c r="O146" s="27" t="n">
        <v>0</v>
      </c>
      <c r="P146" s="27" t="n">
        <v>0</v>
      </c>
      <c r="Q146" s="27" t="n">
        <v>0</v>
      </c>
      <c r="R146" s="27" t="n">
        <v>0</v>
      </c>
      <c r="S146" s="19">
        <f>SUM(Suppliers_Omega5)</f>
        <v/>
      </c>
      <c r="T146" s="18" t="n">
        <v>0</v>
      </c>
      <c r="U146" s="18" t="n">
        <v>0</v>
      </c>
      <c r="V146" s="18" t="n">
        <v>0</v>
      </c>
      <c r="W146" s="18" t="n">
        <v>0</v>
      </c>
      <c r="X146" s="18" t="n">
        <v>1</v>
      </c>
      <c r="Y146" s="18" t="n">
        <v>0</v>
      </c>
      <c r="Z146" s="18" t="n">
        <v>0</v>
      </c>
      <c r="AA146" s="18" t="n">
        <v>0</v>
      </c>
      <c r="AB146" s="18" t="n">
        <v>0</v>
      </c>
      <c r="AC146" s="18" t="n">
        <v>0</v>
      </c>
      <c r="AD146" s="18" t="n">
        <v>0</v>
      </c>
      <c r="AE146" s="18" t="n">
        <v>0</v>
      </c>
      <c r="AF146" s="18" t="n">
        <v>0</v>
      </c>
      <c r="AG146" s="18" t="n">
        <v>0</v>
      </c>
      <c r="AH146" s="18" t="n">
        <v>0</v>
      </c>
      <c r="AI146" s="18">
        <f>SUM(T146:AH148)</f>
        <v/>
      </c>
    </row>
    <row r="147">
      <c r="C147" s="15" t="n">
        <v>2</v>
      </c>
      <c r="D147" s="27" t="n">
        <v>0</v>
      </c>
      <c r="E147" s="27" t="n">
        <v>0</v>
      </c>
      <c r="F147" s="27" t="n">
        <v>0</v>
      </c>
      <c r="G147" s="27" t="n">
        <v>0</v>
      </c>
      <c r="H147" s="27" t="n">
        <v>0</v>
      </c>
      <c r="I147" s="27" t="n">
        <v>0</v>
      </c>
      <c r="J147" s="27" t="n">
        <v>0</v>
      </c>
      <c r="K147" s="27" t="n">
        <v>0</v>
      </c>
      <c r="L147" s="27" t="n">
        <v>0</v>
      </c>
      <c r="M147" s="27" t="n">
        <v>0</v>
      </c>
      <c r="N147" s="27" t="n">
        <v>0</v>
      </c>
      <c r="O147" s="27" t="n">
        <v>0</v>
      </c>
      <c r="P147" s="27" t="n">
        <v>1</v>
      </c>
      <c r="Q147" s="27" t="n">
        <v>0</v>
      </c>
      <c r="R147" s="27" t="n">
        <v>0</v>
      </c>
      <c r="T147" s="18" t="n">
        <v>0</v>
      </c>
      <c r="U147" s="18" t="n">
        <v>0</v>
      </c>
      <c r="V147" s="18" t="n">
        <v>0</v>
      </c>
      <c r="W147" s="18" t="n">
        <v>0</v>
      </c>
      <c r="X147" s="18" t="n">
        <v>0</v>
      </c>
      <c r="Y147" s="18" t="n">
        <v>0</v>
      </c>
      <c r="Z147" s="18" t="n">
        <v>0</v>
      </c>
      <c r="AA147" s="18" t="n">
        <v>0</v>
      </c>
      <c r="AB147" s="18" t="n">
        <v>0</v>
      </c>
      <c r="AC147" s="18" t="n">
        <v>0</v>
      </c>
      <c r="AD147" s="18" t="n">
        <v>0</v>
      </c>
      <c r="AE147" s="18" t="n">
        <v>0</v>
      </c>
      <c r="AF147" s="18" t="n">
        <v>1</v>
      </c>
      <c r="AG147" s="18" t="n">
        <v>0</v>
      </c>
      <c r="AH147" s="18" t="n">
        <v>0</v>
      </c>
    </row>
    <row r="148">
      <c r="C148" s="15" t="n">
        <v>3</v>
      </c>
      <c r="D148" s="27" t="n">
        <v>0</v>
      </c>
      <c r="E148" s="27" t="n">
        <v>0</v>
      </c>
      <c r="F148" s="27" t="n">
        <v>0</v>
      </c>
      <c r="G148" s="27" t="n">
        <v>0</v>
      </c>
      <c r="H148" s="27" t="n">
        <v>0</v>
      </c>
      <c r="I148" s="27" t="n">
        <v>0</v>
      </c>
      <c r="J148" s="27" t="n">
        <v>0</v>
      </c>
      <c r="K148" s="27" t="n">
        <v>0</v>
      </c>
      <c r="L148" s="27" t="n">
        <v>0</v>
      </c>
      <c r="M148" s="27" t="n">
        <v>0</v>
      </c>
      <c r="N148" s="27" t="n">
        <v>0</v>
      </c>
      <c r="O148" s="27" t="n">
        <v>0</v>
      </c>
      <c r="P148" s="27" t="n">
        <v>0</v>
      </c>
      <c r="Q148" s="27" t="n">
        <v>0</v>
      </c>
      <c r="R148" s="27" t="n">
        <v>0</v>
      </c>
      <c r="T148" s="18" t="n">
        <v>0</v>
      </c>
      <c r="U148" s="18" t="n">
        <v>0</v>
      </c>
      <c r="V148" s="18" t="n">
        <v>0</v>
      </c>
      <c r="W148" s="18" t="n">
        <v>0</v>
      </c>
      <c r="X148" s="18" t="n">
        <v>0</v>
      </c>
      <c r="Y148" s="18" t="n">
        <v>0</v>
      </c>
      <c r="Z148" s="18" t="n">
        <v>0</v>
      </c>
      <c r="AA148" s="18" t="n">
        <v>0</v>
      </c>
      <c r="AB148" s="18" t="n">
        <v>0</v>
      </c>
      <c r="AC148" s="18" t="n">
        <v>0</v>
      </c>
      <c r="AD148" s="18" t="n">
        <v>0</v>
      </c>
      <c r="AE148" s="18" t="n">
        <v>0</v>
      </c>
      <c r="AF148" s="18" t="n">
        <v>0</v>
      </c>
      <c r="AG148" s="18" t="n">
        <v>0</v>
      </c>
      <c r="AH148" s="18" t="n">
        <v>0</v>
      </c>
    </row>
    <row r="151">
      <c r="C151" s="18" t="inlineStr">
        <is>
          <t>bOmega6w</t>
        </is>
      </c>
      <c r="D151" s="15" t="n">
        <v>1</v>
      </c>
      <c r="E151" s="15" t="n">
        <v>2</v>
      </c>
      <c r="F151" s="15" t="n">
        <v>3</v>
      </c>
      <c r="G151" s="15" t="n">
        <v>4</v>
      </c>
      <c r="H151" s="15" t="n">
        <v>5</v>
      </c>
      <c r="I151" s="15" t="n">
        <v>6</v>
      </c>
      <c r="J151" s="15" t="n">
        <v>7</v>
      </c>
      <c r="K151" s="15" t="n">
        <v>8</v>
      </c>
      <c r="L151" s="15" t="n">
        <v>9</v>
      </c>
      <c r="M151" s="15" t="n">
        <v>10</v>
      </c>
      <c r="N151" s="15" t="n">
        <v>11</v>
      </c>
      <c r="O151" s="15" t="n">
        <v>12</v>
      </c>
      <c r="P151" s="15" t="n">
        <v>13</v>
      </c>
      <c r="Q151" s="15" t="n">
        <v>14</v>
      </c>
      <c r="R151" s="15" t="n">
        <v>15</v>
      </c>
    </row>
    <row r="152">
      <c r="C152" s="15" t="n">
        <v>1</v>
      </c>
      <c r="D152" s="27" t="n">
        <v>0</v>
      </c>
      <c r="E152" s="27" t="n">
        <v>0</v>
      </c>
      <c r="F152" s="27" t="n">
        <v>0</v>
      </c>
      <c r="G152" s="27" t="n">
        <v>0</v>
      </c>
      <c r="H152" s="27" t="n">
        <v>0</v>
      </c>
      <c r="I152" s="27" t="n">
        <v>0</v>
      </c>
      <c r="J152" s="27" t="n">
        <v>0</v>
      </c>
      <c r="K152" s="27" t="n">
        <v>0</v>
      </c>
      <c r="L152" s="27" t="n">
        <v>0</v>
      </c>
      <c r="M152" s="27" t="n">
        <v>0</v>
      </c>
      <c r="N152" s="27" t="n">
        <v>0</v>
      </c>
      <c r="O152" s="27" t="n">
        <v>0</v>
      </c>
      <c r="P152" s="27" t="n">
        <v>0</v>
      </c>
      <c r="Q152" s="27" t="n">
        <v>0</v>
      </c>
      <c r="R152" s="27" t="n">
        <v>0</v>
      </c>
      <c r="S152" s="19">
        <f>SUM(Suppliers_Omega6)</f>
        <v/>
      </c>
      <c r="T152" s="18" t="n">
        <v>0</v>
      </c>
      <c r="U152" s="18" t="n">
        <v>0</v>
      </c>
      <c r="V152" s="18" t="n">
        <v>0</v>
      </c>
      <c r="W152" s="18" t="n">
        <v>0</v>
      </c>
      <c r="X152" s="18" t="n">
        <v>0</v>
      </c>
      <c r="Y152" s="18" t="n">
        <v>0</v>
      </c>
      <c r="Z152" s="18" t="n">
        <v>0</v>
      </c>
      <c r="AA152" s="18" t="n">
        <v>0</v>
      </c>
      <c r="AB152" s="18" t="n">
        <v>0</v>
      </c>
      <c r="AC152" s="18" t="n">
        <v>0</v>
      </c>
      <c r="AD152" s="18" t="n">
        <v>0</v>
      </c>
      <c r="AE152" s="18" t="n">
        <v>0</v>
      </c>
      <c r="AF152" s="18" t="n">
        <v>0</v>
      </c>
      <c r="AG152" s="18" t="n">
        <v>0</v>
      </c>
      <c r="AH152" s="18" t="n">
        <v>0</v>
      </c>
      <c r="AI152" s="18">
        <f>SUM(T152:AH154)</f>
        <v/>
      </c>
    </row>
    <row r="153">
      <c r="C153" s="15" t="n">
        <v>2</v>
      </c>
      <c r="D153" s="27" t="n">
        <v>0</v>
      </c>
      <c r="E153" s="27" t="n">
        <v>1</v>
      </c>
      <c r="F153" s="27" t="n">
        <v>0</v>
      </c>
      <c r="G153" s="27" t="n">
        <v>0</v>
      </c>
      <c r="H153" s="27" t="n">
        <v>0</v>
      </c>
      <c r="I153" s="27" t="n">
        <v>0</v>
      </c>
      <c r="J153" s="27" t="n">
        <v>0</v>
      </c>
      <c r="K153" s="27" t="n">
        <v>0</v>
      </c>
      <c r="L153" s="27" t="n">
        <v>0</v>
      </c>
      <c r="M153" s="27" t="n">
        <v>0</v>
      </c>
      <c r="N153" s="27" t="n">
        <v>0</v>
      </c>
      <c r="O153" s="27" t="n">
        <v>0</v>
      </c>
      <c r="P153" s="27" t="n">
        <v>0</v>
      </c>
      <c r="Q153" s="27" t="n">
        <v>0</v>
      </c>
      <c r="R153" s="27" t="n">
        <v>0</v>
      </c>
      <c r="T153" s="18" t="n">
        <v>0</v>
      </c>
      <c r="U153" s="18" t="n">
        <v>1</v>
      </c>
      <c r="V153" s="18" t="n">
        <v>0</v>
      </c>
      <c r="W153" s="18" t="n">
        <v>0</v>
      </c>
      <c r="X153" s="18" t="n">
        <v>0</v>
      </c>
      <c r="Y153" s="18" t="n">
        <v>0</v>
      </c>
      <c r="Z153" s="18" t="n">
        <v>0</v>
      </c>
      <c r="AA153" s="18" t="n">
        <v>0</v>
      </c>
      <c r="AB153" s="18" t="n">
        <v>0</v>
      </c>
      <c r="AC153" s="18" t="n">
        <v>0</v>
      </c>
      <c r="AD153" s="18" t="n">
        <v>0</v>
      </c>
      <c r="AE153" s="18" t="n">
        <v>0</v>
      </c>
      <c r="AF153" s="18" t="n">
        <v>0</v>
      </c>
      <c r="AG153" s="18" t="n">
        <v>0</v>
      </c>
      <c r="AH153" s="18" t="n">
        <v>0</v>
      </c>
    </row>
    <row r="154">
      <c r="C154" s="15" t="n">
        <v>3</v>
      </c>
      <c r="D154" s="27" t="n">
        <v>0</v>
      </c>
      <c r="E154" s="27" t="n">
        <v>0</v>
      </c>
      <c r="F154" s="27" t="n">
        <v>0</v>
      </c>
      <c r="G154" s="27" t="n">
        <v>1</v>
      </c>
      <c r="H154" s="27" t="n">
        <v>0</v>
      </c>
      <c r="I154" s="27" t="n">
        <v>0</v>
      </c>
      <c r="J154" s="27" t="n">
        <v>0</v>
      </c>
      <c r="K154" s="27" t="n">
        <v>0</v>
      </c>
      <c r="L154" s="27" t="n">
        <v>0</v>
      </c>
      <c r="M154" s="27" t="n">
        <v>0</v>
      </c>
      <c r="N154" s="27" t="n">
        <v>0</v>
      </c>
      <c r="O154" s="27" t="n">
        <v>0</v>
      </c>
      <c r="P154" s="27" t="n">
        <v>0</v>
      </c>
      <c r="Q154" s="27" t="n">
        <v>0</v>
      </c>
      <c r="R154" s="27" t="n">
        <v>0</v>
      </c>
      <c r="T154" s="18" t="n">
        <v>0</v>
      </c>
      <c r="U154" s="18" t="n">
        <v>0</v>
      </c>
      <c r="V154" s="18" t="n">
        <v>0</v>
      </c>
      <c r="W154" s="18" t="n">
        <v>1</v>
      </c>
      <c r="X154" s="18" t="n">
        <v>0</v>
      </c>
      <c r="Y154" s="18" t="n">
        <v>0</v>
      </c>
      <c r="Z154" s="18" t="n">
        <v>0</v>
      </c>
      <c r="AA154" s="18" t="n">
        <v>0</v>
      </c>
      <c r="AB154" s="18" t="n">
        <v>0</v>
      </c>
      <c r="AC154" s="18" t="n">
        <v>0</v>
      </c>
      <c r="AD154" s="18" t="n">
        <v>0</v>
      </c>
      <c r="AE154" s="18" t="n">
        <v>0</v>
      </c>
      <c r="AF154" s="18" t="n">
        <v>0</v>
      </c>
      <c r="AG154" s="18" t="n">
        <v>0</v>
      </c>
      <c r="AH154" s="18" t="n">
        <v>0</v>
      </c>
    </row>
    <row r="157">
      <c r="C157" s="18" t="inlineStr">
        <is>
          <t>Total</t>
        </is>
      </c>
      <c r="D157" s="15" t="n">
        <v>1</v>
      </c>
      <c r="E157" s="15" t="n">
        <v>2</v>
      </c>
      <c r="F157" s="15" t="n">
        <v>3</v>
      </c>
      <c r="G157" s="15" t="n">
        <v>4</v>
      </c>
      <c r="H157" s="15" t="n">
        <v>5</v>
      </c>
      <c r="I157" s="15" t="n">
        <v>6</v>
      </c>
      <c r="J157" s="15" t="n">
        <v>7</v>
      </c>
      <c r="K157" s="15" t="n">
        <v>8</v>
      </c>
      <c r="L157" s="15" t="n">
        <v>9</v>
      </c>
      <c r="M157" s="15" t="n">
        <v>10</v>
      </c>
      <c r="N157" s="15" t="n">
        <v>11</v>
      </c>
      <c r="O157" s="15" t="n">
        <v>12</v>
      </c>
      <c r="P157" s="15" t="n">
        <v>13</v>
      </c>
      <c r="Q157" s="15" t="n">
        <v>14</v>
      </c>
      <c r="R157" s="15" t="n">
        <v>15</v>
      </c>
    </row>
    <row r="158">
      <c r="C158" s="15" t="n">
        <v>1</v>
      </c>
      <c r="D158" s="19">
        <f>D39+D122+D146+D152+D45</f>
        <v/>
      </c>
      <c r="E158" s="19">
        <f>E39+E122+E146+E152+E45</f>
        <v/>
      </c>
      <c r="F158" s="19">
        <f>F39+F122+F146+F152+F45</f>
        <v/>
      </c>
      <c r="G158" s="19">
        <f>G39+G122+G146+G152+G45</f>
        <v/>
      </c>
      <c r="H158" s="19">
        <f>H39+H122+H146+H152+H45</f>
        <v/>
      </c>
      <c r="I158" s="19">
        <f>I39+I122+I146+I152+I45</f>
        <v/>
      </c>
      <c r="J158" s="19">
        <f>J39+J122+J146+J152+J45</f>
        <v/>
      </c>
      <c r="K158" s="19">
        <f>K39+K122+K146+K152+K45</f>
        <v/>
      </c>
      <c r="L158" s="19">
        <f>L39+L122+L146+L152+L45</f>
        <v/>
      </c>
      <c r="M158" s="19">
        <f>M39+M122+M146+M152+M45</f>
        <v/>
      </c>
      <c r="N158" s="19">
        <f>N39+N122+N146+N152+N45</f>
        <v/>
      </c>
      <c r="O158" s="19">
        <f>O39+O122+O146+O152+O45</f>
        <v/>
      </c>
      <c r="P158" s="19">
        <f>P39+P122+P146+P152+P45</f>
        <v/>
      </c>
      <c r="Q158" s="19">
        <f>Q39+Q122+Q146+Q152+Q45</f>
        <v/>
      </c>
      <c r="R158" s="19">
        <f>R39+R122+R146+R152+R45</f>
        <v/>
      </c>
      <c r="S158" s="19">
        <f>SUM(D158:R160)</f>
        <v/>
      </c>
    </row>
    <row r="159">
      <c r="C159" s="15" t="n">
        <v>2</v>
      </c>
      <c r="D159" s="19">
        <f>D40+D123+D147+D153+D46</f>
        <v/>
      </c>
      <c r="E159" s="19">
        <f>E40+E123+E147+E153+E46</f>
        <v/>
      </c>
      <c r="F159" s="19">
        <f>F40+F123+F147+F153+F46</f>
        <v/>
      </c>
      <c r="G159" s="19">
        <f>G40+G123+G147+G153+G46</f>
        <v/>
      </c>
      <c r="H159" s="19">
        <f>H40+H123+H147+H153+H46</f>
        <v/>
      </c>
      <c r="I159" s="19">
        <f>I40+I123+I147+I153+I46</f>
        <v/>
      </c>
      <c r="J159" s="19">
        <f>J40+J123+J147+J153+J46</f>
        <v/>
      </c>
      <c r="K159" s="19">
        <f>K40+K123+K147+K153+K46</f>
        <v/>
      </c>
      <c r="L159" s="19">
        <f>L40+L123+L147+L153+L46</f>
        <v/>
      </c>
      <c r="M159" s="19">
        <f>M40+M123+M147+M153+M46</f>
        <v/>
      </c>
      <c r="N159" s="19">
        <f>N40+N123+N147+N153+N46</f>
        <v/>
      </c>
      <c r="O159" s="19">
        <f>O40+O123+O147+O153+O46</f>
        <v/>
      </c>
      <c r="P159" s="19">
        <f>P40+P123+P147+P153+P46</f>
        <v/>
      </c>
      <c r="Q159" s="19">
        <f>Q40+Q123+Q147+Q153+Q46</f>
        <v/>
      </c>
      <c r="R159" s="19">
        <f>R40+R123+R147+R153+R46</f>
        <v/>
      </c>
    </row>
    <row r="160">
      <c r="C160" s="15" t="n">
        <v>3</v>
      </c>
      <c r="D160" s="19">
        <f>D41+D124+D148+D154+D47</f>
        <v/>
      </c>
      <c r="E160" s="19">
        <f>E41+E124+E148+E154+E47</f>
        <v/>
      </c>
      <c r="F160" s="19">
        <f>F41+F124+F148+F154+F47</f>
        <v/>
      </c>
      <c r="G160" s="19">
        <f>G41+G124+G148+G154+G47</f>
        <v/>
      </c>
      <c r="H160" s="19">
        <f>H41+H124+H148+H154+H47</f>
        <v/>
      </c>
      <c r="I160" s="19">
        <f>I41+I124+I148+I154+I47</f>
        <v/>
      </c>
      <c r="J160" s="19">
        <f>J41+J124+J148+J154+J47</f>
        <v/>
      </c>
      <c r="K160" s="19">
        <f>K41+K124+K148+K154+K47</f>
        <v/>
      </c>
      <c r="L160" s="19">
        <f>L41+L124+L148+L154+L47</f>
        <v/>
      </c>
      <c r="M160" s="19">
        <f>M41+M124+M148+M154+M47</f>
        <v/>
      </c>
      <c r="N160" s="19">
        <f>N41+N124+N148+N154+N47</f>
        <v/>
      </c>
      <c r="O160" s="19">
        <f>O41+O124+O148+O154+O47</f>
        <v/>
      </c>
      <c r="P160" s="19">
        <f>P41+P124+P148+P154+P47</f>
        <v/>
      </c>
      <c r="Q160" s="19">
        <f>Q41+Q124+Q148+Q154+Q47</f>
        <v/>
      </c>
      <c r="R160" s="19">
        <f>R41+R124+R148+R154+R47</f>
        <v/>
      </c>
    </row>
    <row r="163">
      <c r="C163" s="18" t="inlineStr">
        <is>
          <t>Hw</t>
        </is>
      </c>
      <c r="D163" s="15" t="n">
        <v>1</v>
      </c>
      <c r="E163" s="15" t="n">
        <v>2</v>
      </c>
      <c r="F163" s="15" t="n">
        <v>3</v>
      </c>
      <c r="G163" s="15" t="n">
        <v>4</v>
      </c>
      <c r="H163" s="15" t="n">
        <v>5</v>
      </c>
      <c r="I163" s="15" t="n">
        <v>6</v>
      </c>
      <c r="J163" s="15" t="n">
        <v>7</v>
      </c>
      <c r="K163" s="15" t="n">
        <v>8</v>
      </c>
      <c r="L163" s="15" t="n">
        <v>9</v>
      </c>
      <c r="M163" s="15" t="n">
        <v>10</v>
      </c>
      <c r="N163" s="15" t="n">
        <v>11</v>
      </c>
      <c r="O163" s="15" t="n">
        <v>12</v>
      </c>
      <c r="P163" s="15" t="n">
        <v>13</v>
      </c>
      <c r="Q163" s="15" t="n">
        <v>14</v>
      </c>
      <c r="R163" s="15" t="n">
        <v>15</v>
      </c>
    </row>
    <row r="164">
      <c r="C164" s="15" t="n">
        <v>1</v>
      </c>
      <c r="D164" s="21">
        <f>Suppliers!I6</f>
        <v/>
      </c>
      <c r="E164" s="21">
        <f>Suppliers!J6</f>
        <v/>
      </c>
      <c r="F164" s="21">
        <f>Suppliers!K6</f>
        <v/>
      </c>
      <c r="G164" s="21">
        <f>Suppliers!L6</f>
        <v/>
      </c>
      <c r="H164" s="21">
        <f>Suppliers!M6</f>
        <v/>
      </c>
      <c r="I164" s="21">
        <f>Suppliers!N6</f>
        <v/>
      </c>
      <c r="J164" s="21">
        <f>Suppliers!O6</f>
        <v/>
      </c>
      <c r="K164" s="21">
        <f>Suppliers!P6</f>
        <v/>
      </c>
      <c r="L164" s="21">
        <f>Suppliers!Q6</f>
        <v/>
      </c>
      <c r="M164" s="21">
        <f>Suppliers!R6</f>
        <v/>
      </c>
      <c r="N164" s="21">
        <f>Suppliers!S6</f>
        <v/>
      </c>
      <c r="O164" s="21">
        <f>Suppliers!T6</f>
        <v/>
      </c>
      <c r="P164" s="21">
        <f>Suppliers!U6</f>
        <v/>
      </c>
      <c r="Q164" s="21">
        <f>Suppliers!V6</f>
        <v/>
      </c>
      <c r="R164" s="21">
        <f>Suppliers!W6</f>
        <v/>
      </c>
    </row>
    <row r="165">
      <c r="C165" s="15" t="n">
        <v>2</v>
      </c>
      <c r="D165" s="21">
        <f>Suppliers!I7</f>
        <v/>
      </c>
      <c r="E165" s="21">
        <f>Suppliers!J7</f>
        <v/>
      </c>
      <c r="F165" s="21">
        <f>Suppliers!K7</f>
        <v/>
      </c>
      <c r="G165" s="21">
        <f>Suppliers!L7</f>
        <v/>
      </c>
      <c r="H165" s="21">
        <f>Suppliers!M7</f>
        <v/>
      </c>
      <c r="I165" s="21">
        <f>Suppliers!N7</f>
        <v/>
      </c>
      <c r="J165" s="21">
        <f>Suppliers!O7</f>
        <v/>
      </c>
      <c r="K165" s="21">
        <f>Suppliers!P7</f>
        <v/>
      </c>
      <c r="L165" s="21">
        <f>Suppliers!Q7</f>
        <v/>
      </c>
      <c r="M165" s="21">
        <f>Suppliers!R7</f>
        <v/>
      </c>
      <c r="N165" s="21">
        <f>Suppliers!S7</f>
        <v/>
      </c>
      <c r="O165" s="21">
        <f>Suppliers!T7</f>
        <v/>
      </c>
      <c r="P165" s="21">
        <f>Suppliers!U7</f>
        <v/>
      </c>
      <c r="Q165" s="21">
        <f>Suppliers!V7</f>
        <v/>
      </c>
      <c r="R165" s="21">
        <f>Suppliers!W7</f>
        <v/>
      </c>
    </row>
    <row r="166">
      <c r="C166" s="15" t="n">
        <v>3</v>
      </c>
      <c r="D166" s="21">
        <f>Suppliers!I8</f>
        <v/>
      </c>
      <c r="E166" s="21">
        <f>Suppliers!J8</f>
        <v/>
      </c>
      <c r="F166" s="21">
        <f>Suppliers!K8</f>
        <v/>
      </c>
      <c r="G166" s="21">
        <f>Suppliers!L8</f>
        <v/>
      </c>
      <c r="H166" s="21">
        <f>Suppliers!M8</f>
        <v/>
      </c>
      <c r="I166" s="21">
        <f>Suppliers!N8</f>
        <v/>
      </c>
      <c r="J166" s="21">
        <f>Suppliers!O8</f>
        <v/>
      </c>
      <c r="K166" s="21">
        <f>Suppliers!P8</f>
        <v/>
      </c>
      <c r="L166" s="21">
        <f>Suppliers!Q8</f>
        <v/>
      </c>
      <c r="M166" s="21">
        <f>Suppliers!R8</f>
        <v/>
      </c>
      <c r="N166" s="21">
        <f>Suppliers!S8</f>
        <v/>
      </c>
      <c r="O166" s="21">
        <f>Suppliers!T8</f>
        <v/>
      </c>
      <c r="P166" s="21">
        <f>Suppliers!U8</f>
        <v/>
      </c>
      <c r="Q166" s="21">
        <f>Suppliers!V8</f>
        <v/>
      </c>
      <c r="R166" s="21">
        <f>Suppliers!W8</f>
        <v/>
      </c>
    </row>
    <row r="169">
      <c r="C169" s="18" t="inlineStr">
        <is>
          <t>SigmaNDw</t>
        </is>
      </c>
      <c r="D169" s="15" t="n">
        <v>1</v>
      </c>
      <c r="E169" s="15" t="n">
        <v>2</v>
      </c>
      <c r="F169" s="15" t="n">
        <v>3</v>
      </c>
      <c r="G169" s="15" t="n">
        <v>4</v>
      </c>
      <c r="H169" s="15" t="n">
        <v>5</v>
      </c>
      <c r="I169" s="15" t="n">
        <v>6</v>
      </c>
      <c r="J169" s="15" t="n">
        <v>7</v>
      </c>
      <c r="K169" s="15" t="n">
        <v>8</v>
      </c>
      <c r="L169" s="15" t="n">
        <v>9</v>
      </c>
      <c r="M169" s="15" t="n">
        <v>10</v>
      </c>
      <c r="N169" s="15" t="n">
        <v>11</v>
      </c>
      <c r="O169" s="15" t="n">
        <v>12</v>
      </c>
      <c r="P169" s="15" t="n">
        <v>13</v>
      </c>
      <c r="Q169" s="15" t="n">
        <v>14</v>
      </c>
      <c r="R169" s="15" t="n">
        <v>15</v>
      </c>
    </row>
    <row r="170">
      <c r="C170" s="15" t="n">
        <v>1</v>
      </c>
      <c r="D170" s="21">
        <f>Suppliers!I17</f>
        <v/>
      </c>
      <c r="E170" s="21">
        <f>Suppliers!J17</f>
        <v/>
      </c>
      <c r="F170" s="21">
        <f>Suppliers!K17</f>
        <v/>
      </c>
      <c r="G170" s="21">
        <f>Suppliers!L17</f>
        <v/>
      </c>
      <c r="H170" s="21">
        <f>Suppliers!M17</f>
        <v/>
      </c>
      <c r="I170" s="21">
        <f>Suppliers!N17</f>
        <v/>
      </c>
      <c r="J170" s="21">
        <f>Suppliers!O17</f>
        <v/>
      </c>
      <c r="K170" s="21">
        <f>Suppliers!P17</f>
        <v/>
      </c>
      <c r="L170" s="21">
        <f>Suppliers!Q17</f>
        <v/>
      </c>
      <c r="M170" s="21">
        <f>Suppliers!R17</f>
        <v/>
      </c>
      <c r="N170" s="21">
        <f>Suppliers!S17</f>
        <v/>
      </c>
      <c r="O170" s="21">
        <f>Suppliers!T17</f>
        <v/>
      </c>
      <c r="P170" s="21">
        <f>Suppliers!U17</f>
        <v/>
      </c>
      <c r="Q170" s="21">
        <f>Suppliers!V17</f>
        <v/>
      </c>
      <c r="R170" s="21">
        <f>Suppliers!W17</f>
        <v/>
      </c>
    </row>
    <row r="171">
      <c r="C171" s="15" t="n">
        <v>2</v>
      </c>
      <c r="D171" s="21">
        <f>Suppliers!I18</f>
        <v/>
      </c>
      <c r="E171" s="21">
        <f>Suppliers!J18</f>
        <v/>
      </c>
      <c r="F171" s="21">
        <f>Suppliers!K18</f>
        <v/>
      </c>
      <c r="G171" s="21">
        <f>Suppliers!L18</f>
        <v/>
      </c>
      <c r="H171" s="21">
        <f>Suppliers!M18</f>
        <v/>
      </c>
      <c r="I171" s="21">
        <f>Suppliers!N18</f>
        <v/>
      </c>
      <c r="J171" s="21">
        <f>Suppliers!O18</f>
        <v/>
      </c>
      <c r="K171" s="21">
        <f>Suppliers!P18</f>
        <v/>
      </c>
      <c r="L171" s="21">
        <f>Suppliers!Q18</f>
        <v/>
      </c>
      <c r="M171" s="21">
        <f>Suppliers!R18</f>
        <v/>
      </c>
      <c r="N171" s="21">
        <f>Suppliers!S18</f>
        <v/>
      </c>
      <c r="O171" s="21">
        <f>Suppliers!T18</f>
        <v/>
      </c>
      <c r="P171" s="21">
        <f>Suppliers!U18</f>
        <v/>
      </c>
      <c r="Q171" s="21">
        <f>Suppliers!V18</f>
        <v/>
      </c>
      <c r="R171" s="21">
        <f>Suppliers!W18</f>
        <v/>
      </c>
    </row>
    <row r="172">
      <c r="C172" s="15" t="n">
        <v>3</v>
      </c>
      <c r="D172" s="21">
        <f>Suppliers!I19</f>
        <v/>
      </c>
      <c r="E172" s="21">
        <f>Suppliers!J19</f>
        <v/>
      </c>
      <c r="F172" s="21">
        <f>Suppliers!K19</f>
        <v/>
      </c>
      <c r="G172" s="21">
        <f>Suppliers!L19</f>
        <v/>
      </c>
      <c r="H172" s="21">
        <f>Suppliers!M19</f>
        <v/>
      </c>
      <c r="I172" s="21">
        <f>Suppliers!N19</f>
        <v/>
      </c>
      <c r="J172" s="21">
        <f>Suppliers!O19</f>
        <v/>
      </c>
      <c r="K172" s="21">
        <f>Suppliers!P19</f>
        <v/>
      </c>
      <c r="L172" s="21">
        <f>Suppliers!Q19</f>
        <v/>
      </c>
      <c r="M172" s="21">
        <f>Suppliers!R19</f>
        <v/>
      </c>
      <c r="N172" s="21">
        <f>Suppliers!S19</f>
        <v/>
      </c>
      <c r="O172" s="21">
        <f>Suppliers!T19</f>
        <v/>
      </c>
      <c r="P172" s="21">
        <f>Suppliers!U19</f>
        <v/>
      </c>
      <c r="Q172" s="21">
        <f>Suppliers!V19</f>
        <v/>
      </c>
      <c r="R172" s="21">
        <f>Suppliers!W19</f>
        <v/>
      </c>
    </row>
    <row r="175">
      <c r="C175" s="36" t="inlineStr">
        <is>
          <t>vRadicandw</t>
        </is>
      </c>
      <c r="D175" s="15" t="n">
        <v>1</v>
      </c>
      <c r="E175" s="15" t="n">
        <v>2</v>
      </c>
      <c r="F175" s="15" t="n">
        <v>3</v>
      </c>
      <c r="G175" s="15" t="n">
        <v>4</v>
      </c>
      <c r="H175" s="15" t="n">
        <v>5</v>
      </c>
      <c r="I175" s="15" t="n">
        <v>6</v>
      </c>
      <c r="J175" s="15" t="n">
        <v>7</v>
      </c>
      <c r="K175" s="15" t="n">
        <v>8</v>
      </c>
      <c r="L175" s="15" t="n">
        <v>9</v>
      </c>
      <c r="M175" s="15" t="n">
        <v>10</v>
      </c>
      <c r="N175" s="15" t="n">
        <v>11</v>
      </c>
      <c r="O175" s="15" t="n">
        <v>12</v>
      </c>
      <c r="P175" s="15" t="n">
        <v>13</v>
      </c>
      <c r="Q175" s="15" t="n">
        <v>14</v>
      </c>
      <c r="R175" s="15" t="n">
        <v>15</v>
      </c>
      <c r="U175" s="15" t="n">
        <v>1</v>
      </c>
      <c r="V175" s="15" t="n">
        <v>2</v>
      </c>
      <c r="W175" s="15" t="n">
        <v>3</v>
      </c>
      <c r="X175" s="15" t="n">
        <v>4</v>
      </c>
      <c r="Y175" s="15" t="n">
        <v>5</v>
      </c>
      <c r="Z175" s="15" t="n">
        <v>6</v>
      </c>
      <c r="AA175" s="15" t="n">
        <v>7</v>
      </c>
      <c r="AB175" s="15" t="n">
        <v>8</v>
      </c>
      <c r="AC175" s="15" t="n">
        <v>9</v>
      </c>
      <c r="AD175" s="15" t="n">
        <v>10</v>
      </c>
      <c r="AE175" s="15" t="n">
        <v>11</v>
      </c>
      <c r="AF175" s="15" t="n">
        <v>12</v>
      </c>
      <c r="AG175" s="15" t="n">
        <v>13</v>
      </c>
      <c r="AH175" s="15" t="n">
        <v>14</v>
      </c>
      <c r="AI175" s="15" t="n">
        <v>15</v>
      </c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  <c r="AS175" s="15" t="n"/>
      <c r="AT175" s="15" t="n"/>
      <c r="AU175" s="15" t="n"/>
      <c r="AV175" s="15" t="n"/>
      <c r="AW175" s="15" t="n"/>
      <c r="AX175" s="15" t="n"/>
    </row>
    <row r="176">
      <c r="C176" s="15" t="n">
        <v>1</v>
      </c>
      <c r="D176" s="33" t="n">
        <v>0</v>
      </c>
      <c r="E176" s="33" t="n">
        <v>0</v>
      </c>
      <c r="F176" s="33" t="n">
        <v>0</v>
      </c>
      <c r="G176" s="33" t="n">
        <v>0</v>
      </c>
      <c r="H176" s="33" t="n">
        <v>227783.5523999958</v>
      </c>
      <c r="I176" s="33" t="n">
        <v>88300.93423680775</v>
      </c>
      <c r="J176" s="33" t="n">
        <v>0</v>
      </c>
      <c r="K176" s="33" t="n">
        <v>197407.4253120013</v>
      </c>
      <c r="L176" s="33" t="n">
        <v>134961.6905999854</v>
      </c>
      <c r="M176" s="33" t="n">
        <v>0</v>
      </c>
      <c r="N176" s="33" t="n">
        <v>0</v>
      </c>
      <c r="O176" s="33" t="n">
        <v>0</v>
      </c>
      <c r="P176" s="33" t="n">
        <v>99624.91561920755</v>
      </c>
      <c r="Q176" s="33" t="n">
        <v>84924.90236160345</v>
      </c>
      <c r="R176" s="33" t="n">
        <v>302434.4100383967</v>
      </c>
      <c r="U176" s="21">
        <f>D176^0.5</f>
        <v/>
      </c>
      <c r="V176" s="21">
        <f>E176^0.5</f>
        <v/>
      </c>
      <c r="W176" s="21">
        <f>F176^0.5</f>
        <v/>
      </c>
      <c r="X176" s="21">
        <f>G176^0.5</f>
        <v/>
      </c>
      <c r="Y176" s="21">
        <f>H176^0.5</f>
        <v/>
      </c>
      <c r="Z176" s="21">
        <f>I176^0.5</f>
        <v/>
      </c>
      <c r="AA176" s="21">
        <f>J176^0.5</f>
        <v/>
      </c>
      <c r="AB176" s="21">
        <f>K176^0.5</f>
        <v/>
      </c>
      <c r="AC176" s="21">
        <f>L176^0.5</f>
        <v/>
      </c>
      <c r="AD176" s="21">
        <f>M176^0.5</f>
        <v/>
      </c>
      <c r="AE176" s="21">
        <f>N176^0.5</f>
        <v/>
      </c>
      <c r="AF176" s="21">
        <f>O176^0.5</f>
        <v/>
      </c>
      <c r="AG176" s="21">
        <f>P176^0.5</f>
        <v/>
      </c>
      <c r="AH176" s="21">
        <f>Q176^0.5</f>
        <v/>
      </c>
      <c r="AI176" s="21">
        <f>R176^0.5</f>
        <v/>
      </c>
      <c r="AJ176" s="21" t="n"/>
      <c r="AK176" s="21" t="n"/>
      <c r="AL176" s="21" t="n"/>
      <c r="AM176" s="21" t="n"/>
      <c r="AN176" s="21" t="n"/>
      <c r="AO176" s="21" t="n"/>
      <c r="AP176" s="21" t="n"/>
      <c r="AQ176" s="21" t="n"/>
      <c r="AR176" s="21" t="n"/>
      <c r="AS176" s="21" t="n"/>
      <c r="AT176" s="21" t="n"/>
      <c r="AU176" s="21" t="n"/>
      <c r="AV176" s="21" t="n"/>
      <c r="AW176" s="21" t="n"/>
      <c r="AX176" s="21" t="n"/>
    </row>
    <row r="177">
      <c r="C177" s="15" t="n">
        <v>2</v>
      </c>
      <c r="D177" s="33" t="n">
        <v>116268.2087327931</v>
      </c>
      <c r="E177" s="33" t="n">
        <v>117884.8267055958</v>
      </c>
      <c r="F177" s="33" t="n">
        <v>0</v>
      </c>
      <c r="G177" s="33" t="n">
        <v>0</v>
      </c>
      <c r="H177" s="33" t="n">
        <v>0</v>
      </c>
      <c r="I177" s="33" t="n">
        <v>210262.5740159843</v>
      </c>
      <c r="J177" s="33" t="n">
        <v>0</v>
      </c>
      <c r="K177" s="33" t="n">
        <v>0</v>
      </c>
      <c r="L177" s="33" t="n">
        <v>0</v>
      </c>
      <c r="M177" s="33" t="n">
        <v>81041.94126720168</v>
      </c>
      <c r="N177" s="33" t="n">
        <v>0</v>
      </c>
      <c r="O177" s="33" t="n">
        <v>178382.240711993</v>
      </c>
      <c r="P177" s="33" t="n">
        <v>145143.2613470435</v>
      </c>
      <c r="Q177" s="33" t="n">
        <v>283252.650840003</v>
      </c>
      <c r="R177" s="33" t="n">
        <v>183901.5062351953</v>
      </c>
      <c r="U177" s="21">
        <f>D177^0.5</f>
        <v/>
      </c>
      <c r="V177" s="21">
        <f>E177^0.5</f>
        <v/>
      </c>
      <c r="W177" s="21">
        <f>F177^0.5</f>
        <v/>
      </c>
      <c r="X177" s="21">
        <f>G177^0.5</f>
        <v/>
      </c>
      <c r="Y177" s="21">
        <f>H177^0.5</f>
        <v/>
      </c>
      <c r="Z177" s="21">
        <f>I177^0.5</f>
        <v/>
      </c>
      <c r="AA177" s="21">
        <f>J177^0.5</f>
        <v/>
      </c>
      <c r="AB177" s="21">
        <f>K177^0.5</f>
        <v/>
      </c>
      <c r="AC177" s="21">
        <f>L177^0.5</f>
        <v/>
      </c>
      <c r="AD177" s="21">
        <f>M177^0.5</f>
        <v/>
      </c>
      <c r="AE177" s="21">
        <f>N177^0.5</f>
        <v/>
      </c>
      <c r="AF177" s="21">
        <f>O177^0.5</f>
        <v/>
      </c>
      <c r="AG177" s="21">
        <f>P177^0.5</f>
        <v/>
      </c>
      <c r="AH177" s="21">
        <f>Q177^0.5</f>
        <v/>
      </c>
      <c r="AI177" s="21">
        <f>R177^0.5</f>
        <v/>
      </c>
      <c r="AJ177" s="21" t="n"/>
      <c r="AK177" s="21" t="n"/>
      <c r="AL177" s="21" t="n"/>
      <c r="AM177" s="21" t="n"/>
      <c r="AN177" s="21" t="n"/>
      <c r="AO177" s="21" t="n"/>
      <c r="AP177" s="21" t="n"/>
      <c r="AQ177" s="21" t="n"/>
      <c r="AR177" s="21" t="n"/>
      <c r="AS177" s="21" t="n"/>
      <c r="AT177" s="21" t="n"/>
      <c r="AU177" s="21" t="n"/>
      <c r="AV177" s="21" t="n"/>
      <c r="AW177" s="21" t="n"/>
      <c r="AX177" s="21" t="n"/>
    </row>
    <row r="178">
      <c r="C178" s="15" t="n">
        <v>3</v>
      </c>
      <c r="D178" s="33" t="n">
        <v>274303.3974336058</v>
      </c>
      <c r="E178" s="33" t="n">
        <v>0</v>
      </c>
      <c r="F178" s="33" t="n">
        <v>0</v>
      </c>
      <c r="G178" s="33" t="n">
        <v>255247.9491894156</v>
      </c>
      <c r="H178" s="33" t="n">
        <v>0</v>
      </c>
      <c r="I178" s="33" t="n">
        <v>268321.1148615834</v>
      </c>
      <c r="J178" s="33" t="n">
        <v>113424.7143456101</v>
      </c>
      <c r="K178" s="33" t="n">
        <v>0</v>
      </c>
      <c r="L178" s="33" t="n">
        <v>0</v>
      </c>
      <c r="M178" s="33" t="n">
        <v>0</v>
      </c>
      <c r="N178" s="33" t="n">
        <v>87940.57361758947</v>
      </c>
      <c r="O178" s="33" t="n">
        <v>0</v>
      </c>
      <c r="P178" s="33" t="n">
        <v>0</v>
      </c>
      <c r="Q178" s="33" t="n">
        <v>0</v>
      </c>
      <c r="R178" s="33" t="n">
        <v>145014.6128687896</v>
      </c>
      <c r="U178" s="21">
        <f>D178^0.5</f>
        <v/>
      </c>
      <c r="V178" s="21">
        <f>E178^0.5</f>
        <v/>
      </c>
      <c r="W178" s="21">
        <f>F178^0.5</f>
        <v/>
      </c>
      <c r="X178" s="21">
        <f>G178^0.5</f>
        <v/>
      </c>
      <c r="Y178" s="21">
        <f>H178^0.5</f>
        <v/>
      </c>
      <c r="Z178" s="21">
        <f>I178^0.5</f>
        <v/>
      </c>
      <c r="AA178" s="21">
        <f>J178^0.5</f>
        <v/>
      </c>
      <c r="AB178" s="21">
        <f>K178^0.5</f>
        <v/>
      </c>
      <c r="AC178" s="21">
        <f>L178^0.5</f>
        <v/>
      </c>
      <c r="AD178" s="21">
        <f>M178^0.5</f>
        <v/>
      </c>
      <c r="AE178" s="21">
        <f>N178^0.5</f>
        <v/>
      </c>
      <c r="AF178" s="21">
        <f>O178^0.5</f>
        <v/>
      </c>
      <c r="AG178" s="21">
        <f>P178^0.5</f>
        <v/>
      </c>
      <c r="AH178" s="21">
        <f>Q178^0.5</f>
        <v/>
      </c>
      <c r="AI178" s="21">
        <f>R178^0.5</f>
        <v/>
      </c>
      <c r="AJ178" s="21" t="n"/>
      <c r="AK178" s="21" t="n"/>
      <c r="AL178" s="21" t="n"/>
      <c r="AM178" s="21" t="n"/>
      <c r="AN178" s="21" t="n"/>
      <c r="AO178" s="21" t="n"/>
      <c r="AP178" s="21" t="n"/>
      <c r="AQ178" s="21" t="n"/>
      <c r="AR178" s="21" t="n"/>
      <c r="AS178" s="21" t="n"/>
      <c r="AT178" s="21" t="n"/>
      <c r="AU178" s="21" t="n"/>
      <c r="AV178" s="21" t="n"/>
      <c r="AW178" s="21" t="n"/>
      <c r="AX178" s="21" t="n"/>
    </row>
    <row r="181">
      <c r="C181" s="36" t="inlineStr">
        <is>
          <t>vSQRTw</t>
        </is>
      </c>
      <c r="D181" s="15" t="n">
        <v>1</v>
      </c>
      <c r="E181" s="15" t="n">
        <v>2</v>
      </c>
      <c r="F181" s="15" t="n">
        <v>3</v>
      </c>
      <c r="G181" s="15" t="n">
        <v>4</v>
      </c>
      <c r="H181" s="15" t="n">
        <v>5</v>
      </c>
      <c r="I181" s="15" t="n">
        <v>6</v>
      </c>
      <c r="J181" s="15" t="n">
        <v>7</v>
      </c>
      <c r="K181" s="15" t="n">
        <v>8</v>
      </c>
      <c r="L181" s="15" t="n">
        <v>9</v>
      </c>
      <c r="M181" s="15" t="n">
        <v>10</v>
      </c>
      <c r="N181" s="15" t="n">
        <v>11</v>
      </c>
      <c r="O181" s="15" t="n">
        <v>12</v>
      </c>
      <c r="P181" s="15" t="n">
        <v>13</v>
      </c>
      <c r="Q181" s="15" t="n">
        <v>14</v>
      </c>
      <c r="R181" s="15" t="n">
        <v>15</v>
      </c>
      <c r="U181" s="15" t="n">
        <v>1</v>
      </c>
      <c r="V181" s="15" t="n">
        <v>2</v>
      </c>
      <c r="W181" s="15" t="n">
        <v>3</v>
      </c>
      <c r="X181" s="15" t="n">
        <v>4</v>
      </c>
      <c r="Y181" s="15" t="n">
        <v>5</v>
      </c>
      <c r="Z181" s="15" t="n">
        <v>6</v>
      </c>
      <c r="AA181" s="15" t="n">
        <v>7</v>
      </c>
      <c r="AB181" s="15" t="n">
        <v>8</v>
      </c>
      <c r="AC181" s="15" t="n">
        <v>9</v>
      </c>
      <c r="AD181" s="15" t="n">
        <v>10</v>
      </c>
      <c r="AE181" s="15" t="n">
        <v>11</v>
      </c>
      <c r="AF181" s="15" t="n">
        <v>12</v>
      </c>
      <c r="AG181" s="15" t="n">
        <v>13</v>
      </c>
      <c r="AH181" s="15" t="n">
        <v>14</v>
      </c>
      <c r="AI181" s="15" t="n">
        <v>15</v>
      </c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  <c r="AS181" s="15" t="n"/>
      <c r="AT181" s="15" t="n"/>
      <c r="AU181" s="15" t="n"/>
      <c r="AV181" s="15" t="n"/>
      <c r="AW181" s="15" t="n"/>
      <c r="AX181" s="15" t="n"/>
    </row>
    <row r="182">
      <c r="C182" s="15" t="n">
        <v>1</v>
      </c>
      <c r="D182" s="33" t="n">
        <v>1</v>
      </c>
      <c r="E182" s="33" t="n">
        <v>1</v>
      </c>
      <c r="F182" s="33" t="n">
        <v>1</v>
      </c>
      <c r="G182" s="33" t="n">
        <v>1</v>
      </c>
      <c r="H182" s="33" t="n">
        <v>478</v>
      </c>
      <c r="I182" s="33" t="n">
        <v>298</v>
      </c>
      <c r="J182" s="33" t="n">
        <v>1</v>
      </c>
      <c r="K182" s="33" t="n">
        <v>445</v>
      </c>
      <c r="L182" s="33" t="n">
        <v>368</v>
      </c>
      <c r="M182" s="33" t="n">
        <v>1</v>
      </c>
      <c r="N182" s="33" t="n">
        <v>1</v>
      </c>
      <c r="O182" s="33" t="n">
        <v>1</v>
      </c>
      <c r="P182" s="33" t="n">
        <v>316</v>
      </c>
      <c r="Q182" s="33" t="n">
        <v>292</v>
      </c>
      <c r="R182" s="33" t="n">
        <v>550</v>
      </c>
      <c r="U182" s="21">
        <f>U176-D182</f>
        <v/>
      </c>
      <c r="V182" s="21">
        <f>V176-E182</f>
        <v/>
      </c>
      <c r="W182" s="21">
        <f>W176-F182</f>
        <v/>
      </c>
      <c r="X182" s="21">
        <f>X176-G182</f>
        <v/>
      </c>
      <c r="Y182" s="21">
        <f>Y176-H182</f>
        <v/>
      </c>
      <c r="Z182" s="21">
        <f>Z176-I182</f>
        <v/>
      </c>
      <c r="AA182" s="21">
        <f>AA176-J182</f>
        <v/>
      </c>
      <c r="AB182" s="21">
        <f>AB176-K182</f>
        <v/>
      </c>
      <c r="AC182" s="21">
        <f>AC176-L182</f>
        <v/>
      </c>
      <c r="AD182" s="21">
        <f>AD176-M182</f>
        <v/>
      </c>
      <c r="AE182" s="21">
        <f>AE176-N182</f>
        <v/>
      </c>
      <c r="AF182" s="21">
        <f>AF176-O182</f>
        <v/>
      </c>
      <c r="AG182" s="21">
        <f>AG176-P182</f>
        <v/>
      </c>
      <c r="AH182" s="21">
        <f>AH176-Q182</f>
        <v/>
      </c>
      <c r="AI182" s="21">
        <f>AI176-R182</f>
        <v/>
      </c>
      <c r="AJ182" s="21" t="n"/>
      <c r="AK182" s="21" t="n"/>
      <c r="AL182" s="21" t="n"/>
      <c r="AM182" s="21" t="n"/>
      <c r="AN182" s="21" t="n"/>
      <c r="AO182" s="21" t="n"/>
      <c r="AP182" s="21" t="n"/>
      <c r="AQ182" s="21" t="n"/>
      <c r="AR182" s="21" t="n"/>
      <c r="AS182" s="21" t="n"/>
      <c r="AT182" s="21" t="n"/>
      <c r="AU182" s="21" t="n"/>
      <c r="AV182" s="21" t="n"/>
      <c r="AW182" s="21" t="n"/>
      <c r="AX182" s="21" t="n"/>
    </row>
    <row r="183">
      <c r="C183" s="15" t="n">
        <v>2</v>
      </c>
      <c r="D183" s="33" t="n">
        <v>341</v>
      </c>
      <c r="E183" s="33" t="n">
        <v>344</v>
      </c>
      <c r="F183" s="33" t="n">
        <v>1</v>
      </c>
      <c r="G183" s="33" t="n">
        <v>1</v>
      </c>
      <c r="H183" s="33" t="n">
        <v>1</v>
      </c>
      <c r="I183" s="33" t="n">
        <v>459</v>
      </c>
      <c r="J183" s="33" t="n">
        <v>1</v>
      </c>
      <c r="K183" s="33" t="n">
        <v>1</v>
      </c>
      <c r="L183" s="33" t="n">
        <v>1</v>
      </c>
      <c r="M183" s="33" t="n">
        <v>285</v>
      </c>
      <c r="N183" s="33" t="n">
        <v>1</v>
      </c>
      <c r="O183" s="33" t="n">
        <v>423</v>
      </c>
      <c r="P183" s="33" t="n">
        <v>384</v>
      </c>
      <c r="Q183" s="33" t="n">
        <v>533</v>
      </c>
      <c r="R183" s="33" t="n">
        <v>429</v>
      </c>
      <c r="U183" s="21">
        <f>U177-D183</f>
        <v/>
      </c>
      <c r="V183" s="21">
        <f>V177-E183</f>
        <v/>
      </c>
      <c r="W183" s="21">
        <f>W177-F183</f>
        <v/>
      </c>
      <c r="X183" s="21">
        <f>X177-G183</f>
        <v/>
      </c>
      <c r="Y183" s="21">
        <f>Y177-H183</f>
        <v/>
      </c>
      <c r="Z183" s="21">
        <f>Z177-I183</f>
        <v/>
      </c>
      <c r="AA183" s="21">
        <f>AA177-J183</f>
        <v/>
      </c>
      <c r="AB183" s="21">
        <f>AB177-K183</f>
        <v/>
      </c>
      <c r="AC183" s="21">
        <f>AC177-L183</f>
        <v/>
      </c>
      <c r="AD183" s="21">
        <f>AD177-M183</f>
        <v/>
      </c>
      <c r="AE183" s="21">
        <f>AE177-N183</f>
        <v/>
      </c>
      <c r="AF183" s="21">
        <f>AF177-O183</f>
        <v/>
      </c>
      <c r="AG183" s="21">
        <f>AG177-P183</f>
        <v/>
      </c>
      <c r="AH183" s="21">
        <f>AH177-Q183</f>
        <v/>
      </c>
      <c r="AI183" s="21">
        <f>AI177-R183</f>
        <v/>
      </c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  <c r="AW183" s="21" t="n"/>
      <c r="AX183" s="21" t="n"/>
    </row>
    <row r="184">
      <c r="C184" s="15" t="n">
        <v>3</v>
      </c>
      <c r="D184" s="33" t="n">
        <v>524</v>
      </c>
      <c r="E184" s="33" t="n">
        <v>1</v>
      </c>
      <c r="F184" s="33" t="n">
        <v>1</v>
      </c>
      <c r="G184" s="33" t="n">
        <v>506</v>
      </c>
      <c r="H184" s="33" t="n">
        <v>1</v>
      </c>
      <c r="I184" s="33" t="n">
        <v>518</v>
      </c>
      <c r="J184" s="33" t="n">
        <v>337</v>
      </c>
      <c r="K184" s="33" t="n">
        <v>1</v>
      </c>
      <c r="L184" s="33" t="n">
        <v>1</v>
      </c>
      <c r="M184" s="33" t="n">
        <v>1</v>
      </c>
      <c r="N184" s="33" t="n">
        <v>297</v>
      </c>
      <c r="O184" s="33" t="n">
        <v>1</v>
      </c>
      <c r="P184" s="33" t="n">
        <v>1</v>
      </c>
      <c r="Q184" s="33" t="n">
        <v>1</v>
      </c>
      <c r="R184" s="33" t="n">
        <v>381</v>
      </c>
      <c r="U184" s="21">
        <f>U178-D184</f>
        <v/>
      </c>
      <c r="V184" s="21">
        <f>V178-E184</f>
        <v/>
      </c>
      <c r="W184" s="21">
        <f>W178-F184</f>
        <v/>
      </c>
      <c r="X184" s="21">
        <f>X178-G184</f>
        <v/>
      </c>
      <c r="Y184" s="21">
        <f>Y178-H184</f>
        <v/>
      </c>
      <c r="Z184" s="21">
        <f>Z178-I184</f>
        <v/>
      </c>
      <c r="AA184" s="21">
        <f>AA178-J184</f>
        <v/>
      </c>
      <c r="AB184" s="21">
        <f>AB178-K184</f>
        <v/>
      </c>
      <c r="AC184" s="21">
        <f>AC178-L184</f>
        <v/>
      </c>
      <c r="AD184" s="21">
        <f>AD178-M184</f>
        <v/>
      </c>
      <c r="AE184" s="21">
        <f>AE178-N184</f>
        <v/>
      </c>
      <c r="AF184" s="21">
        <f>AF178-O184</f>
        <v/>
      </c>
      <c r="AG184" s="21">
        <f>AG178-P184</f>
        <v/>
      </c>
      <c r="AH184" s="21">
        <f>AH178-Q184</f>
        <v/>
      </c>
      <c r="AI184" s="21">
        <f>AI178-R184</f>
        <v/>
      </c>
      <c r="AJ184" s="21" t="n"/>
      <c r="AK184" s="21" t="n"/>
      <c r="AL184" s="21" t="n"/>
      <c r="AM184" s="21" t="n"/>
      <c r="AN184" s="21" t="n"/>
      <c r="AO184" s="21" t="n"/>
      <c r="AP184" s="21" t="n"/>
      <c r="AQ184" s="21" t="n"/>
      <c r="AR184" s="21" t="n"/>
      <c r="AS184" s="21" t="n"/>
      <c r="AT184" s="21" t="n"/>
      <c r="AU184" s="21" t="n"/>
      <c r="AV184" s="21" t="n"/>
      <c r="AW184" s="21" t="n"/>
      <c r="AX184" s="21" t="n"/>
    </row>
    <row r="185">
      <c r="C185" s="15" t="n"/>
    </row>
    <row r="187">
      <c r="C187" s="18" t="inlineStr">
        <is>
          <t>Optimal solution (SS)</t>
        </is>
      </c>
      <c r="D187" s="15" t="n">
        <v>1</v>
      </c>
      <c r="E187" s="15" t="n">
        <v>2</v>
      </c>
      <c r="F187" s="15" t="n">
        <v>3</v>
      </c>
      <c r="G187" s="15" t="n">
        <v>4</v>
      </c>
      <c r="H187" s="15" t="n">
        <v>5</v>
      </c>
      <c r="I187" s="15" t="n">
        <v>6</v>
      </c>
      <c r="J187" s="15" t="n">
        <v>7</v>
      </c>
      <c r="K187" s="15" t="n">
        <v>8</v>
      </c>
      <c r="L187" s="15" t="n">
        <v>9</v>
      </c>
      <c r="M187" s="15" t="n">
        <v>10</v>
      </c>
      <c r="N187" s="15" t="n">
        <v>11</v>
      </c>
      <c r="O187" s="15" t="n">
        <v>12</v>
      </c>
      <c r="P187" s="15" t="n">
        <v>13</v>
      </c>
      <c r="Q187" s="15" t="n">
        <v>14</v>
      </c>
      <c r="R187" s="15" t="n">
        <v>15</v>
      </c>
    </row>
    <row r="188">
      <c r="C188" s="15" t="n">
        <v>1</v>
      </c>
      <c r="D188" s="21">
        <f>D164*D230</f>
        <v/>
      </c>
      <c r="E188" s="21">
        <f>E164*E230</f>
        <v/>
      </c>
      <c r="F188" s="21">
        <f>F164*F230</f>
        <v/>
      </c>
      <c r="G188" s="21">
        <f>G164*G230</f>
        <v/>
      </c>
      <c r="H188" s="21">
        <f>H164*H230</f>
        <v/>
      </c>
      <c r="I188" s="21">
        <f>I164*I230</f>
        <v/>
      </c>
      <c r="J188" s="21">
        <f>J164*J230</f>
        <v/>
      </c>
      <c r="K188" s="21">
        <f>K164*K230</f>
        <v/>
      </c>
      <c r="L188" s="21">
        <f>L164*L230</f>
        <v/>
      </c>
      <c r="M188" s="21">
        <f>M164*M230</f>
        <v/>
      </c>
      <c r="N188" s="21">
        <f>N164*N230</f>
        <v/>
      </c>
      <c r="O188" s="21">
        <f>O164*O230</f>
        <v/>
      </c>
      <c r="P188" s="21">
        <f>P164*P230</f>
        <v/>
      </c>
      <c r="Q188" s="21">
        <f>Q164*Q230</f>
        <v/>
      </c>
      <c r="R188" s="21">
        <f>R164*R230</f>
        <v/>
      </c>
    </row>
    <row r="189">
      <c r="C189" s="15" t="n">
        <v>2</v>
      </c>
      <c r="D189" s="21">
        <f>D165*D231</f>
        <v/>
      </c>
      <c r="E189" s="21">
        <f>E165*E231</f>
        <v/>
      </c>
      <c r="F189" s="21">
        <f>F165*F231</f>
        <v/>
      </c>
      <c r="G189" s="21">
        <f>G165*G231</f>
        <v/>
      </c>
      <c r="H189" s="21">
        <f>H165*H231</f>
        <v/>
      </c>
      <c r="I189" s="21">
        <f>I165*I231</f>
        <v/>
      </c>
      <c r="J189" s="21">
        <f>J165*J231</f>
        <v/>
      </c>
      <c r="K189" s="21">
        <f>K165*K231</f>
        <v/>
      </c>
      <c r="L189" s="21">
        <f>L165*L231</f>
        <v/>
      </c>
      <c r="M189" s="21">
        <f>M165*M231</f>
        <v/>
      </c>
      <c r="N189" s="21">
        <f>N165*N231</f>
        <v/>
      </c>
      <c r="O189" s="21">
        <f>O165*O231</f>
        <v/>
      </c>
      <c r="P189" s="21">
        <f>P165*P231</f>
        <v/>
      </c>
      <c r="Q189" s="21">
        <f>Q165*Q231</f>
        <v/>
      </c>
      <c r="R189" s="21">
        <f>R165*R231</f>
        <v/>
      </c>
    </row>
    <row r="190">
      <c r="C190" s="15" t="n">
        <v>3</v>
      </c>
      <c r="D190" s="21">
        <f>D166*D232</f>
        <v/>
      </c>
      <c r="E190" s="21">
        <f>E166*E232</f>
        <v/>
      </c>
      <c r="F190" s="21">
        <f>F166*F232</f>
        <v/>
      </c>
      <c r="G190" s="21">
        <f>G166*G232</f>
        <v/>
      </c>
      <c r="H190" s="21">
        <f>H166*H232</f>
        <v/>
      </c>
      <c r="I190" s="21">
        <f>I166*I232</f>
        <v/>
      </c>
      <c r="J190" s="21">
        <f>J166*J232</f>
        <v/>
      </c>
      <c r="K190" s="21">
        <f>K166*K232</f>
        <v/>
      </c>
      <c r="L190" s="21">
        <f>L166*L232</f>
        <v/>
      </c>
      <c r="M190" s="21">
        <f>M166*M232</f>
        <v/>
      </c>
      <c r="N190" s="21">
        <f>N166*N232</f>
        <v/>
      </c>
      <c r="O190" s="21">
        <f>O166*O232</f>
        <v/>
      </c>
      <c r="P190" s="21">
        <f>P166*P232</f>
        <v/>
      </c>
      <c r="Q190" s="21">
        <f>Q166*Q232</f>
        <v/>
      </c>
      <c r="R190" s="21">
        <f>R166*R232</f>
        <v/>
      </c>
    </row>
    <row r="192">
      <c r="AL192" s="18" t="inlineStr">
        <is>
          <t>COMPARAÇÃO</t>
        </is>
      </c>
    </row>
    <row r="193">
      <c r="C193" s="18" t="inlineStr">
        <is>
          <t>vZw</t>
        </is>
      </c>
      <c r="D193" s="15" t="n">
        <v>1</v>
      </c>
      <c r="E193" s="15" t="n">
        <v>2</v>
      </c>
      <c r="F193" s="15" t="n">
        <v>3</v>
      </c>
      <c r="G193" s="15" t="n">
        <v>4</v>
      </c>
      <c r="H193" s="15" t="n">
        <v>5</v>
      </c>
      <c r="I193" s="15" t="n">
        <v>6</v>
      </c>
      <c r="J193" s="15" t="n">
        <v>7</v>
      </c>
      <c r="K193" s="15" t="n">
        <v>8</v>
      </c>
      <c r="L193" s="15" t="n">
        <v>9</v>
      </c>
      <c r="M193" s="15" t="n">
        <v>10</v>
      </c>
      <c r="N193" s="15" t="n">
        <v>11</v>
      </c>
      <c r="O193" s="15" t="n">
        <v>12</v>
      </c>
      <c r="P193" s="15" t="n">
        <v>13</v>
      </c>
      <c r="Q193" s="15" t="n">
        <v>14</v>
      </c>
      <c r="R193" s="15" t="n">
        <v>15</v>
      </c>
      <c r="T193" s="18" t="inlineStr">
        <is>
          <t>vZw</t>
        </is>
      </c>
      <c r="U193" s="15" t="n">
        <v>1</v>
      </c>
      <c r="V193" s="15" t="n">
        <v>2</v>
      </c>
      <c r="W193" s="15" t="n">
        <v>3</v>
      </c>
      <c r="X193" s="15" t="n">
        <v>4</v>
      </c>
      <c r="Y193" s="15" t="n">
        <v>5</v>
      </c>
      <c r="Z193" s="15" t="n">
        <v>6</v>
      </c>
      <c r="AA193" s="15" t="n">
        <v>7</v>
      </c>
      <c r="AB193" s="15" t="n">
        <v>8</v>
      </c>
      <c r="AC193" s="15" t="n">
        <v>9</v>
      </c>
      <c r="AD193" s="15" t="n">
        <v>10</v>
      </c>
      <c r="AE193" s="15" t="n">
        <v>11</v>
      </c>
      <c r="AF193" s="15" t="n">
        <v>12</v>
      </c>
      <c r="AG193" s="15" t="n">
        <v>13</v>
      </c>
      <c r="AH193" s="15" t="n">
        <v>14</v>
      </c>
      <c r="AI193" s="15" t="n">
        <v>15</v>
      </c>
      <c r="AL193" s="19" t="inlineStr">
        <is>
          <t>vZw</t>
        </is>
      </c>
      <c r="AM193" s="19" t="n">
        <v>1</v>
      </c>
      <c r="AN193" s="19" t="n">
        <v>2</v>
      </c>
      <c r="AO193" s="19" t="n">
        <v>3</v>
      </c>
      <c r="AP193" s="19" t="n">
        <v>4</v>
      </c>
      <c r="AQ193" s="19" t="n">
        <v>5</v>
      </c>
      <c r="AR193" s="19" t="n">
        <v>6</v>
      </c>
      <c r="AS193" s="19" t="n">
        <v>7</v>
      </c>
      <c r="AT193" s="19" t="n">
        <v>8</v>
      </c>
      <c r="AU193" s="19" t="n">
        <v>9</v>
      </c>
      <c r="AV193" s="19" t="n">
        <v>10</v>
      </c>
      <c r="AW193" s="19" t="n">
        <v>11</v>
      </c>
      <c r="AX193" s="19" t="n">
        <v>12</v>
      </c>
      <c r="AY193" s="19" t="n">
        <v>13</v>
      </c>
      <c r="AZ193" s="19" t="n">
        <v>14</v>
      </c>
      <c r="BA193" s="18" t="n">
        <v>15</v>
      </c>
    </row>
    <row r="194">
      <c r="C194" s="15" t="n">
        <v>1</v>
      </c>
      <c r="D194" s="21">
        <f>D92</f>
        <v/>
      </c>
      <c r="E194" s="21">
        <f>E92</f>
        <v/>
      </c>
      <c r="F194" s="21">
        <f>F92</f>
        <v/>
      </c>
      <c r="G194" s="21">
        <f>G92</f>
        <v/>
      </c>
      <c r="H194" s="21">
        <f>H92</f>
        <v/>
      </c>
      <c r="I194" s="21">
        <f>I92</f>
        <v/>
      </c>
      <c r="J194" s="21">
        <f>J92</f>
        <v/>
      </c>
      <c r="K194" s="21">
        <f>K92</f>
        <v/>
      </c>
      <c r="L194" s="21">
        <f>L92</f>
        <v/>
      </c>
      <c r="M194" s="21">
        <f>M92</f>
        <v/>
      </c>
      <c r="N194" s="21">
        <f>N92</f>
        <v/>
      </c>
      <c r="O194" s="21">
        <f>O92</f>
        <v/>
      </c>
      <c r="P194" s="21">
        <f>P92</f>
        <v/>
      </c>
      <c r="Q194" s="21">
        <f>Q92</f>
        <v/>
      </c>
      <c r="R194" s="21">
        <f>R92</f>
        <v/>
      </c>
      <c r="T194" s="15" t="n">
        <v>1</v>
      </c>
      <c r="U194" s="21" t="n">
        <v>0</v>
      </c>
      <c r="V194" s="21" t="n">
        <v>0</v>
      </c>
      <c r="W194" s="21" t="n">
        <v>0</v>
      </c>
      <c r="X194" s="21" t="n">
        <v>0</v>
      </c>
      <c r="Y194" s="21" t="n">
        <v>1.155270839171976</v>
      </c>
      <c r="Z194" s="21" t="n">
        <v>1.183925677445337</v>
      </c>
      <c r="AA194" s="21" t="n">
        <v>0</v>
      </c>
      <c r="AB194" s="21" t="n">
        <v>1.176688658185302</v>
      </c>
      <c r="AC194" s="21" t="n">
        <v>1.169555580149531</v>
      </c>
      <c r="AD194" s="21" t="n">
        <v>0</v>
      </c>
      <c r="AE194" s="21" t="n">
        <v>0</v>
      </c>
      <c r="AF194" s="21" t="n">
        <v>0</v>
      </c>
      <c r="AG194" s="21" t="n">
        <v>1.16283078080852</v>
      </c>
      <c r="AH194" s="21" t="n">
        <v>1.175927332536769</v>
      </c>
      <c r="AI194" s="21" t="n">
        <v>1.17406390496377</v>
      </c>
      <c r="AK194" s="19" t="n"/>
      <c r="AL194" s="19" t="n">
        <v>1</v>
      </c>
      <c r="AM194" s="18">
        <f>D194-U194</f>
        <v/>
      </c>
      <c r="AN194" s="18">
        <f>E194-V194</f>
        <v/>
      </c>
      <c r="AO194" s="18">
        <f>F194-W194</f>
        <v/>
      </c>
      <c r="AP194" s="18">
        <f>G194-X194</f>
        <v/>
      </c>
      <c r="AQ194" s="18">
        <f>H194-Y194</f>
        <v/>
      </c>
      <c r="AR194" s="18">
        <f>I194-Z194</f>
        <v/>
      </c>
      <c r="AS194" s="18">
        <f>J194-AA194</f>
        <v/>
      </c>
      <c r="AT194" s="18">
        <f>K194-AB194</f>
        <v/>
      </c>
      <c r="AU194" s="18">
        <f>L194-AC194</f>
        <v/>
      </c>
      <c r="AV194" s="18">
        <f>M194-AD194</f>
        <v/>
      </c>
      <c r="AW194" s="18">
        <f>N194-AE194</f>
        <v/>
      </c>
      <c r="AX194" s="18">
        <f>O194-AF194</f>
        <v/>
      </c>
      <c r="AY194" s="18">
        <f>P194-AG194</f>
        <v/>
      </c>
      <c r="AZ194" s="18">
        <f>Q194-AH194</f>
        <v/>
      </c>
      <c r="BA194" s="18">
        <f>R194-AI194</f>
        <v/>
      </c>
    </row>
    <row r="195">
      <c r="C195" s="15" t="n">
        <v>2</v>
      </c>
      <c r="D195" s="21">
        <f>D93</f>
        <v/>
      </c>
      <c r="E195" s="21">
        <f>E93</f>
        <v/>
      </c>
      <c r="F195" s="21">
        <f>F93</f>
        <v/>
      </c>
      <c r="G195" s="21">
        <f>G93</f>
        <v/>
      </c>
      <c r="H195" s="21">
        <f>H93</f>
        <v/>
      </c>
      <c r="I195" s="21">
        <f>I93</f>
        <v/>
      </c>
      <c r="J195" s="21">
        <f>J93</f>
        <v/>
      </c>
      <c r="K195" s="21">
        <f>K93</f>
        <v/>
      </c>
      <c r="L195" s="21">
        <f>L93</f>
        <v/>
      </c>
      <c r="M195" s="21">
        <f>M93</f>
        <v/>
      </c>
      <c r="N195" s="21">
        <f>N93</f>
        <v/>
      </c>
      <c r="O195" s="21">
        <f>O93</f>
        <v/>
      </c>
      <c r="P195" s="21">
        <f>P93</f>
        <v/>
      </c>
      <c r="Q195" s="21">
        <f>Q93</f>
        <v/>
      </c>
      <c r="R195" s="21">
        <f>R93</f>
        <v/>
      </c>
      <c r="T195" s="15" t="n">
        <v>2</v>
      </c>
      <c r="U195" s="21" t="n">
        <v>1.162762052598595</v>
      </c>
      <c r="V195" s="21" t="n">
        <v>1.160867213035324</v>
      </c>
      <c r="W195" s="21" t="n">
        <v>0</v>
      </c>
      <c r="X195" s="21" t="n">
        <v>0</v>
      </c>
      <c r="Y195" s="21" t="n">
        <v>0</v>
      </c>
      <c r="Z195" s="21" t="n">
        <v>1.160217890833668</v>
      </c>
      <c r="AA195" s="21" t="n">
        <v>0</v>
      </c>
      <c r="AB195" s="21" t="n">
        <v>0</v>
      </c>
      <c r="AC195" s="21" t="n">
        <v>0</v>
      </c>
      <c r="AD195" s="21" t="n">
        <v>1.167389981151032</v>
      </c>
      <c r="AE195" s="21" t="n">
        <v>0</v>
      </c>
      <c r="AF195" s="21" t="n">
        <v>1.161409463647541</v>
      </c>
      <c r="AG195" s="21" t="n">
        <v>1.161986960997965</v>
      </c>
      <c r="AH195" s="21" t="n">
        <v>1.156197866865149</v>
      </c>
      <c r="AI195" s="21" t="n">
        <v>1.16261080009593</v>
      </c>
      <c r="AK195" s="19" t="n"/>
      <c r="AL195" s="19" t="n">
        <v>2</v>
      </c>
      <c r="AM195" s="18">
        <f>D195-U195</f>
        <v/>
      </c>
      <c r="AN195" s="18">
        <f>E195-V195</f>
        <v/>
      </c>
      <c r="AO195" s="18">
        <f>F195-W195</f>
        <v/>
      </c>
      <c r="AP195" s="18">
        <f>G195-X195</f>
        <v/>
      </c>
      <c r="AQ195" s="18">
        <f>H195-Y195</f>
        <v/>
      </c>
      <c r="AR195" s="18">
        <f>I195-Z195</f>
        <v/>
      </c>
      <c r="AS195" s="18">
        <f>J195-AA195</f>
        <v/>
      </c>
      <c r="AT195" s="18">
        <f>K195-AB195</f>
        <v/>
      </c>
      <c r="AU195" s="18">
        <f>L195-AC195</f>
        <v/>
      </c>
      <c r="AV195" s="18">
        <f>M195-AD195</f>
        <v/>
      </c>
      <c r="AW195" s="18">
        <f>N195-AE195</f>
        <v/>
      </c>
      <c r="AX195" s="18">
        <f>O195-AF195</f>
        <v/>
      </c>
      <c r="AY195" s="18">
        <f>P195-AG195</f>
        <v/>
      </c>
      <c r="AZ195" s="18">
        <f>Q195-AH195</f>
        <v/>
      </c>
      <c r="BA195" s="18">
        <f>R195-AI195</f>
        <v/>
      </c>
    </row>
    <row r="196">
      <c r="C196" s="15" t="n">
        <v>3</v>
      </c>
      <c r="D196" s="21">
        <f>D94</f>
        <v/>
      </c>
      <c r="E196" s="21">
        <f>E94</f>
        <v/>
      </c>
      <c r="F196" s="21">
        <f>F94</f>
        <v/>
      </c>
      <c r="G196" s="21">
        <f>G94</f>
        <v/>
      </c>
      <c r="H196" s="21">
        <f>H94</f>
        <v/>
      </c>
      <c r="I196" s="21">
        <f>I94</f>
        <v/>
      </c>
      <c r="J196" s="21">
        <f>J94</f>
        <v/>
      </c>
      <c r="K196" s="21">
        <f>K94</f>
        <v/>
      </c>
      <c r="L196" s="21">
        <f>L94</f>
        <v/>
      </c>
      <c r="M196" s="21">
        <f>M94</f>
        <v/>
      </c>
      <c r="N196" s="21">
        <f>N94</f>
        <v/>
      </c>
      <c r="O196" s="21">
        <f>O94</f>
        <v/>
      </c>
      <c r="P196" s="21">
        <f>P94</f>
        <v/>
      </c>
      <c r="Q196" s="21">
        <f>Q94</f>
        <v/>
      </c>
      <c r="R196" s="21">
        <f>R94</f>
        <v/>
      </c>
      <c r="T196" s="15" t="n">
        <v>3</v>
      </c>
      <c r="U196" s="21" t="n">
        <v>1.183427442675313</v>
      </c>
      <c r="V196" s="21" t="n">
        <v>0</v>
      </c>
      <c r="W196" s="21" t="n">
        <v>0</v>
      </c>
      <c r="X196" s="21" t="n">
        <v>1.16205229981834</v>
      </c>
      <c r="Y196" s="21" t="n">
        <v>0</v>
      </c>
      <c r="Z196" s="21" t="n">
        <v>1.195613873356908</v>
      </c>
      <c r="AA196" s="21" t="n">
        <v>1.205633454486037</v>
      </c>
      <c r="AB196" s="21" t="n">
        <v>0</v>
      </c>
      <c r="AC196" s="21" t="n">
        <v>0</v>
      </c>
      <c r="AD196" s="21" t="n">
        <v>0</v>
      </c>
      <c r="AE196" s="21" t="n">
        <v>1.1871495413391</v>
      </c>
      <c r="AF196" s="21" t="n">
        <v>0</v>
      </c>
      <c r="AG196" s="21" t="n">
        <v>0</v>
      </c>
      <c r="AH196" s="21" t="n">
        <v>0</v>
      </c>
      <c r="AI196" s="21" t="n">
        <v>1.162528104420549</v>
      </c>
      <c r="AK196" s="19" t="n"/>
      <c r="AL196" s="19" t="n">
        <v>3</v>
      </c>
      <c r="AM196" s="18">
        <f>D196-U196</f>
        <v/>
      </c>
      <c r="AN196" s="18">
        <f>E196-V196</f>
        <v/>
      </c>
      <c r="AO196" s="18">
        <f>F196-W196</f>
        <v/>
      </c>
      <c r="AP196" s="18">
        <f>G196-X196</f>
        <v/>
      </c>
      <c r="AQ196" s="18">
        <f>H196-Y196</f>
        <v/>
      </c>
      <c r="AR196" s="18">
        <f>I196-Z196</f>
        <v/>
      </c>
      <c r="AS196" s="18">
        <f>J196-AA196</f>
        <v/>
      </c>
      <c r="AT196" s="18">
        <f>K196-AB196</f>
        <v/>
      </c>
      <c r="AU196" s="18">
        <f>L196-AC196</f>
        <v/>
      </c>
      <c r="AV196" s="18">
        <f>M196-AD196</f>
        <v/>
      </c>
      <c r="AW196" s="18">
        <f>N196-AE196</f>
        <v/>
      </c>
      <c r="AX196" s="18">
        <f>O196-AF196</f>
        <v/>
      </c>
      <c r="AY196" s="18">
        <f>P196-AG196</f>
        <v/>
      </c>
      <c r="AZ196" s="18">
        <f>Q196-AH196</f>
        <v/>
      </c>
      <c r="BA196" s="18">
        <f>R196-AI196</f>
        <v/>
      </c>
    </row>
    <row r="199">
      <c r="C199" s="18" t="inlineStr">
        <is>
          <t>NetDemandw (Products/day)</t>
        </is>
      </c>
      <c r="D199" s="15" t="n">
        <v>1</v>
      </c>
      <c r="E199" s="15" t="n">
        <v>2</v>
      </c>
      <c r="F199" s="15" t="n">
        <v>3</v>
      </c>
      <c r="G199" s="15" t="n">
        <v>4</v>
      </c>
      <c r="H199" s="15" t="n">
        <v>5</v>
      </c>
      <c r="I199" s="15" t="n">
        <v>6</v>
      </c>
      <c r="J199" s="15" t="n">
        <v>7</v>
      </c>
      <c r="K199" s="15" t="n">
        <v>8</v>
      </c>
      <c r="L199" s="15" t="n">
        <v>9</v>
      </c>
      <c r="M199" s="15" t="n">
        <v>10</v>
      </c>
      <c r="N199" s="15" t="n">
        <v>11</v>
      </c>
      <c r="O199" s="15" t="n">
        <v>12</v>
      </c>
      <c r="P199" s="15" t="n">
        <v>13</v>
      </c>
      <c r="Q199" s="15" t="n">
        <v>14</v>
      </c>
      <c r="R199" s="15" t="n">
        <v>15</v>
      </c>
      <c r="S199" s="18" t="inlineStr">
        <is>
          <t>média</t>
        </is>
      </c>
    </row>
    <row r="200">
      <c r="C200" s="15" t="n">
        <v>1</v>
      </c>
      <c r="D200" s="33" t="n">
        <v>-73.10000000000002</v>
      </c>
      <c r="E200" s="33" t="n">
        <v>-38.88000000000005</v>
      </c>
      <c r="F200" s="33" t="n">
        <v>-149.55</v>
      </c>
      <c r="G200" s="33" t="n">
        <v>-107.98</v>
      </c>
      <c r="H200" s="33" t="n">
        <v>46.69999999999999</v>
      </c>
      <c r="I200" s="33" t="n">
        <v>106.17</v>
      </c>
      <c r="J200" s="33" t="n">
        <v>-136.97</v>
      </c>
      <c r="K200" s="33" t="n">
        <v>138.53</v>
      </c>
      <c r="L200" s="33" t="n">
        <v>101.27</v>
      </c>
      <c r="M200" s="33" t="n">
        <v>-29.22000000000003</v>
      </c>
      <c r="N200" s="33" t="n">
        <v>16.77000000000004</v>
      </c>
      <c r="O200" s="33" t="n">
        <v>-25.31</v>
      </c>
      <c r="P200" s="33" t="n">
        <v>61.70000000000002</v>
      </c>
      <c r="Q200" s="33" t="n">
        <v>88.71000000000001</v>
      </c>
      <c r="R200" s="33" t="n">
        <v>153.0700000000001</v>
      </c>
      <c r="S200" s="21">
        <f>TRUNC(AVERAGE(Suppliers_Net_Demand),3)</f>
        <v/>
      </c>
    </row>
    <row r="201">
      <c r="C201" s="15" t="n">
        <v>2</v>
      </c>
      <c r="D201" s="33" t="n">
        <v>70.26999999999998</v>
      </c>
      <c r="E201" s="33" t="n">
        <v>54.39000000000001</v>
      </c>
      <c r="F201" s="33" t="n">
        <v>-69.21999999999997</v>
      </c>
      <c r="G201" s="33" t="n">
        <v>-226.34</v>
      </c>
      <c r="H201" s="33" t="n">
        <v>35.69</v>
      </c>
      <c r="I201" s="33" t="n">
        <v>73.69999999999999</v>
      </c>
      <c r="J201" s="33" t="n">
        <v>6.159999999999968</v>
      </c>
      <c r="K201" s="33" t="n">
        <v>-78.02000000000001</v>
      </c>
      <c r="L201" s="33" t="n">
        <v>-76.38</v>
      </c>
      <c r="M201" s="33" t="n">
        <v>70.93000000000001</v>
      </c>
      <c r="N201" s="33" t="n">
        <v>-108.97</v>
      </c>
      <c r="O201" s="33" t="n">
        <v>73.87</v>
      </c>
      <c r="P201" s="33" t="n">
        <v>61.50999999999999</v>
      </c>
      <c r="Q201" s="33" t="n">
        <v>54.40000000000003</v>
      </c>
      <c r="R201" s="33" t="n">
        <v>87.11000000000001</v>
      </c>
    </row>
    <row r="202">
      <c r="C202" s="15" t="n">
        <v>3</v>
      </c>
      <c r="D202" s="33" t="n">
        <v>165.21</v>
      </c>
      <c r="E202" s="33" t="n">
        <v>-98.88</v>
      </c>
      <c r="F202" s="33" t="n">
        <v>-171.21</v>
      </c>
      <c r="G202" s="33" t="n">
        <v>98.58000000000004</v>
      </c>
      <c r="H202" s="33" t="n">
        <v>-96.50999999999999</v>
      </c>
      <c r="I202" s="33" t="n">
        <v>199.62</v>
      </c>
      <c r="J202" s="33" t="n">
        <v>173.01</v>
      </c>
      <c r="K202" s="33" t="n">
        <v>-61.47000000000003</v>
      </c>
      <c r="L202" s="33" t="n">
        <v>-130.21</v>
      </c>
      <c r="M202" s="33" t="n">
        <v>-32.69</v>
      </c>
      <c r="N202" s="33" t="n">
        <v>131.25</v>
      </c>
      <c r="O202" s="33" t="n">
        <v>11.11000000000001</v>
      </c>
      <c r="P202" s="33" t="n">
        <v>-98.85000000000002</v>
      </c>
      <c r="Q202" s="33" t="n">
        <v>-44.68000000000001</v>
      </c>
      <c r="R202" s="33" t="n">
        <v>78.68000000000001</v>
      </c>
    </row>
    <row r="205">
      <c r="C205" s="18" t="inlineStr">
        <is>
          <t>Safety Stock runout (days)?</t>
        </is>
      </c>
      <c r="D205" s="15" t="n">
        <v>1</v>
      </c>
      <c r="E205" s="15" t="n">
        <v>2</v>
      </c>
      <c r="F205" s="15" t="n">
        <v>3</v>
      </c>
      <c r="G205" s="15" t="n">
        <v>4</v>
      </c>
      <c r="H205" s="15" t="n">
        <v>5</v>
      </c>
      <c r="I205" s="15" t="n">
        <v>6</v>
      </c>
      <c r="J205" s="15" t="n">
        <v>7</v>
      </c>
      <c r="K205" s="15" t="n">
        <v>8</v>
      </c>
      <c r="L205" s="15" t="n">
        <v>9</v>
      </c>
      <c r="M205" s="15" t="n">
        <v>10</v>
      </c>
      <c r="N205" s="15" t="n">
        <v>11</v>
      </c>
      <c r="O205" s="15" t="n">
        <v>12</v>
      </c>
      <c r="P205" s="15" t="n">
        <v>13</v>
      </c>
      <c r="Q205" s="15" t="n">
        <v>14</v>
      </c>
      <c r="R205" s="15" t="n">
        <v>15</v>
      </c>
    </row>
    <row r="206">
      <c r="C206" s="15" t="n">
        <v>1</v>
      </c>
      <c r="D206" s="21">
        <f>IF(D200&lt;=0,"inexhaustible",(D182+(-1*D16*D200))/D200)</f>
        <v/>
      </c>
      <c r="E206" s="21">
        <f>IF(E200&lt;=0,"inexhaustible",(E182+(-1*E16*E200))/E200)</f>
        <v/>
      </c>
      <c r="F206" s="21">
        <f>IF(F200&lt;=0,"inexhaustible",(F182+(-1*F16*F200))/F200)</f>
        <v/>
      </c>
      <c r="G206" s="21">
        <f>IF(G200&lt;=0,"inexhaustible",(G182+(-1*G16*G200))/G200)</f>
        <v/>
      </c>
      <c r="H206" s="21">
        <f>IF(H200&lt;=0,"inexhaustible",(H182+(-1*H16*H200))/H200)</f>
        <v/>
      </c>
      <c r="I206" s="21">
        <f>IF(I200&lt;=0,"inexhaustible",(I182+(-1*I16*I200))/I200)</f>
        <v/>
      </c>
      <c r="J206" s="21">
        <f>IF(J200&lt;=0,"inexhaustible",(J182+(-1*J16*J200))/J200)</f>
        <v/>
      </c>
      <c r="K206" s="21">
        <f>IF(K200&lt;=0,"inexhaustible",(K182+(-1*K16*K200))/K200)</f>
        <v/>
      </c>
      <c r="L206" s="21">
        <f>IF(L200&lt;=0,"inexhaustible",(L182+(-1*L16*L200))/L200)</f>
        <v/>
      </c>
      <c r="M206" s="21">
        <f>IF(M200&lt;=0,"inexhaustible",(M182+(-1*M16*M200))/M200)</f>
        <v/>
      </c>
      <c r="N206" s="21">
        <f>IF(N200&lt;=0,"inexhaustible",(N182+(-1*N16*N200))/N200)</f>
        <v/>
      </c>
      <c r="O206" s="21">
        <f>IF(O200&lt;=0,"inexhaustible",(O182+(-1*O16*O200))/O200)</f>
        <v/>
      </c>
      <c r="P206" s="21">
        <f>IF(P200&lt;=0,"inexhaustible",(P182+(-1*P16*P200))/P200)</f>
        <v/>
      </c>
      <c r="Q206" s="21">
        <f>IF(Q200&lt;=0,"inexhaustible",(Q182+(-1*Q16*Q200))/Q200)</f>
        <v/>
      </c>
      <c r="R206" s="21">
        <f>IF(R200&lt;=0,"inexhaustible",(R182+(-1*R16*R200))/R200)</f>
        <v/>
      </c>
    </row>
    <row r="207">
      <c r="C207" s="15" t="n">
        <v>2</v>
      </c>
      <c r="D207" s="21">
        <f>IF(D201&lt;=0,"inexhaustible",(D183+(-1*D17*D201))/D201)</f>
        <v/>
      </c>
      <c r="E207" s="21">
        <f>IF(E201&lt;=0,"inexhaustible",(E183+(-1*E17*E201))/E201)</f>
        <v/>
      </c>
      <c r="F207" s="21">
        <f>IF(F201&lt;=0,"inexhaustible",(F183+(-1*F17*F201))/F201)</f>
        <v/>
      </c>
      <c r="G207" s="21">
        <f>IF(G201&lt;=0,"inexhaustible",(G183+(-1*G17*G201))/G201)</f>
        <v/>
      </c>
      <c r="H207" s="21">
        <f>IF(H201&lt;=0,"inexhaustible",(H183+(-1*H17*H201))/H201)</f>
        <v/>
      </c>
      <c r="I207" s="21">
        <f>IF(I201&lt;=0,"inexhaustible",(I183+(-1*I17*I201))/I201)</f>
        <v/>
      </c>
      <c r="J207" s="21">
        <f>IF(J201&lt;=0,"inexhaustible",(J183+(-1*J17*J201))/J201)</f>
        <v/>
      </c>
      <c r="K207" s="21">
        <f>IF(K201&lt;=0,"inexhaustible",(K183+(-1*K17*K201))/K201)</f>
        <v/>
      </c>
      <c r="L207" s="21">
        <f>IF(L201&lt;=0,"inexhaustible",(L183+(-1*L17*L201))/L201)</f>
        <v/>
      </c>
      <c r="M207" s="21">
        <f>IF(M201&lt;=0,"inexhaustible",(M183+(-1*M17*M201))/M201)</f>
        <v/>
      </c>
      <c r="N207" s="21">
        <f>IF(N201&lt;=0,"inexhaustible",(N183+(-1*N17*N201))/N201)</f>
        <v/>
      </c>
      <c r="O207" s="21">
        <f>IF(O201&lt;=0,"inexhaustible",(O183+(-1*O17*O201))/O201)</f>
        <v/>
      </c>
      <c r="P207" s="21">
        <f>IF(P201&lt;=0,"inexhaustible",(P183+(-1*P17*P201))/P201)</f>
        <v/>
      </c>
      <c r="Q207" s="21">
        <f>IF(Q201&lt;=0,"inexhaustible",(Q183+(-1*Q17*Q201))/Q201)</f>
        <v/>
      </c>
      <c r="R207" s="21">
        <f>IF(R201&lt;=0,"inexhaustible",(R183+(-1*R17*R201))/R201)</f>
        <v/>
      </c>
    </row>
    <row r="208">
      <c r="C208" s="15" t="n">
        <v>3</v>
      </c>
      <c r="D208" s="21">
        <f>IF(D202&lt;=0,"inexhaustible",(D184+(-1*D18*D202))/D202)</f>
        <v/>
      </c>
      <c r="E208" s="21">
        <f>IF(E202&lt;=0,"inexhaustible",(E184+(-1*E18*E202))/E202)</f>
        <v/>
      </c>
      <c r="F208" s="21">
        <f>IF(F202&lt;=0,"inexhaustible",(F184+(-1*F18*F202))/F202)</f>
        <v/>
      </c>
      <c r="G208" s="21">
        <f>IF(G202&lt;=0,"inexhaustible",(G184+(-1*G18*G202))/G202)</f>
        <v/>
      </c>
      <c r="H208" s="21">
        <f>IF(H202&lt;=0,"inexhaustible",(H184+(-1*H18*H202))/H202)</f>
        <v/>
      </c>
      <c r="I208" s="21">
        <f>IF(I202&lt;=0,"inexhaustible",(I184+(-1*I18*I202))/I202)</f>
        <v/>
      </c>
      <c r="J208" s="21">
        <f>IF(J202&lt;=0,"inexhaustible",(J184+(-1*J18*J202))/J202)</f>
        <v/>
      </c>
      <c r="K208" s="21">
        <f>IF(K202&lt;=0,"inexhaustible",(K184+(-1*K18*K202))/K202)</f>
        <v/>
      </c>
      <c r="L208" s="21">
        <f>IF(L202&lt;=0,"inexhaustible",(L184+(-1*L18*L202))/L202)</f>
        <v/>
      </c>
      <c r="M208" s="21">
        <f>IF(M202&lt;=0,"inexhaustible",(M184+(-1*M18*M202))/M202)</f>
        <v/>
      </c>
      <c r="N208" s="21">
        <f>IF(N202&lt;=0,"inexhaustible",(N184+(-1*N18*N202))/N202)</f>
        <v/>
      </c>
      <c r="O208" s="21">
        <f>IF(O202&lt;=0,"inexhaustible",(O184+(-1*O18*O202))/O202)</f>
        <v/>
      </c>
      <c r="P208" s="21">
        <f>IF(P202&lt;=0,"inexhaustible",(P184+(-1*P18*P202))/P202)</f>
        <v/>
      </c>
      <c r="Q208" s="21">
        <f>IF(Q202&lt;=0,"inexhaustible",(Q184+(-1*Q18*Q202))/Q202)</f>
        <v/>
      </c>
      <c r="R208" s="21">
        <f>IF(R202&lt;=0,"inexhaustible",(R184+(-1*R18*R202))/R202)</f>
        <v/>
      </c>
    </row>
    <row r="211">
      <c r="C211" s="18" t="inlineStr">
        <is>
          <t>vGReorderw</t>
        </is>
      </c>
      <c r="D211" s="15" t="n">
        <v>1</v>
      </c>
      <c r="E211" s="15" t="n">
        <v>2</v>
      </c>
      <c r="F211" s="15" t="n">
        <v>3</v>
      </c>
      <c r="G211" s="15" t="n">
        <v>4</v>
      </c>
      <c r="H211" s="15" t="n">
        <v>5</v>
      </c>
      <c r="I211" s="15" t="n">
        <v>6</v>
      </c>
      <c r="J211" s="15" t="n">
        <v>7</v>
      </c>
      <c r="K211" s="15" t="n">
        <v>8</v>
      </c>
      <c r="L211" s="15" t="n">
        <v>9</v>
      </c>
      <c r="M211" s="15" t="n">
        <v>10</v>
      </c>
      <c r="N211" s="15" t="n">
        <v>11</v>
      </c>
      <c r="O211" s="15" t="n">
        <v>12</v>
      </c>
      <c r="P211" s="15" t="n">
        <v>13</v>
      </c>
      <c r="Q211" s="15" t="n">
        <v>14</v>
      </c>
      <c r="R211" s="15" t="n">
        <v>15</v>
      </c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19" t="n"/>
    </row>
    <row r="212">
      <c r="C212" s="15" t="n">
        <v>1</v>
      </c>
      <c r="D212" s="73" t="n">
        <v>0</v>
      </c>
      <c r="E212" s="73" t="n">
        <v>0</v>
      </c>
      <c r="F212" s="73" t="n">
        <v>0</v>
      </c>
      <c r="G212" s="73" t="n">
        <v>0</v>
      </c>
      <c r="H212" s="73" t="n">
        <v>1168.693</v>
      </c>
      <c r="I212" s="73" t="n">
        <v>1817.2927</v>
      </c>
      <c r="J212" s="73" t="n">
        <v>0</v>
      </c>
      <c r="K212" s="73" t="n">
        <v>2446.7585</v>
      </c>
      <c r="L212" s="73" t="n">
        <v>1635.9004</v>
      </c>
      <c r="M212" s="73" t="n">
        <v>0</v>
      </c>
      <c r="N212" s="73" t="n">
        <v>0</v>
      </c>
      <c r="O212" s="73" t="n">
        <v>0</v>
      </c>
      <c r="P212" s="73" t="n">
        <v>1216.203</v>
      </c>
      <c r="Q212" s="73" t="n">
        <v>1558.7788</v>
      </c>
      <c r="R212" s="73" t="n">
        <v>3005.242800000001</v>
      </c>
      <c r="T212" s="15" t="n"/>
      <c r="AL212" s="19" t="n"/>
    </row>
    <row r="213">
      <c r="C213" s="15" t="n">
        <v>2</v>
      </c>
      <c r="D213" s="73" t="n">
        <v>1262.2397</v>
      </c>
      <c r="E213" s="73" t="n">
        <v>1303.4396</v>
      </c>
      <c r="F213" s="73" t="n">
        <v>0</v>
      </c>
      <c r="G213" s="73" t="n">
        <v>0</v>
      </c>
      <c r="H213" s="73" t="n">
        <v>0</v>
      </c>
      <c r="I213" s="73" t="n">
        <v>1632.304</v>
      </c>
      <c r="J213" s="73" t="n">
        <v>0</v>
      </c>
      <c r="K213" s="73" t="n">
        <v>0</v>
      </c>
      <c r="L213" s="73" t="n">
        <v>0</v>
      </c>
      <c r="M213" s="73" t="n">
        <v>1215.6016</v>
      </c>
      <c r="N213" s="73" t="n">
        <v>0</v>
      </c>
      <c r="O213" s="73" t="n">
        <v>1583.4977</v>
      </c>
      <c r="P213" s="73" t="n">
        <v>1582.2148</v>
      </c>
      <c r="Q213" s="73" t="n">
        <v>1508.936000000001</v>
      </c>
      <c r="R213" s="73" t="n">
        <v>1603.2428</v>
      </c>
      <c r="T213" s="15" t="n"/>
      <c r="AL213" s="19" t="n"/>
    </row>
    <row r="214">
      <c r="C214" s="15" t="n">
        <v>3</v>
      </c>
      <c r="D214" s="73" t="n">
        <v>3540.7346</v>
      </c>
      <c r="E214" s="73" t="n">
        <v>0</v>
      </c>
      <c r="F214" s="73" t="n">
        <v>0</v>
      </c>
      <c r="G214" s="73" t="n">
        <v>1883.162600000001</v>
      </c>
      <c r="H214" s="73" t="n">
        <v>0</v>
      </c>
      <c r="I214" s="73" t="n">
        <v>4031.312</v>
      </c>
      <c r="J214" s="73" t="n">
        <v>2527.3066</v>
      </c>
      <c r="K214" s="73" t="n">
        <v>0</v>
      </c>
      <c r="L214" s="73" t="n">
        <v>0</v>
      </c>
      <c r="M214" s="73" t="n">
        <v>0</v>
      </c>
      <c r="N214" s="73" t="n">
        <v>1655.4375</v>
      </c>
      <c r="O214" s="73" t="n">
        <v>0</v>
      </c>
      <c r="P214" s="73" t="n">
        <v>0</v>
      </c>
      <c r="Q214" s="73" t="n">
        <v>0</v>
      </c>
      <c r="R214" s="73" t="n">
        <v>1385.7436</v>
      </c>
      <c r="T214" s="15" t="n"/>
      <c r="AL214" s="19" t="n"/>
    </row>
    <row r="217">
      <c r="C217" s="36" t="inlineStr">
        <is>
          <t>VarNDw</t>
        </is>
      </c>
      <c r="D217" s="15" t="n">
        <v>1</v>
      </c>
      <c r="E217" s="15" t="n">
        <v>2</v>
      </c>
      <c r="F217" s="15" t="n">
        <v>3</v>
      </c>
      <c r="G217" s="15" t="n">
        <v>4</v>
      </c>
      <c r="H217" s="15" t="n">
        <v>5</v>
      </c>
      <c r="I217" s="15" t="n">
        <v>6</v>
      </c>
      <c r="J217" s="15" t="n">
        <v>7</v>
      </c>
      <c r="K217" s="15" t="n">
        <v>8</v>
      </c>
      <c r="L217" s="15" t="n">
        <v>9</v>
      </c>
      <c r="M217" s="15" t="n">
        <v>10</v>
      </c>
      <c r="N217" s="15" t="n">
        <v>11</v>
      </c>
      <c r="O217" s="15" t="n">
        <v>12</v>
      </c>
      <c r="P217" s="15" t="n">
        <v>13</v>
      </c>
      <c r="Q217" s="15" t="n">
        <v>14</v>
      </c>
      <c r="R217" s="15" t="n">
        <v>15</v>
      </c>
    </row>
    <row r="218">
      <c r="C218" s="15" t="n">
        <v>1</v>
      </c>
      <c r="D218" s="33" t="n">
        <v>195.14972416</v>
      </c>
      <c r="E218" s="33" t="n">
        <v>268.599321</v>
      </c>
      <c r="F218" s="33" t="n">
        <v>243.19778704</v>
      </c>
      <c r="G218" s="33" t="n">
        <v>211.789809</v>
      </c>
      <c r="H218" s="33" t="n">
        <v>495.67679044</v>
      </c>
      <c r="I218" s="33" t="n">
        <v>191.80865025</v>
      </c>
      <c r="J218" s="33" t="n">
        <v>228.58718481</v>
      </c>
      <c r="K218" s="33" t="n">
        <v>428.22921969</v>
      </c>
      <c r="L218" s="33" t="n">
        <v>341.02639561</v>
      </c>
      <c r="M218" s="33" t="n">
        <v>325.91803024</v>
      </c>
      <c r="N218" s="33" t="n">
        <v>498.35651121</v>
      </c>
      <c r="O218" s="33" t="n">
        <v>151.52871409</v>
      </c>
      <c r="P218" s="33" t="n">
        <v>217.80741889</v>
      </c>
      <c r="Q218" s="33" t="n">
        <v>186.71856025</v>
      </c>
      <c r="R218" s="33" t="n">
        <v>592.9663308099999</v>
      </c>
    </row>
    <row r="219">
      <c r="C219" s="15" t="n">
        <v>2</v>
      </c>
      <c r="D219" s="33" t="n">
        <v>282.89894416</v>
      </c>
      <c r="E219" s="33" t="n">
        <v>213.68884761</v>
      </c>
      <c r="F219" s="33" t="n">
        <v>241.926916</v>
      </c>
      <c r="G219" s="33" t="n">
        <v>590.5580419600001</v>
      </c>
      <c r="H219" s="33" t="n">
        <v>388.85868025</v>
      </c>
      <c r="I219" s="33" t="n">
        <v>422.60669476</v>
      </c>
      <c r="J219" s="33" t="n">
        <v>252.55884241</v>
      </c>
      <c r="K219" s="33" t="n">
        <v>203.02830144</v>
      </c>
      <c r="L219" s="33" t="n">
        <v>313.81768201</v>
      </c>
      <c r="M219" s="33" t="n">
        <v>195.96920121</v>
      </c>
      <c r="N219" s="33" t="n">
        <v>304.38734089</v>
      </c>
      <c r="O219" s="33" t="n">
        <v>362.788209</v>
      </c>
      <c r="P219" s="33" t="n">
        <v>237.91828516</v>
      </c>
      <c r="Q219" s="33" t="n">
        <v>507.6459609999999</v>
      </c>
      <c r="R219" s="33" t="n">
        <v>435.18966544</v>
      </c>
    </row>
    <row r="220">
      <c r="C220" s="15" t="n">
        <v>3</v>
      </c>
      <c r="D220" s="33" t="n">
        <v>467.04828769</v>
      </c>
      <c r="E220" s="33" t="n">
        <v>262.44972009</v>
      </c>
      <c r="F220" s="33" t="n">
        <v>289.0782052900001</v>
      </c>
      <c r="G220" s="33" t="n">
        <v>583.14522256</v>
      </c>
      <c r="H220" s="33" t="n">
        <v>279.06704809</v>
      </c>
      <c r="I220" s="33" t="n">
        <v>466.86677041</v>
      </c>
      <c r="J220" s="33" t="n">
        <v>270.799936</v>
      </c>
      <c r="K220" s="33" t="n">
        <v>382.14776196</v>
      </c>
      <c r="L220" s="33" t="n">
        <v>306.8593027599999</v>
      </c>
      <c r="M220" s="33" t="n">
        <v>223.66997136</v>
      </c>
      <c r="N220" s="33" t="n">
        <v>263.0884</v>
      </c>
      <c r="O220" s="33" t="n">
        <v>274.9892558399999</v>
      </c>
      <c r="P220" s="33" t="n">
        <v>406.8289000000001</v>
      </c>
      <c r="Q220" s="33" t="n">
        <v>367.95679684</v>
      </c>
      <c r="R220" s="33" t="n">
        <v>362.32741801</v>
      </c>
    </row>
    <row r="221"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</row>
    <row r="223">
      <c r="C223" s="18" t="inlineStr">
        <is>
          <t>vCTw-RunOutTimew</t>
        </is>
      </c>
      <c r="D223" s="15" t="n">
        <v>1</v>
      </c>
      <c r="E223" s="15" t="n">
        <v>2</v>
      </c>
      <c r="F223" s="15" t="n">
        <v>3</v>
      </c>
      <c r="G223" s="15" t="n">
        <v>4</v>
      </c>
      <c r="H223" s="15" t="n">
        <v>5</v>
      </c>
      <c r="I223" s="15" t="n">
        <v>6</v>
      </c>
      <c r="J223" s="15" t="n">
        <v>7</v>
      </c>
      <c r="K223" s="15" t="n">
        <v>8</v>
      </c>
      <c r="L223" s="15" t="n">
        <v>9</v>
      </c>
      <c r="M223" s="15" t="n">
        <v>10</v>
      </c>
      <c r="N223" s="15" t="n">
        <v>11</v>
      </c>
      <c r="O223" s="15" t="n">
        <v>12</v>
      </c>
      <c r="P223" s="15" t="n">
        <v>13</v>
      </c>
      <c r="Q223" s="15" t="n">
        <v>14</v>
      </c>
      <c r="R223" s="15" t="n">
        <v>15</v>
      </c>
    </row>
    <row r="224">
      <c r="C224" s="15" t="n">
        <v>1</v>
      </c>
      <c r="D224" s="21">
        <f>IF(D200&lt;0,"inexhaustible",(IF(D45=1,"Gamma",D28-D63)))</f>
        <v/>
      </c>
      <c r="E224" s="21">
        <f>IF(E200&lt;0,"inexhaustible",(IF(E45=1,"Gamma",E28-E63)))</f>
        <v/>
      </c>
      <c r="F224" s="21">
        <f>IF(F200&lt;0,"inexhaustible",(IF(F45=1,"Gamma",F28-F63)))</f>
        <v/>
      </c>
      <c r="G224" s="21">
        <f>IF(G200&lt;0,"inexhaustible",(IF(G45=1,"Gamma",G28-G63)))</f>
        <v/>
      </c>
      <c r="H224" s="21">
        <f>IF(H200&lt;0,"inexhaustible",(IF(H45=1,"Gamma",H28-H63)))</f>
        <v/>
      </c>
      <c r="I224" s="21">
        <f>IF(I200&lt;0,"inexhaustible",(IF(I45=1,"Gamma",I28-I63)))</f>
        <v/>
      </c>
      <c r="J224" s="21">
        <f>IF(J200&lt;0,"inexhaustible",(IF(J45=1,"Gamma",J28-J63)))</f>
        <v/>
      </c>
      <c r="K224" s="21">
        <f>IF(K200&lt;0,"inexhaustible",(IF(K45=1,"Gamma",K28-K63)))</f>
        <v/>
      </c>
      <c r="L224" s="21">
        <f>IF(L200&lt;0,"inexhaustible",(IF(L45=1,"Gamma",L28-L63)))</f>
        <v/>
      </c>
      <c r="M224" s="21">
        <f>IF(M200&lt;0,"inexhaustible",(IF(M45=1,"Gamma",M28-M63)))</f>
        <v/>
      </c>
      <c r="N224" s="21">
        <f>IF(N200&lt;0,"inexhaustible",(IF(N45=1,"Gamma",N28-N63)))</f>
        <v/>
      </c>
      <c r="O224" s="21">
        <f>IF(O200&lt;0,"inexhaustible",(IF(O45=1,"Gamma",O28-O63)))</f>
        <v/>
      </c>
      <c r="P224" s="21">
        <f>IF(P200&lt;0,"inexhaustible",(IF(P45=1,"Gamma",P28-P63)))</f>
        <v/>
      </c>
      <c r="Q224" s="21">
        <f>IF(Q200&lt;0,"inexhaustible",(IF(Q45=1,"Gamma",Q28-Q63)))</f>
        <v/>
      </c>
      <c r="R224" s="21">
        <f>IF(R200&lt;0,"inexhaustible",(IF(R45=1,"Gamma",R28-R63)))</f>
        <v/>
      </c>
    </row>
    <row r="225">
      <c r="C225" s="15" t="n">
        <v>2</v>
      </c>
      <c r="D225" s="21">
        <f>IF(D201&lt;0,"inexhaustible",(IF(D46=1,"Gamma",D29-D64)))</f>
        <v/>
      </c>
      <c r="E225" s="21">
        <f>IF(E201&lt;0,"inexhaustible",(IF(E46=1,"Gamma",E29-E64)))</f>
        <v/>
      </c>
      <c r="F225" s="21">
        <f>IF(F201&lt;0,"inexhaustible",(IF(F46=1,"Gamma",F29-F64)))</f>
        <v/>
      </c>
      <c r="G225" s="21">
        <f>IF(G201&lt;0,"inexhaustible",(IF(G46=1,"Gamma",G29-G64)))</f>
        <v/>
      </c>
      <c r="H225" s="21">
        <f>IF(H201&lt;0,"inexhaustible",(IF(H46=1,"Gamma",H29-H64)))</f>
        <v/>
      </c>
      <c r="I225" s="21">
        <f>IF(I201&lt;0,"inexhaustible",(IF(I46=1,"Gamma",I29-I64)))</f>
        <v/>
      </c>
      <c r="J225" s="21">
        <f>IF(J201&lt;0,"inexhaustible",(IF(J46=1,"Gamma",J29-J64)))</f>
        <v/>
      </c>
      <c r="K225" s="21">
        <f>IF(K201&lt;0,"inexhaustible",(IF(K46=1,"Gamma",K29-K64)))</f>
        <v/>
      </c>
      <c r="L225" s="21">
        <f>IF(L201&lt;0,"inexhaustible",(IF(L46=1,"Gamma",L29-L64)))</f>
        <v/>
      </c>
      <c r="M225" s="21">
        <f>IF(M201&lt;0,"inexhaustible",(IF(M46=1,"Gamma",M29-M64)))</f>
        <v/>
      </c>
      <c r="N225" s="21">
        <f>IF(N201&lt;0,"inexhaustible",(IF(N46=1,"Gamma",N29-N64)))</f>
        <v/>
      </c>
      <c r="O225" s="21">
        <f>IF(O201&lt;0,"inexhaustible",(IF(O46=1,"Gamma",O29-O64)))</f>
        <v/>
      </c>
      <c r="P225" s="21">
        <f>IF(P201&lt;0,"inexhaustible",(IF(P46=1,"Gamma",P29-P64)))</f>
        <v/>
      </c>
      <c r="Q225" s="21">
        <f>IF(Q201&lt;0,"inexhaustible",(IF(Q46=1,"Gamma",Q29-Q64)))</f>
        <v/>
      </c>
      <c r="R225" s="21">
        <f>IF(R201&lt;0,"inexhaustible",(IF(R46=1,"Gamma",R29-R64)))</f>
        <v/>
      </c>
    </row>
    <row r="226">
      <c r="C226" s="15" t="n">
        <v>3</v>
      </c>
      <c r="D226" s="21">
        <f>IF(D202&lt;0,"inexhaustible",(IF(D47=1,"Gamma",D30-D65)))</f>
        <v/>
      </c>
      <c r="E226" s="21">
        <f>IF(E202&lt;0,"inexhaustible",(IF(E47=1,"Gamma",E30-E65)))</f>
        <v/>
      </c>
      <c r="F226" s="21">
        <f>IF(F202&lt;0,"inexhaustible",(IF(F47=1,"Gamma",F30-F65)))</f>
        <v/>
      </c>
      <c r="G226" s="21">
        <f>IF(G202&lt;0,"inexhaustible",(IF(G47=1,"Gamma",G30-G65)))</f>
        <v/>
      </c>
      <c r="H226" s="21">
        <f>IF(H202&lt;0,"inexhaustible",(IF(H47=1,"Gamma",H30-H65)))</f>
        <v/>
      </c>
      <c r="I226" s="21">
        <f>IF(I202&lt;0,"inexhaustible",(IF(I47=1,"Gamma",I30-I65)))</f>
        <v/>
      </c>
      <c r="J226" s="21">
        <f>IF(J202&lt;0,"inexhaustible",(IF(J47=1,"Gamma",J30-J65)))</f>
        <v/>
      </c>
      <c r="K226" s="21">
        <f>IF(K202&lt;0,"inexhaustible",(IF(K47=1,"Gamma",K30-K65)))</f>
        <v/>
      </c>
      <c r="L226" s="21">
        <f>IF(L202&lt;0,"inexhaustible",(IF(L47=1,"Gamma",L30-L65)))</f>
        <v/>
      </c>
      <c r="M226" s="21">
        <f>IF(M202&lt;0,"inexhaustible",(IF(M47=1,"Gamma",M30-M65)))</f>
        <v/>
      </c>
      <c r="N226" s="21">
        <f>IF(N202&lt;0,"inexhaustible",(IF(N47=1,"Gamma",N30-N65)))</f>
        <v/>
      </c>
      <c r="O226" s="21">
        <f>IF(O202&lt;0,"inexhaustible",(IF(O47=1,"Gamma",O30-O65)))</f>
        <v/>
      </c>
      <c r="P226" s="21">
        <f>IF(P202&lt;0,"inexhaustible",(IF(P47=1,"Gamma",P30-P65)))</f>
        <v/>
      </c>
      <c r="Q226" s="21">
        <f>IF(Q202&lt;0,"inexhaustible",(IF(Q47=1,"Gamma",Q30-Q65)))</f>
        <v/>
      </c>
      <c r="R226" s="21">
        <f>IF(R202&lt;0,"inexhaustible",(IF(R47=1,"Gamma",R30-R65)))</f>
        <v/>
      </c>
    </row>
    <row r="228">
      <c r="AL228" s="18" t="inlineStr">
        <is>
          <t>COMPARAÇÃO</t>
        </is>
      </c>
    </row>
    <row r="229">
      <c r="C229" s="36" t="inlineStr">
        <is>
          <t>vSSw</t>
        </is>
      </c>
      <c r="D229" s="15" t="n">
        <v>1</v>
      </c>
      <c r="E229" s="15" t="n">
        <v>2</v>
      </c>
      <c r="F229" s="15" t="n">
        <v>3</v>
      </c>
      <c r="G229" s="15" t="n">
        <v>4</v>
      </c>
      <c r="H229" s="15" t="n">
        <v>5</v>
      </c>
      <c r="I229" s="15" t="n">
        <v>6</v>
      </c>
      <c r="J229" s="15" t="n">
        <v>7</v>
      </c>
      <c r="K229" s="15" t="n">
        <v>8</v>
      </c>
      <c r="L229" s="15" t="n">
        <v>9</v>
      </c>
      <c r="M229" s="15" t="n">
        <v>10</v>
      </c>
      <c r="N229" s="15" t="n">
        <v>11</v>
      </c>
      <c r="O229" s="15" t="n">
        <v>12</v>
      </c>
      <c r="P229" s="15" t="n">
        <v>13</v>
      </c>
      <c r="Q229" s="15" t="n">
        <v>14</v>
      </c>
      <c r="R229" s="15" t="n">
        <v>15</v>
      </c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19" t="n"/>
    </row>
    <row r="230">
      <c r="C230" s="15" t="n">
        <v>1</v>
      </c>
      <c r="D230" s="33" t="n">
        <v>0</v>
      </c>
      <c r="E230" s="33" t="n">
        <v>0</v>
      </c>
      <c r="F230" s="33" t="n">
        <v>0</v>
      </c>
      <c r="G230" s="33" t="n">
        <v>0</v>
      </c>
      <c r="H230" s="33" t="n">
        <v>478</v>
      </c>
      <c r="I230" s="33" t="n">
        <v>298</v>
      </c>
      <c r="J230" s="33" t="n">
        <v>0</v>
      </c>
      <c r="K230" s="33" t="n">
        <v>445</v>
      </c>
      <c r="L230" s="33" t="n">
        <v>368</v>
      </c>
      <c r="M230" s="33" t="n">
        <v>0</v>
      </c>
      <c r="N230" s="33" t="n">
        <v>0</v>
      </c>
      <c r="O230" s="33" t="n">
        <v>0</v>
      </c>
      <c r="P230" s="33" t="n">
        <v>316</v>
      </c>
      <c r="Q230" s="33" t="n">
        <v>292</v>
      </c>
      <c r="R230" s="33" t="n">
        <v>550</v>
      </c>
      <c r="T230" s="15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K230" s="19" t="n"/>
      <c r="AL230" s="19" t="n"/>
    </row>
    <row r="231">
      <c r="C231" s="15" t="n">
        <v>2</v>
      </c>
      <c r="D231" s="33" t="n">
        <v>341</v>
      </c>
      <c r="E231" s="33" t="n">
        <v>344</v>
      </c>
      <c r="F231" s="33" t="n">
        <v>0</v>
      </c>
      <c r="G231" s="33" t="n">
        <v>0</v>
      </c>
      <c r="H231" s="33" t="n">
        <v>0</v>
      </c>
      <c r="I231" s="33" t="n">
        <v>459</v>
      </c>
      <c r="J231" s="33" t="n">
        <v>0</v>
      </c>
      <c r="K231" s="33" t="n">
        <v>0</v>
      </c>
      <c r="L231" s="33" t="n">
        <v>0</v>
      </c>
      <c r="M231" s="33" t="n">
        <v>285</v>
      </c>
      <c r="N231" s="33" t="n">
        <v>0</v>
      </c>
      <c r="O231" s="33" t="n">
        <v>423</v>
      </c>
      <c r="P231" s="33" t="n">
        <v>384</v>
      </c>
      <c r="Q231" s="33" t="n">
        <v>533</v>
      </c>
      <c r="R231" s="33" t="n">
        <v>429</v>
      </c>
      <c r="T231" s="15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K231" s="19" t="n"/>
      <c r="AL231" s="19" t="n"/>
    </row>
    <row r="232">
      <c r="C232" s="15" t="n">
        <v>3</v>
      </c>
      <c r="D232" s="33" t="n">
        <v>524</v>
      </c>
      <c r="E232" s="33" t="n">
        <v>0</v>
      </c>
      <c r="F232" s="33" t="n">
        <v>0</v>
      </c>
      <c r="G232" s="33" t="n">
        <v>506</v>
      </c>
      <c r="H232" s="33" t="n">
        <v>0</v>
      </c>
      <c r="I232" s="33" t="n">
        <v>518</v>
      </c>
      <c r="J232" s="33" t="n">
        <v>337</v>
      </c>
      <c r="K232" s="33" t="n">
        <v>0</v>
      </c>
      <c r="L232" s="33" t="n">
        <v>0</v>
      </c>
      <c r="M232" s="33" t="n">
        <v>0</v>
      </c>
      <c r="N232" s="33" t="n">
        <v>297</v>
      </c>
      <c r="O232" s="33" t="n">
        <v>0</v>
      </c>
      <c r="P232" s="33" t="n">
        <v>0</v>
      </c>
      <c r="Q232" s="33" t="n">
        <v>0</v>
      </c>
      <c r="R232" s="33" t="n">
        <v>381</v>
      </c>
      <c r="T232" s="15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K232" s="19" t="n"/>
      <c r="AL232" s="19" t="n"/>
    </row>
    <row r="235"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</row>
    <row r="236">
      <c r="C236" s="15" t="n"/>
    </row>
    <row r="237">
      <c r="C237" s="15" t="n"/>
    </row>
    <row r="238">
      <c r="C238" s="15" t="n"/>
    </row>
  </sheetData>
  <conditionalFormatting sqref="D10:R12">
    <cfRule type="expression" priority="49" dxfId="6">
      <formula>"D40&lt;0"</formula>
    </cfRule>
    <cfRule type="expression" priority="48" dxfId="1">
      <formula>D10&gt;0</formula>
    </cfRule>
  </conditionalFormatting>
  <conditionalFormatting sqref="D16:R18">
    <cfRule type="expression" priority="47" dxfId="6">
      <formula>D16&lt;0</formula>
    </cfRule>
    <cfRule type="expression" priority="46" dxfId="1">
      <formula>D16&gt;0</formula>
    </cfRule>
  </conditionalFormatting>
  <conditionalFormatting sqref="D22:R24">
    <cfRule type="expression" priority="45" dxfId="6">
      <formula>D22&lt;0</formula>
    </cfRule>
    <cfRule type="expression" priority="44" dxfId="1">
      <formula>D22&gt;0</formula>
    </cfRule>
  </conditionalFormatting>
  <conditionalFormatting sqref="D28:R30">
    <cfRule type="expression" priority="43" dxfId="6">
      <formula>D28&lt;0</formula>
    </cfRule>
    <cfRule type="expression" priority="42" dxfId="1">
      <formula>D28&gt;0</formula>
    </cfRule>
  </conditionalFormatting>
  <conditionalFormatting sqref="D34:R36">
    <cfRule type="cellIs" priority="7" operator="equal" dxfId="7">
      <formula>1</formula>
    </cfRule>
  </conditionalFormatting>
  <conditionalFormatting sqref="D39:R41">
    <cfRule type="cellIs" priority="8" operator="equal" dxfId="7">
      <formula>1</formula>
    </cfRule>
  </conditionalFormatting>
  <conditionalFormatting sqref="D45:R47">
    <cfRule type="cellIs" priority="50" operator="equal" dxfId="7">
      <formula>1</formula>
    </cfRule>
  </conditionalFormatting>
  <conditionalFormatting sqref="D51:R53">
    <cfRule type="cellIs" priority="10" operator="equal" dxfId="7">
      <formula>1</formula>
    </cfRule>
  </conditionalFormatting>
  <conditionalFormatting sqref="D57:R59">
    <cfRule type="cellIs" priority="9" operator="equal" dxfId="7">
      <formula>1</formula>
    </cfRule>
  </conditionalFormatting>
  <conditionalFormatting sqref="D63:R65">
    <cfRule type="cellIs" priority="53" operator="lessThan" dxfId="6">
      <formula>0</formula>
    </cfRule>
  </conditionalFormatting>
  <conditionalFormatting sqref="D104:R106">
    <cfRule type="cellIs" priority="51" operator="lessThan" dxfId="1">
      <formula>0</formula>
    </cfRule>
  </conditionalFormatting>
  <conditionalFormatting sqref="D110:R112">
    <cfRule type="cellIs" priority="11" operator="equal" dxfId="7">
      <formula>1</formula>
    </cfRule>
  </conditionalFormatting>
  <conditionalFormatting sqref="D116:R118">
    <cfRule type="cellIs" priority="12" operator="equal" dxfId="7">
      <formula>1</formula>
    </cfRule>
  </conditionalFormatting>
  <conditionalFormatting sqref="D122:R124">
    <cfRule type="cellIs" priority="13" operator="equal" dxfId="7">
      <formula>1</formula>
    </cfRule>
  </conditionalFormatting>
  <conditionalFormatting sqref="D140:R142">
    <cfRule type="cellIs" priority="6" operator="equal" dxfId="7">
      <formula>1</formula>
    </cfRule>
  </conditionalFormatting>
  <conditionalFormatting sqref="D146:R148">
    <cfRule type="cellIs" priority="5" operator="equal" dxfId="7">
      <formula>1</formula>
    </cfRule>
  </conditionalFormatting>
  <conditionalFormatting sqref="D152:R154">
    <cfRule type="cellIs" priority="4" operator="equal" dxfId="7">
      <formula>1</formula>
    </cfRule>
  </conditionalFormatting>
  <conditionalFormatting sqref="D158:R160">
    <cfRule type="cellIs" priority="52" operator="equal" dxfId="6">
      <formula>0</formula>
    </cfRule>
  </conditionalFormatting>
  <conditionalFormatting sqref="D200:R202">
    <cfRule type="cellIs" priority="62" operator="lessThan" dxfId="6">
      <formula>0</formula>
    </cfRule>
  </conditionalFormatting>
  <conditionalFormatting sqref="D206:R208">
    <cfRule type="containsText" priority="63" operator="containsText" dxfId="0" text="inexhaustible">
      <formula>NOT(ISERROR(SEARCH("inexhaustible",D206)))</formula>
    </cfRule>
    <cfRule type="expression" priority="60" dxfId="1">
      <formula>D206&lt;D4</formula>
    </cfRule>
  </conditionalFormatting>
  <conditionalFormatting sqref="D224:R226">
    <cfRule type="expression" priority="58" dxfId="1">
      <formula>D224&lt;D32</formula>
    </cfRule>
    <cfRule type="containsText" priority="59" operator="containsText" dxfId="0" text="inexhaustible">
      <formula>NOT(ISERROR(SEARCH("inexhaustible",D224)))</formula>
    </cfRule>
  </conditionalFormatting>
  <conditionalFormatting sqref="D230:R232">
    <cfRule type="expression" priority="56" dxfId="1">
      <formula>D230&lt;D38</formula>
    </cfRule>
    <cfRule type="containsText" priority="57" operator="containsText" dxfId="0" text="inexhaustible">
      <formula>NOT(ISERROR(SEARCH("inexhaustible",D230)))</formula>
    </cfRule>
  </conditionalFormatting>
  <conditionalFormatting sqref="T63:AH65">
    <cfRule type="cellIs" priority="1" operator="lessThan" dxfId="6">
      <formula>0</formula>
    </cfRule>
  </conditionalFormatting>
  <conditionalFormatting sqref="U10:AI12">
    <cfRule type="expression" priority="21" dxfId="6">
      <formula>"D40&lt;0"</formula>
    </cfRule>
    <cfRule type="expression" priority="20" dxfId="1">
      <formula>U10&gt;0</formula>
    </cfRule>
  </conditionalFormatting>
  <conditionalFormatting sqref="U16:AI18">
    <cfRule type="expression" priority="19" dxfId="6">
      <formula>U16&lt;0</formula>
    </cfRule>
    <cfRule type="expression" priority="18" dxfId="1">
      <formula>U16&gt;0</formula>
    </cfRule>
  </conditionalFormatting>
  <conditionalFormatting sqref="U22:AI24">
    <cfRule type="expression" priority="17" dxfId="6">
      <formula>U22&lt;0</formula>
    </cfRule>
    <cfRule type="expression" priority="16" dxfId="1">
      <formula>U22&gt;0</formula>
    </cfRule>
  </conditionalFormatting>
  <conditionalFormatting sqref="U28:AI30">
    <cfRule type="expression" priority="3" dxfId="6">
      <formula>U28&lt;0</formula>
    </cfRule>
    <cfRule type="expression" priority="2" dxfId="1">
      <formula>U28&gt;0</formula>
    </cfRule>
  </conditionalFormatting>
  <conditionalFormatting sqref="U230:AI232">
    <cfRule type="expression" priority="22" dxfId="1">
      <formula>U230&lt;U38</formula>
    </cfRule>
    <cfRule type="containsText" priority="23" operator="containsText" dxfId="0" text="inexhaustible">
      <formula>NOT(ISERROR(SEARCH("inexhaustible",U230)))</formula>
    </cfRule>
  </conditionalFormatting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AK232"/>
  <sheetViews>
    <sheetView zoomScale="90" zoomScaleNormal="90" workbookViewId="0">
      <selection activeCell="E12" sqref="E12"/>
    </sheetView>
  </sheetViews>
  <sheetFormatPr baseColWidth="8" defaultRowHeight="14.4"/>
  <cols>
    <col width="11.33203125" bestFit="1" customWidth="1" min="2" max="2"/>
    <col width="33.33203125" bestFit="1" customWidth="1" min="3" max="3"/>
    <col width="14.6640625" customWidth="1" min="4" max="6"/>
    <col width="8.88671875" customWidth="1" style="15" min="7" max="7"/>
    <col width="9.5546875" bestFit="1" customWidth="1" min="9" max="11"/>
    <col width="13.109375" bestFit="1" customWidth="1" min="26" max="26"/>
  </cols>
  <sheetData>
    <row r="3">
      <c r="C3" s="15" t="inlineStr">
        <is>
          <t>ELTf</t>
        </is>
      </c>
      <c r="D3" s="64" t="n">
        <v>16</v>
      </c>
      <c r="E3" s="64" t="n">
        <v>17</v>
      </c>
      <c r="F3" s="64" t="n">
        <v>18</v>
      </c>
    </row>
    <row r="4">
      <c r="C4" s="64" t="n">
        <v>4</v>
      </c>
      <c r="D4" s="21">
        <f>Factories!I22</f>
        <v/>
      </c>
      <c r="E4" s="21">
        <f>Factories!J22</f>
        <v/>
      </c>
      <c r="F4" s="21">
        <f>Factories!K22</f>
        <v/>
      </c>
    </row>
    <row r="5">
      <c r="C5" s="64" t="n">
        <v>5</v>
      </c>
      <c r="D5" s="21">
        <f>Factories!I23</f>
        <v/>
      </c>
      <c r="E5" s="21">
        <f>Factories!J23</f>
        <v/>
      </c>
      <c r="F5" s="21">
        <f>Factories!K23</f>
        <v/>
      </c>
    </row>
    <row r="6">
      <c r="C6" s="64" t="n">
        <v>6</v>
      </c>
      <c r="D6" s="21">
        <f>Factories!I24</f>
        <v/>
      </c>
      <c r="E6" s="21">
        <f>Factories!J24</f>
        <v/>
      </c>
      <c r="F6" s="21">
        <f>Factories!K24</f>
        <v/>
      </c>
    </row>
    <row r="9">
      <c r="B9" s="21" t="n"/>
      <c r="C9" s="15" t="inlineStr">
        <is>
          <t>SIf+RLTf-vSf-Rot</t>
        </is>
      </c>
      <c r="D9" s="64" t="n">
        <v>16</v>
      </c>
      <c r="E9" s="64" t="n">
        <v>17</v>
      </c>
      <c r="F9" s="64" t="n">
        <v>18</v>
      </c>
      <c r="I9" t="inlineStr">
        <is>
          <t>Max-RLT</t>
        </is>
      </c>
    </row>
    <row r="10">
      <c r="B10" s="21" t="n"/>
      <c r="C10" s="64" t="n">
        <v>4</v>
      </c>
      <c r="D10" s="21">
        <f>IF(D63&gt;0,Suppliers_stock_balance!$S58+D22-Results!D10-D63,0)</f>
        <v/>
      </c>
      <c r="E10" s="21">
        <f>IF(E63&gt;0,Suppliers_stock_balance!$S58+E22-Results!E10-E63,0)</f>
        <v/>
      </c>
      <c r="F10" s="21">
        <f>IF(F63&gt;0,Suppliers_stock_balance!$S58+F22-Results!F10-F63,0)</f>
        <v/>
      </c>
      <c r="J10" s="59">
        <f>Suppliers_stock_balance!$S75-D22</f>
        <v/>
      </c>
      <c r="K10" s="59">
        <f>Suppliers_stock_balance!$S75-E22</f>
        <v/>
      </c>
      <c r="L10" s="59">
        <f>Suppliers_stock_balance!$S75-F22</f>
        <v/>
      </c>
    </row>
    <row r="11">
      <c r="B11" s="21" t="n"/>
      <c r="C11" s="64" t="n">
        <v>5</v>
      </c>
      <c r="D11" s="21">
        <f>IF(D64&gt;0,Suppliers_stock_balance!$S59+D23-Results!D11-D64,0)</f>
        <v/>
      </c>
      <c r="E11" s="21">
        <f>IF(E64&gt;0,Suppliers_stock_balance!$S59+E23-Results!E11-E64,0)</f>
        <v/>
      </c>
      <c r="F11" s="21">
        <f>IF(F64&gt;0,Suppliers_stock_balance!$S59+F23-Results!F11-F64,0)</f>
        <v/>
      </c>
      <c r="J11" s="59">
        <f>Suppliers_stock_balance!$S76-D23</f>
        <v/>
      </c>
      <c r="K11" s="59">
        <f>Suppliers_stock_balance!$S76-E23</f>
        <v/>
      </c>
      <c r="L11" s="59">
        <f>Suppliers_stock_balance!$S76-F23</f>
        <v/>
      </c>
    </row>
    <row r="12">
      <c r="B12" s="21" t="n"/>
      <c r="C12" s="64" t="n">
        <v>6</v>
      </c>
      <c r="D12" s="21">
        <f>IF(D65&gt;0,Suppliers_stock_balance!$S60+D24-Results!D12-D65,0)</f>
        <v/>
      </c>
      <c r="E12" s="21">
        <f>IF(E65&gt;0,Suppliers_stock_balance!$S60+E24-Results!E12-E65,0)</f>
        <v/>
      </c>
      <c r="F12" s="21">
        <f>IF(F65&gt;0,Suppliers_stock_balance!$S60+F24-Results!F12-F65,0)</f>
        <v/>
      </c>
      <c r="J12" s="59">
        <f>Suppliers_stock_balance!$S77-D24</f>
        <v/>
      </c>
      <c r="K12" s="59">
        <f>Suppliers_stock_balance!$S77-E24</f>
        <v/>
      </c>
      <c r="L12" s="59">
        <f>Suppliers_stock_balance!$S77-F24</f>
        <v/>
      </c>
    </row>
    <row r="13">
      <c r="B13" s="21" t="n"/>
      <c r="C13" s="18" t="n"/>
      <c r="D13" s="18" t="n"/>
      <c r="E13" s="18" t="n"/>
      <c r="F13" s="18" t="n"/>
    </row>
    <row r="14">
      <c r="B14" s="21" t="n"/>
      <c r="C14" s="18" t="n"/>
      <c r="D14" s="18" t="n"/>
      <c r="E14" s="18" t="n"/>
      <c r="F14" s="69" t="n"/>
    </row>
    <row r="15">
      <c r="B15" s="21" t="n"/>
      <c r="C15" s="15" t="inlineStr">
        <is>
          <t>vSf</t>
        </is>
      </c>
      <c r="D15" s="64" t="n">
        <v>16</v>
      </c>
      <c r="E15" s="64" t="n">
        <v>17</v>
      </c>
      <c r="F15" s="64" t="n">
        <v>18</v>
      </c>
    </row>
    <row r="16">
      <c r="B16" s="21" t="n"/>
      <c r="C16" s="64" t="n">
        <v>4</v>
      </c>
      <c r="D16" s="21">
        <f>Results!D10</f>
        <v/>
      </c>
      <c r="E16" s="21">
        <f>Results!E10</f>
        <v/>
      </c>
      <c r="F16" s="21">
        <f>Results!F10</f>
        <v/>
      </c>
    </row>
    <row r="17">
      <c r="B17" s="21" t="n"/>
      <c r="C17" s="64" t="n">
        <v>5</v>
      </c>
      <c r="D17" s="21">
        <f>Results!D11</f>
        <v/>
      </c>
      <c r="E17" s="21">
        <f>Results!E11</f>
        <v/>
      </c>
      <c r="F17" s="21">
        <f>Results!F11</f>
        <v/>
      </c>
    </row>
    <row r="18">
      <c r="B18" s="21" t="n"/>
      <c r="C18" s="64" t="n">
        <v>6</v>
      </c>
      <c r="D18" s="21">
        <f>Results!D12</f>
        <v/>
      </c>
      <c r="E18" s="21">
        <f>Results!E12</f>
        <v/>
      </c>
      <c r="F18" s="21">
        <f>Results!F12</f>
        <v/>
      </c>
    </row>
    <row r="19">
      <c r="B19" s="21" t="n"/>
      <c r="C19" s="18" t="n"/>
      <c r="D19" s="18" t="n"/>
      <c r="E19" s="18" t="n"/>
      <c r="F19" s="18" t="n"/>
    </row>
    <row r="20">
      <c r="B20" s="21" t="n"/>
      <c r="C20" s="18" t="n"/>
      <c r="D20" s="18" t="n"/>
      <c r="E20" s="18" t="n"/>
      <c r="F20" s="69" t="n"/>
    </row>
    <row r="21">
      <c r="B21" s="21" t="n"/>
      <c r="C21" s="18" t="inlineStr">
        <is>
          <t>vRLTf (dias)</t>
        </is>
      </c>
      <c r="D21" s="64" t="n">
        <v>16</v>
      </c>
      <c r="E21" s="64" t="n">
        <v>17</v>
      </c>
      <c r="F21" s="64" t="n">
        <v>18</v>
      </c>
    </row>
    <row r="22">
      <c r="B22" s="21" t="n"/>
      <c r="C22" s="64" t="n">
        <v>4</v>
      </c>
      <c r="D22" s="33" t="n">
        <v>5.099250300621457</v>
      </c>
      <c r="E22" s="33" t="n">
        <v>6.795433325524401</v>
      </c>
      <c r="F22" s="33" t="n">
        <v>4.262501941325903</v>
      </c>
    </row>
    <row r="23">
      <c r="B23" s="21" t="n"/>
      <c r="C23" s="64" t="n">
        <v>5</v>
      </c>
      <c r="D23" s="33" t="n">
        <v>3.9356</v>
      </c>
      <c r="E23" s="33" t="n">
        <v>7.014700172346055</v>
      </c>
      <c r="F23" s="33" t="n">
        <v>4.700500000000001</v>
      </c>
    </row>
    <row r="24">
      <c r="B24" s="21" t="n"/>
      <c r="C24" s="64" t="n">
        <v>6</v>
      </c>
      <c r="D24" s="33" t="n">
        <v>4.8261</v>
      </c>
      <c r="E24" s="33" t="n">
        <v>5.734678805581601</v>
      </c>
      <c r="F24" s="33" t="n">
        <v>5.5103</v>
      </c>
    </row>
    <row r="25">
      <c r="B25" s="21" t="n"/>
      <c r="C25" s="18" t="n"/>
      <c r="D25" s="18" t="n"/>
      <c r="E25" s="18" t="n"/>
      <c r="F25" s="18" t="n"/>
    </row>
    <row r="26">
      <c r="B26" s="21" t="n"/>
      <c r="C26" s="18" t="n"/>
      <c r="D26" s="18" t="n"/>
      <c r="E26" s="18" t="n"/>
      <c r="F26" s="69" t="n"/>
    </row>
    <row r="27">
      <c r="B27" s="21" t="n"/>
      <c r="C27" s="18" t="inlineStr">
        <is>
          <t>vCTf (dias)</t>
        </is>
      </c>
      <c r="D27" s="64" t="n">
        <v>16</v>
      </c>
      <c r="E27" s="64" t="n">
        <v>17</v>
      </c>
      <c r="F27" s="64" t="n">
        <v>18</v>
      </c>
    </row>
    <row r="28">
      <c r="B28" s="21" t="n"/>
      <c r="C28" s="64" t="n">
        <v>4</v>
      </c>
      <c r="D28" s="33" t="n">
        <v>12.84775310994051</v>
      </c>
      <c r="E28" s="33" t="n">
        <v>12.7136665054433</v>
      </c>
      <c r="F28" s="33" t="n">
        <v>10.57054944970123</v>
      </c>
    </row>
    <row r="29">
      <c r="B29" s="21" t="n"/>
      <c r="C29" s="64" t="n">
        <v>5</v>
      </c>
      <c r="D29" s="33" t="n">
        <v>0</v>
      </c>
      <c r="E29" s="33" t="n">
        <v>10.85875131390428</v>
      </c>
      <c r="F29" s="33" t="n">
        <v>0</v>
      </c>
    </row>
    <row r="30">
      <c r="B30" s="21" t="n"/>
      <c r="C30" s="64" t="n">
        <v>6</v>
      </c>
      <c r="D30" s="33" t="n">
        <v>0</v>
      </c>
      <c r="E30" s="33" t="n">
        <v>18.17751397075577</v>
      </c>
      <c r="F30" s="33" t="n">
        <v>0</v>
      </c>
    </row>
    <row r="31">
      <c r="B31" s="18" t="n"/>
      <c r="C31" s="18" t="n"/>
      <c r="D31" s="18" t="n"/>
      <c r="E31" s="18" t="n"/>
      <c r="F31" s="18" t="n"/>
    </row>
    <row r="32">
      <c r="B32" s="18" t="n"/>
      <c r="C32" s="18" t="n"/>
      <c r="D32" s="18" t="n"/>
      <c r="E32" s="18" t="n"/>
      <c r="F32" s="69" t="n"/>
    </row>
    <row r="33">
      <c r="B33" s="18" t="n"/>
      <c r="C33" s="18" t="inlineStr">
        <is>
          <t>bDeltaf</t>
        </is>
      </c>
      <c r="D33" s="64" t="n">
        <v>16</v>
      </c>
      <c r="E33" s="64" t="n">
        <v>17</v>
      </c>
      <c r="F33" s="64" t="n">
        <v>18</v>
      </c>
    </row>
    <row r="34">
      <c r="B34" s="18" t="n"/>
      <c r="C34" s="64" t="n">
        <v>4</v>
      </c>
      <c r="D34" s="27" t="n">
        <v>1</v>
      </c>
      <c r="E34" s="27" t="n">
        <v>1</v>
      </c>
      <c r="F34" s="27" t="n">
        <v>1</v>
      </c>
    </row>
    <row r="35">
      <c r="B35" s="18" t="n"/>
      <c r="C35" s="64" t="n">
        <v>5</v>
      </c>
      <c r="D35" s="27" t="n">
        <v>0</v>
      </c>
      <c r="E35" s="27" t="n">
        <v>1</v>
      </c>
      <c r="F35" s="27" t="n">
        <v>0</v>
      </c>
    </row>
    <row r="36">
      <c r="B36" s="18" t="n"/>
      <c r="C36" s="64" t="n">
        <v>6</v>
      </c>
      <c r="D36" s="27" t="n">
        <v>0</v>
      </c>
      <c r="E36" s="27" t="n">
        <v>1</v>
      </c>
      <c r="F36" s="27" t="n">
        <v>0</v>
      </c>
    </row>
    <row r="37">
      <c r="B37" s="18" t="n"/>
      <c r="C37" s="18" t="n"/>
      <c r="D37" s="18" t="n"/>
      <c r="E37" s="18" t="n"/>
      <c r="F37" s="18" t="n"/>
    </row>
    <row r="38">
      <c r="B38" s="18" t="n"/>
      <c r="C38" s="18" t="inlineStr">
        <is>
          <t>bZetaf</t>
        </is>
      </c>
      <c r="D38" s="64" t="n">
        <v>16</v>
      </c>
      <c r="E38" s="64" t="n">
        <v>17</v>
      </c>
      <c r="F38" s="64" t="n">
        <v>18</v>
      </c>
    </row>
    <row r="39">
      <c r="B39" s="18" t="n"/>
      <c r="C39" s="64" t="n">
        <v>4</v>
      </c>
      <c r="D39" s="27" t="n">
        <v>0</v>
      </c>
      <c r="E39" s="27" t="n">
        <v>0</v>
      </c>
      <c r="F39" s="27" t="n">
        <v>0</v>
      </c>
      <c r="G39" s="19">
        <f>SUM(Factories_Zeta)</f>
        <v/>
      </c>
    </row>
    <row r="40">
      <c r="B40" s="18" t="n"/>
      <c r="C40" s="64" t="n">
        <v>5</v>
      </c>
      <c r="D40" s="27" t="n">
        <v>0</v>
      </c>
      <c r="E40" s="27" t="n">
        <v>0</v>
      </c>
      <c r="F40" s="27" t="n">
        <v>0</v>
      </c>
    </row>
    <row r="41">
      <c r="B41" s="18" t="n"/>
      <c r="C41" s="64" t="n">
        <v>6</v>
      </c>
      <c r="D41" s="27" t="n">
        <v>0</v>
      </c>
      <c r="E41" s="27" t="n">
        <v>0</v>
      </c>
      <c r="F41" s="27" t="n">
        <v>0</v>
      </c>
    </row>
    <row r="42">
      <c r="B42" s="18" t="n"/>
      <c r="D42" s="18" t="n"/>
      <c r="E42" s="18" t="n"/>
      <c r="F42" s="18" t="n"/>
    </row>
    <row r="43">
      <c r="B43" s="18" t="n"/>
      <c r="C43" s="18" t="n"/>
      <c r="D43" s="18" t="n"/>
      <c r="E43" s="18" t="n"/>
      <c r="F43" s="18" t="n"/>
    </row>
    <row r="44">
      <c r="B44" s="18" t="n"/>
      <c r="C44" s="18" t="inlineStr">
        <is>
          <t>bGammaf</t>
        </is>
      </c>
      <c r="D44" s="64" t="n">
        <v>16</v>
      </c>
      <c r="E44" s="64" t="n">
        <v>17</v>
      </c>
      <c r="F44" s="64" t="n">
        <v>18</v>
      </c>
    </row>
    <row r="45">
      <c r="B45" s="18" t="n"/>
      <c r="C45" s="64" t="n">
        <v>4</v>
      </c>
      <c r="D45" s="27" t="n">
        <v>0</v>
      </c>
      <c r="E45" s="27" t="n">
        <v>0</v>
      </c>
      <c r="F45" s="27" t="n">
        <v>0</v>
      </c>
      <c r="G45" s="15">
        <f>SUM(Factories_Gamma)</f>
        <v/>
      </c>
    </row>
    <row r="46">
      <c r="B46" s="18" t="n"/>
      <c r="C46" s="64" t="n">
        <v>5</v>
      </c>
      <c r="D46" s="27" t="n">
        <v>0</v>
      </c>
      <c r="E46" s="27" t="n">
        <v>0</v>
      </c>
      <c r="F46" s="27" t="n">
        <v>0</v>
      </c>
    </row>
    <row r="47">
      <c r="B47" s="18" t="n"/>
      <c r="C47" s="64" t="n">
        <v>6</v>
      </c>
      <c r="D47" s="27" t="n">
        <v>0</v>
      </c>
      <c r="E47" s="27" t="n">
        <v>0</v>
      </c>
      <c r="F47" s="27" t="n">
        <v>0</v>
      </c>
    </row>
    <row r="48">
      <c r="B48" s="18" t="n"/>
      <c r="C48" s="18" t="n"/>
      <c r="D48" s="18" t="n"/>
      <c r="E48" s="18" t="n"/>
      <c r="F48" s="18" t="n"/>
    </row>
    <row r="49">
      <c r="B49" s="18" t="n"/>
      <c r="C49" s="18" t="n"/>
      <c r="D49" s="18" t="n"/>
      <c r="E49" s="18" t="n"/>
      <c r="F49" s="18" t="n"/>
    </row>
    <row r="50">
      <c r="B50" s="18" t="n"/>
      <c r="C50" s="18" t="inlineStr">
        <is>
          <t>bRhof</t>
        </is>
      </c>
      <c r="D50" s="64" t="n">
        <v>16</v>
      </c>
      <c r="E50" s="64" t="n">
        <v>17</v>
      </c>
      <c r="F50" s="64" t="n">
        <v>18</v>
      </c>
    </row>
    <row r="51">
      <c r="B51" s="18" t="n"/>
      <c r="C51" s="64" t="n">
        <v>4</v>
      </c>
      <c r="D51" s="27" t="n">
        <v>0</v>
      </c>
      <c r="E51" s="27" t="n">
        <v>0</v>
      </c>
      <c r="F51" s="27" t="n">
        <v>0</v>
      </c>
    </row>
    <row r="52">
      <c r="B52" s="18" t="n"/>
      <c r="C52" s="64" t="n">
        <v>5</v>
      </c>
      <c r="D52" s="27" t="n">
        <v>0</v>
      </c>
      <c r="E52" s="27" t="n">
        <v>0</v>
      </c>
      <c r="F52" s="27" t="n">
        <v>0</v>
      </c>
    </row>
    <row r="53">
      <c r="B53" s="18" t="n"/>
      <c r="C53" s="64" t="n">
        <v>6</v>
      </c>
      <c r="D53" s="27" t="n">
        <v>0</v>
      </c>
      <c r="E53" s="27" t="n">
        <v>0</v>
      </c>
      <c r="F53" s="27" t="n">
        <v>0</v>
      </c>
    </row>
    <row r="54">
      <c r="B54" s="18" t="n"/>
      <c r="C54" s="18" t="n"/>
      <c r="D54" s="18" t="n"/>
      <c r="E54" s="18" t="n"/>
      <c r="F54" s="18" t="n"/>
    </row>
    <row r="55">
      <c r="B55" s="18" t="n"/>
      <c r="C55" s="18" t="n"/>
      <c r="D55" s="18" t="n"/>
      <c r="E55" s="18" t="n"/>
      <c r="F55" s="18" t="n"/>
    </row>
    <row r="56">
      <c r="B56" s="18" t="n"/>
      <c r="C56" s="18" t="inlineStr">
        <is>
          <t>bOmegaf</t>
        </is>
      </c>
      <c r="D56" s="64" t="n">
        <v>16</v>
      </c>
      <c r="E56" s="64" t="n">
        <v>17</v>
      </c>
      <c r="F56" s="64" t="n">
        <v>18</v>
      </c>
    </row>
    <row r="57">
      <c r="B57" s="18" t="n"/>
      <c r="C57" s="64" t="n">
        <v>4</v>
      </c>
      <c r="D57" s="27" t="n">
        <v>1</v>
      </c>
      <c r="E57" s="27" t="n">
        <v>1</v>
      </c>
      <c r="F57" s="27" t="n">
        <v>1</v>
      </c>
    </row>
    <row r="58">
      <c r="B58" s="18" t="n"/>
      <c r="C58" s="64" t="n">
        <v>5</v>
      </c>
      <c r="D58" s="27" t="n">
        <v>0</v>
      </c>
      <c r="E58" s="27" t="n">
        <v>1</v>
      </c>
      <c r="F58" s="27" t="n">
        <v>0</v>
      </c>
    </row>
    <row r="59">
      <c r="B59" s="18" t="n"/>
      <c r="C59" s="64" t="n">
        <v>6</v>
      </c>
      <c r="D59" s="27" t="n">
        <v>0</v>
      </c>
      <c r="E59" s="27" t="n">
        <v>1</v>
      </c>
      <c r="F59" s="27" t="n">
        <v>0</v>
      </c>
    </row>
    <row r="60">
      <c r="B60" s="18" t="n"/>
      <c r="C60" s="18" t="n"/>
      <c r="D60" s="18" t="n"/>
      <c r="E60" s="18" t="n"/>
      <c r="F60" s="18" t="n"/>
    </row>
    <row r="61">
      <c r="B61" s="18" t="n"/>
      <c r="C61" s="18" t="n"/>
      <c r="D61" s="18" t="n"/>
      <c r="E61" s="18" t="n"/>
      <c r="F61" s="18" t="n"/>
    </row>
    <row r="62">
      <c r="A62" t="inlineStr">
        <is>
          <t>ok</t>
        </is>
      </c>
      <c r="B62" s="18" t="inlineStr">
        <is>
          <t>Results</t>
        </is>
      </c>
      <c r="C62" s="18" t="inlineStr">
        <is>
          <t>RunOutTimef</t>
        </is>
      </c>
      <c r="D62" s="64" t="n">
        <v>16</v>
      </c>
      <c r="E62" s="64" t="n">
        <v>17</v>
      </c>
      <c r="F62" s="64" t="n">
        <v>18</v>
      </c>
    </row>
    <row r="63">
      <c r="B63" s="18" t="n"/>
      <c r="C63" s="64" t="n">
        <v>4</v>
      </c>
      <c r="D63" s="33" t="n">
        <v>0.65918792812469</v>
      </c>
      <c r="E63" s="33" t="n">
        <v>2.42527453168125</v>
      </c>
      <c r="F63" s="33" t="n">
        <v>2.138391588519466</v>
      </c>
      <c r="I63" t="n">
        <v>0.65918792812469</v>
      </c>
      <c r="J63" t="n">
        <v>2.42527453168125</v>
      </c>
      <c r="K63" t="n">
        <v>2.138391588519466</v>
      </c>
    </row>
    <row r="64">
      <c r="B64" s="18" t="n"/>
      <c r="C64" s="64" t="n">
        <v>5</v>
      </c>
      <c r="D64" s="33" t="n">
        <v>-1.934613077384523</v>
      </c>
      <c r="E64" s="33" t="n">
        <v>1.276461627357251</v>
      </c>
      <c r="F64" s="33" t="n">
        <v>-0.8494666139865665</v>
      </c>
      <c r="I64" t="n">
        <v>-1.934613077384523</v>
      </c>
      <c r="J64" t="n">
        <v>1.276461627357251</v>
      </c>
      <c r="K64" t="n">
        <v>-0.8494666139865665</v>
      </c>
    </row>
    <row r="65">
      <c r="B65" s="18" t="n"/>
      <c r="C65" s="64" t="n">
        <v>6</v>
      </c>
      <c r="D65" s="33" t="n">
        <v>-0.9651927369246548</v>
      </c>
      <c r="E65" s="33" t="n">
        <v>0.8546765049428792</v>
      </c>
      <c r="F65" s="33" t="n">
        <v>-0.3165825530121597</v>
      </c>
      <c r="I65" t="n">
        <v>-0.9651927369246548</v>
      </c>
      <c r="J65" t="n">
        <v>0.8546765049428792</v>
      </c>
      <c r="K65" t="n">
        <v>-0.3165825530121597</v>
      </c>
    </row>
    <row r="66">
      <c r="B66" s="18" t="n"/>
      <c r="C66" s="15" t="n"/>
      <c r="D66" s="19" t="n"/>
      <c r="E66" s="19" t="n"/>
      <c r="F66" s="19" t="n"/>
    </row>
    <row r="67">
      <c r="B67" s="18" t="n"/>
      <c r="C67" s="18" t="n"/>
      <c r="D67" s="18" t="n"/>
      <c r="E67" s="18" t="n"/>
      <c r="F67" s="18" t="n"/>
    </row>
    <row r="68">
      <c r="B68" s="18" t="n"/>
      <c r="C68" s="18" t="inlineStr">
        <is>
          <t>3*SigmaELTf+2*ELTf</t>
        </is>
      </c>
      <c r="D68" s="64" t="n">
        <v>16</v>
      </c>
      <c r="E68" s="64" t="n">
        <v>17</v>
      </c>
      <c r="F68" s="64" t="n">
        <v>18</v>
      </c>
    </row>
    <row r="69">
      <c r="B69" s="18" t="n"/>
      <c r="C69" s="64" t="n">
        <v>4</v>
      </c>
      <c r="D69" s="21">
        <f>3*Factories!I27+2*D4</f>
        <v/>
      </c>
      <c r="E69" s="21">
        <f>3*Factories!J27+2*E4</f>
        <v/>
      </c>
      <c r="F69" s="21">
        <f>3*Factories!K27+2*F4</f>
        <v/>
      </c>
    </row>
    <row r="70">
      <c r="B70" s="18" t="n"/>
      <c r="C70" s="64" t="n">
        <v>5</v>
      </c>
      <c r="D70" s="21">
        <f>3*Factories!I28+2*D5</f>
        <v/>
      </c>
      <c r="E70" s="21">
        <f>3*Factories!J28+2*E5</f>
        <v/>
      </c>
      <c r="F70" s="21">
        <f>3*Factories!K28+2*F5</f>
        <v/>
      </c>
    </row>
    <row r="71">
      <c r="B71" s="18" t="n"/>
      <c r="C71" s="64" t="n">
        <v>6</v>
      </c>
      <c r="D71" s="21">
        <f>3*Factories!I29+2*D6</f>
        <v/>
      </c>
      <c r="E71" s="21">
        <f>3*Factories!J29+2*E6</f>
        <v/>
      </c>
      <c r="F71" s="21">
        <f>3*Factories!K29+2*F6</f>
        <v/>
      </c>
    </row>
    <row r="72">
      <c r="B72" s="18" t="n"/>
      <c r="C72" s="15" t="n"/>
      <c r="D72" s="21" t="n"/>
      <c r="E72" s="21" t="n"/>
      <c r="F72" s="21" t="n"/>
    </row>
    <row r="73">
      <c r="B73" s="18" t="n"/>
      <c r="C73" s="18" t="n"/>
      <c r="D73" s="18" t="n"/>
      <c r="E73" s="18" t="n"/>
      <c r="F73" s="18" t="n"/>
    </row>
    <row r="74">
      <c r="B74" s="18" t="n"/>
      <c r="C74" s="18" t="inlineStr">
        <is>
          <t>S0</t>
        </is>
      </c>
      <c r="D74" s="64" t="n">
        <v>16</v>
      </c>
      <c r="E74" s="64" t="n">
        <v>17</v>
      </c>
      <c r="F74" s="64" t="n">
        <v>18</v>
      </c>
    </row>
    <row r="75">
      <c r="B75" s="18" t="n"/>
      <c r="C75" s="64" t="n">
        <v>4</v>
      </c>
      <c r="D75" s="21">
        <f>Factories_Cap!D33</f>
        <v/>
      </c>
      <c r="E75" s="21">
        <f>Factories_Cap!E33</f>
        <v/>
      </c>
      <c r="F75" s="21">
        <f>Factories_Cap!F33</f>
        <v/>
      </c>
    </row>
    <row r="76">
      <c r="B76" s="18" t="n"/>
      <c r="C76" s="64" t="n">
        <v>5</v>
      </c>
      <c r="D76" s="21">
        <f>Factories_Cap!D34</f>
        <v/>
      </c>
      <c r="E76" s="21">
        <f>Factories_Cap!E34</f>
        <v/>
      </c>
      <c r="F76" s="21">
        <f>Factories_Cap!F34</f>
        <v/>
      </c>
    </row>
    <row r="77">
      <c r="B77" s="18" t="n"/>
      <c r="C77" s="64" t="n">
        <v>6</v>
      </c>
      <c r="D77" s="21">
        <f>Factories_Cap!D35</f>
        <v/>
      </c>
      <c r="E77" s="21">
        <f>Factories_Cap!E35</f>
        <v/>
      </c>
      <c r="F77" s="21">
        <f>Factories_Cap!F35</f>
        <v/>
      </c>
    </row>
    <row r="78">
      <c r="B78" s="18" t="n"/>
      <c r="C78" s="18" t="n"/>
      <c r="D78" s="18" t="n"/>
      <c r="E78" s="18" t="n"/>
      <c r="F78" s="18" t="n"/>
    </row>
    <row r="79">
      <c r="B79" s="18" t="inlineStr">
        <is>
          <t>Min Rep</t>
        </is>
      </c>
      <c r="C79" s="18" t="inlineStr">
        <is>
          <t>2*ELTf-RunOutTimef</t>
        </is>
      </c>
      <c r="D79" s="64" t="n">
        <v>16</v>
      </c>
      <c r="E79" s="64" t="n">
        <v>17</v>
      </c>
      <c r="F79" s="64" t="n">
        <v>18</v>
      </c>
    </row>
    <row r="80">
      <c r="B80" s="18" t="n"/>
      <c r="C80" s="64" t="n">
        <v>4</v>
      </c>
      <c r="D80" s="21">
        <f>IF(D63&lt;0,"inexhaustible",(2*D4-D63))</f>
        <v/>
      </c>
      <c r="E80" s="21">
        <f>IF(E63&lt;0,"inexhaustible",(2*E4-E63))</f>
        <v/>
      </c>
      <c r="F80" s="21">
        <f>IF(F63&lt;0,"inexhaustible",(2*F4-F63))</f>
        <v/>
      </c>
    </row>
    <row r="81">
      <c r="B81" s="18" t="n"/>
      <c r="C81" s="64" t="n">
        <v>5</v>
      </c>
      <c r="D81" s="21">
        <f>IF(D64&lt;0,"inexhaustible",(2*D5-D64))</f>
        <v/>
      </c>
      <c r="E81" s="21">
        <f>IF(E64&lt;0,"inexhaustible",(2*E5-E64))</f>
        <v/>
      </c>
      <c r="F81" s="21">
        <f>IF(F64&lt;0,"inexhaustible",(2*F5-F64))</f>
        <v/>
      </c>
    </row>
    <row r="82">
      <c r="B82" s="18" t="n"/>
      <c r="C82" s="64" t="n">
        <v>6</v>
      </c>
      <c r="D82" s="21">
        <f>IF(D65&lt;0,"inexhaustible",(2*D6-D65))</f>
        <v/>
      </c>
      <c r="E82" s="21">
        <f>IF(E65&lt;0,"inexhaustible",(2*E6-E65))</f>
        <v/>
      </c>
      <c r="F82" s="21">
        <f>IF(F65&lt;0,"inexhaustible",(2*F6-F65))</f>
        <v/>
      </c>
    </row>
    <row r="83">
      <c r="D83" s="18" t="n"/>
      <c r="E83" s="18" t="n"/>
      <c r="F83" s="18" t="n"/>
    </row>
    <row r="84">
      <c r="B84" s="18" t="n"/>
      <c r="C84" s="18" t="n"/>
      <c r="D84" s="18" t="n"/>
      <c r="E84" s="18" t="n"/>
      <c r="F84" s="18" t="n"/>
    </row>
    <row r="85">
      <c r="B85" s="18" t="n"/>
      <c r="C85" s="15" t="inlineStr">
        <is>
          <t>SigmaELTf</t>
        </is>
      </c>
      <c r="D85" s="64" t="n">
        <v>16</v>
      </c>
      <c r="E85" s="64" t="n">
        <v>17</v>
      </c>
      <c r="F85" s="64" t="n">
        <v>18</v>
      </c>
    </row>
    <row r="86">
      <c r="B86" s="18" t="n"/>
      <c r="C86" s="64" t="n">
        <v>4</v>
      </c>
      <c r="D86" s="21">
        <f>Factories!I27</f>
        <v/>
      </c>
      <c r="E86" s="21">
        <f>Factories!J27</f>
        <v/>
      </c>
      <c r="F86" s="21">
        <f>Factories!K27</f>
        <v/>
      </c>
    </row>
    <row r="87">
      <c r="B87" s="18" t="n"/>
      <c r="C87" s="64" t="n">
        <v>5</v>
      </c>
      <c r="D87" s="21">
        <f>Factories!I28</f>
        <v/>
      </c>
      <c r="E87" s="21">
        <f>Factories!J28</f>
        <v/>
      </c>
      <c r="F87" s="21">
        <f>Factories!K28</f>
        <v/>
      </c>
    </row>
    <row r="88">
      <c r="B88" s="18" t="n"/>
      <c r="C88" s="64" t="n">
        <v>6</v>
      </c>
      <c r="D88" s="21">
        <f>Factories!I29</f>
        <v/>
      </c>
      <c r="E88" s="21">
        <f>Factories!J29</f>
        <v/>
      </c>
      <c r="F88" s="21">
        <f>Factories!K29</f>
        <v/>
      </c>
    </row>
    <row r="89">
      <c r="B89" s="18" t="n"/>
      <c r="C89" s="18" t="n"/>
      <c r="D89" s="18" t="n"/>
      <c r="E89" s="18" t="n"/>
      <c r="F89" s="18" t="n"/>
    </row>
    <row r="90">
      <c r="B90" s="18" t="n"/>
      <c r="C90" s="18" t="n"/>
      <c r="D90" s="18" t="n"/>
      <c r="E90" s="18" t="n"/>
      <c r="F90" s="18" t="n"/>
    </row>
    <row r="91">
      <c r="B91" s="18" t="n"/>
      <c r="C91" s="15" t="inlineStr">
        <is>
          <t>vZf</t>
        </is>
      </c>
      <c r="D91" s="64" t="n">
        <v>16</v>
      </c>
      <c r="E91" s="64" t="n">
        <v>17</v>
      </c>
      <c r="F91" s="64" t="n">
        <v>18</v>
      </c>
    </row>
    <row r="92">
      <c r="B92" s="18" t="n"/>
      <c r="C92" s="64" t="n">
        <v>4</v>
      </c>
      <c r="D92" s="33" t="n">
        <v>1.179194058066653</v>
      </c>
      <c r="E92" s="33" t="n">
        <v>1.153565891161264</v>
      </c>
      <c r="F92" s="33" t="n">
        <v>1.148706908612969</v>
      </c>
    </row>
    <row r="93">
      <c r="B93" s="18" t="n"/>
      <c r="C93" s="64" t="n">
        <v>5</v>
      </c>
      <c r="D93" s="33" t="n">
        <v>3</v>
      </c>
      <c r="E93" s="33" t="n">
        <v>1.142450844589156</v>
      </c>
      <c r="F93" s="33" t="n">
        <v>3</v>
      </c>
    </row>
    <row r="94">
      <c r="B94" s="18" t="n"/>
      <c r="C94" s="64" t="n">
        <v>6</v>
      </c>
      <c r="D94" s="33" t="n">
        <v>3</v>
      </c>
      <c r="E94" s="33" t="n">
        <v>1.191012004825954</v>
      </c>
      <c r="F94" s="33" t="n">
        <v>3</v>
      </c>
    </row>
    <row r="95">
      <c r="B95" s="18" t="n"/>
      <c r="C95" s="18" t="n"/>
      <c r="D95" s="18" t="n"/>
      <c r="E95" s="18" t="n"/>
      <c r="F95" s="18" t="n"/>
    </row>
    <row r="96">
      <c r="B96" s="18" t="n"/>
      <c r="C96" s="18" t="n"/>
      <c r="D96" s="18" t="n"/>
      <c r="E96" s="18" t="n"/>
      <c r="F96" s="69" t="n"/>
    </row>
    <row r="97">
      <c r="B97" s="18" t="n"/>
      <c r="C97" s="15" t="inlineStr">
        <is>
          <t>vZf*SigmaELTf</t>
        </is>
      </c>
      <c r="D97" s="64" t="n">
        <v>16</v>
      </c>
      <c r="E97" s="64" t="n">
        <v>17</v>
      </c>
      <c r="F97" s="64" t="n">
        <v>18</v>
      </c>
    </row>
    <row r="98">
      <c r="B98" s="18" t="n"/>
      <c r="C98" s="64" t="n">
        <v>4</v>
      </c>
      <c r="D98" s="21">
        <f>D92*D86</f>
        <v/>
      </c>
      <c r="E98" s="21">
        <f>E92*E86</f>
        <v/>
      </c>
      <c r="F98" s="21">
        <f>F92*F86</f>
        <v/>
      </c>
    </row>
    <row r="99">
      <c r="B99" s="18" t="n"/>
      <c r="C99" s="64" t="n">
        <v>5</v>
      </c>
      <c r="D99" s="21">
        <f>D93*D87</f>
        <v/>
      </c>
      <c r="E99" s="21">
        <f>E93*E87</f>
        <v/>
      </c>
      <c r="F99" s="21">
        <f>F93*F87</f>
        <v/>
      </c>
    </row>
    <row r="100">
      <c r="B100" s="18" t="n"/>
      <c r="C100" s="64" t="n">
        <v>6</v>
      </c>
      <c r="D100" s="21">
        <f>D94*D88</f>
        <v/>
      </c>
      <c r="E100" s="21">
        <f>E94*E88</f>
        <v/>
      </c>
      <c r="F100" s="21">
        <f>F94*F88</f>
        <v/>
      </c>
    </row>
    <row r="101">
      <c r="B101" s="18" t="n"/>
      <c r="C101" s="18" t="n"/>
      <c r="D101" s="18" t="n"/>
      <c r="E101" s="18" t="n"/>
      <c r="F101" s="18" t="n"/>
    </row>
    <row r="102">
      <c r="B102" s="18" t="n"/>
      <c r="C102" s="18" t="n"/>
      <c r="D102" s="18" t="n"/>
      <c r="E102" s="18" t="n"/>
      <c r="F102" s="18" t="n"/>
    </row>
    <row r="103">
      <c r="B103" s="18" t="n"/>
      <c r="C103" s="15" t="inlineStr">
        <is>
          <t>RunOutTimef - ELTf</t>
        </is>
      </c>
      <c r="D103" s="64" t="n">
        <v>16</v>
      </c>
      <c r="E103" s="64" t="n">
        <v>17</v>
      </c>
      <c r="F103" s="64" t="n">
        <v>18</v>
      </c>
    </row>
    <row r="104">
      <c r="B104" s="18" t="n"/>
      <c r="C104" s="64" t="n">
        <v>4</v>
      </c>
      <c r="D104" s="21">
        <f>IF(D63&lt;0,"inexhaustible",D63-D4)</f>
        <v/>
      </c>
      <c r="E104" s="21">
        <f>IF(E63&lt;0,"inexhaustible",E63-E4)</f>
        <v/>
      </c>
      <c r="F104" s="21">
        <f>IF(F63&lt;0,"inexhaustible",F63-F4)</f>
        <v/>
      </c>
    </row>
    <row r="105">
      <c r="B105" s="18" t="n"/>
      <c r="C105" s="64" t="n">
        <v>5</v>
      </c>
      <c r="D105" s="21">
        <f>IF(D64&lt;0,"inexhaustible",D64-D5)</f>
        <v/>
      </c>
      <c r="E105" s="21">
        <f>IF(E64&lt;0,"inexhaustible",E64-E5)</f>
        <v/>
      </c>
      <c r="F105" s="21">
        <f>IF(F64&lt;0,"inexhaustible",F64-F5)</f>
        <v/>
      </c>
    </row>
    <row r="106">
      <c r="B106" s="18" t="n"/>
      <c r="C106" s="64" t="n">
        <v>6</v>
      </c>
      <c r="D106" s="21">
        <f>IF(D65&lt;0,"inexhaustible",D65-D6)</f>
        <v/>
      </c>
      <c r="E106" s="21">
        <f>IF(E65&lt;0,"inexhaustible",E65-E6)</f>
        <v/>
      </c>
      <c r="F106" s="21">
        <f>IF(F65&lt;0,"inexhaustible",F65-F6)</f>
        <v/>
      </c>
    </row>
    <row r="107">
      <c r="B107" s="18" t="n"/>
      <c r="C107" s="18" t="n"/>
      <c r="D107" s="18" t="n"/>
      <c r="E107" s="18" t="n"/>
      <c r="F107" s="18" t="n"/>
    </row>
    <row r="108">
      <c r="B108" s="18" t="n"/>
      <c r="C108" s="18" t="n"/>
      <c r="D108" s="18" t="n"/>
      <c r="E108" s="18" t="n"/>
      <c r="F108" s="18" t="n"/>
    </row>
    <row r="109">
      <c r="B109" s="18" t="n"/>
      <c r="C109" s="18" t="inlineStr">
        <is>
          <t>bOmega1f</t>
        </is>
      </c>
      <c r="D109" s="64" t="n">
        <v>16</v>
      </c>
      <c r="E109" s="64" t="n">
        <v>17</v>
      </c>
      <c r="F109" s="64" t="n">
        <v>18</v>
      </c>
    </row>
    <row r="110">
      <c r="B110" s="18" t="n"/>
      <c r="C110" s="64" t="n">
        <v>4</v>
      </c>
      <c r="D110" s="27" t="n">
        <v>0</v>
      </c>
      <c r="E110" s="27" t="n">
        <v>0</v>
      </c>
      <c r="F110" s="27" t="n">
        <v>0</v>
      </c>
    </row>
    <row r="111">
      <c r="B111" s="18" t="n"/>
      <c r="C111" s="64" t="n">
        <v>5</v>
      </c>
      <c r="D111" s="27" t="n">
        <v>0</v>
      </c>
      <c r="E111" s="27" t="n">
        <v>0</v>
      </c>
      <c r="F111" s="27" t="n">
        <v>0</v>
      </c>
    </row>
    <row r="112">
      <c r="B112" s="18" t="n"/>
      <c r="C112" s="64" t="n">
        <v>6</v>
      </c>
      <c r="D112" s="27" t="n">
        <v>0</v>
      </c>
      <c r="E112" s="27" t="n">
        <v>0</v>
      </c>
      <c r="F112" s="27" t="n">
        <v>0</v>
      </c>
    </row>
    <row r="113">
      <c r="B113" s="18" t="n"/>
      <c r="C113" s="18" t="n"/>
      <c r="D113" s="18" t="n"/>
      <c r="E113" s="18" t="n"/>
      <c r="F113" s="18" t="n"/>
    </row>
    <row r="114">
      <c r="B114" s="18" t="n"/>
      <c r="C114" s="18" t="n"/>
      <c r="D114" s="18" t="n"/>
      <c r="E114" s="18" t="n"/>
      <c r="F114" s="18" t="n"/>
    </row>
    <row r="115">
      <c r="B115" s="18" t="n"/>
      <c r="C115" s="18" t="inlineStr">
        <is>
          <t>bOmega2f</t>
        </is>
      </c>
      <c r="D115" s="64" t="n">
        <v>16</v>
      </c>
      <c r="E115" s="64" t="n">
        <v>17</v>
      </c>
      <c r="F115" s="64" t="n">
        <v>18</v>
      </c>
    </row>
    <row r="116">
      <c r="B116" s="18" t="n"/>
      <c r="C116" s="64" t="n">
        <v>4</v>
      </c>
      <c r="D116" s="27" t="n">
        <v>0</v>
      </c>
      <c r="E116" s="27" t="n">
        <v>0</v>
      </c>
      <c r="F116" s="27" t="n">
        <v>0</v>
      </c>
    </row>
    <row r="117">
      <c r="B117" s="18" t="n"/>
      <c r="C117" s="64" t="n">
        <v>5</v>
      </c>
      <c r="D117" s="27" t="n">
        <v>0</v>
      </c>
      <c r="E117" s="27" t="n">
        <v>0</v>
      </c>
      <c r="F117" s="27" t="n">
        <v>0</v>
      </c>
    </row>
    <row r="118">
      <c r="B118" s="18" t="n"/>
      <c r="C118" s="64" t="n">
        <v>6</v>
      </c>
      <c r="D118" s="27" t="n">
        <v>0</v>
      </c>
      <c r="E118" s="27" t="n">
        <v>0</v>
      </c>
      <c r="F118" s="27" t="n">
        <v>0</v>
      </c>
    </row>
    <row r="119">
      <c r="B119" s="18" t="n"/>
      <c r="C119" s="18" t="n"/>
      <c r="D119" s="18" t="n"/>
      <c r="E119" s="18" t="n"/>
      <c r="F119" s="18" t="n"/>
    </row>
    <row r="120">
      <c r="B120" s="18" t="n"/>
      <c r="C120" s="18" t="n"/>
      <c r="D120" s="18" t="n"/>
      <c r="E120" s="18" t="n"/>
      <c r="F120" s="18" t="n"/>
    </row>
    <row r="121">
      <c r="B121" s="18" t="n"/>
      <c r="C121" s="18" t="inlineStr">
        <is>
          <t>bOmega3f</t>
        </is>
      </c>
      <c r="D121" s="64" t="n">
        <v>16</v>
      </c>
      <c r="E121" s="64" t="n">
        <v>17</v>
      </c>
      <c r="F121" s="64" t="n">
        <v>18</v>
      </c>
    </row>
    <row r="122">
      <c r="B122" s="18" t="n"/>
      <c r="C122" s="64" t="n">
        <v>4</v>
      </c>
      <c r="D122" s="27" t="n">
        <v>1</v>
      </c>
      <c r="E122" s="27" t="n">
        <v>1</v>
      </c>
      <c r="F122" s="27" t="n">
        <v>1</v>
      </c>
      <c r="G122" s="15">
        <f>SUM(Factories_Omega3)</f>
        <v/>
      </c>
    </row>
    <row r="123">
      <c r="B123" s="18" t="n"/>
      <c r="C123" s="64" t="n">
        <v>5</v>
      </c>
      <c r="D123" s="27" t="n">
        <v>0</v>
      </c>
      <c r="E123" s="27" t="n">
        <v>1</v>
      </c>
      <c r="F123" s="27" t="n">
        <v>0</v>
      </c>
    </row>
    <row r="124">
      <c r="B124" s="18" t="n"/>
      <c r="C124" s="64" t="n">
        <v>6</v>
      </c>
      <c r="D124" s="27" t="n">
        <v>0</v>
      </c>
      <c r="E124" s="27" t="n">
        <v>1</v>
      </c>
      <c r="F124" s="27" t="n">
        <v>0</v>
      </c>
    </row>
    <row r="125">
      <c r="B125" s="18" t="n"/>
      <c r="C125" s="18" t="n"/>
      <c r="D125" s="18" t="n"/>
      <c r="E125" s="18" t="n"/>
      <c r="F125" s="18" t="n"/>
    </row>
    <row r="126">
      <c r="B126" s="18" t="n"/>
      <c r="C126" s="18" t="n"/>
      <c r="D126" s="18" t="n"/>
      <c r="E126" s="18" t="n"/>
      <c r="F126" s="18" t="n"/>
    </row>
    <row r="127">
      <c r="B127" s="18" t="n"/>
      <c r="C127" s="15" t="inlineStr">
        <is>
          <t>3*SigmaELTf</t>
        </is>
      </c>
      <c r="D127" s="64" t="n">
        <v>16</v>
      </c>
      <c r="E127" s="64" t="n">
        <v>17</v>
      </c>
      <c r="F127" s="64" t="n">
        <v>18</v>
      </c>
    </row>
    <row r="128">
      <c r="B128" s="18" t="n"/>
      <c r="C128" s="64" t="n">
        <v>4</v>
      </c>
      <c r="D128" s="69">
        <f>3*D86</f>
        <v/>
      </c>
      <c r="E128" s="69">
        <f>3*E86</f>
        <v/>
      </c>
      <c r="F128" s="69">
        <f>3*F86</f>
        <v/>
      </c>
    </row>
    <row r="129">
      <c r="B129" s="18" t="n"/>
      <c r="C129" s="64" t="n">
        <v>5</v>
      </c>
      <c r="D129" s="69">
        <f>3*D87</f>
        <v/>
      </c>
      <c r="E129" s="69">
        <f>3*E87</f>
        <v/>
      </c>
      <c r="F129" s="69">
        <f>3*F87</f>
        <v/>
      </c>
    </row>
    <row r="130">
      <c r="B130" s="18" t="n"/>
      <c r="C130" s="64" t="n">
        <v>6</v>
      </c>
      <c r="D130" s="69">
        <f>3*D88</f>
        <v/>
      </c>
      <c r="E130" s="69">
        <f>3*E88</f>
        <v/>
      </c>
      <c r="F130" s="69">
        <f>3*F88</f>
        <v/>
      </c>
    </row>
    <row r="131">
      <c r="B131" s="18" t="n"/>
      <c r="C131" s="18" t="n"/>
      <c r="D131" s="18" t="n"/>
      <c r="E131" s="18" t="n"/>
      <c r="F131" s="18" t="n"/>
    </row>
    <row r="132">
      <c r="B132" s="18" t="n"/>
      <c r="C132" s="18" t="n"/>
      <c r="D132" s="18" t="n"/>
      <c r="E132" s="18" t="n"/>
      <c r="F132" s="18" t="n"/>
    </row>
    <row r="133">
      <c r="B133" s="18" t="n"/>
      <c r="C133" s="35" t="inlineStr">
        <is>
          <t>(3*SigmaELTf)-(RunOutTimef-ELTf)</t>
        </is>
      </c>
      <c r="D133" s="64" t="n">
        <v>16</v>
      </c>
      <c r="E133" s="64" t="n">
        <v>17</v>
      </c>
      <c r="F133" s="64" t="n">
        <v>18</v>
      </c>
    </row>
    <row r="134">
      <c r="B134" s="18" t="n"/>
      <c r="C134" s="64" t="n">
        <v>4</v>
      </c>
      <c r="D134" s="69">
        <f>IF(D63&lt;0,"inexhaustible",(D128-D104))</f>
        <v/>
      </c>
      <c r="E134" s="69">
        <f>IF(E63&lt;0,"inexhaustible",(E128-E104))</f>
        <v/>
      </c>
      <c r="F134" s="69">
        <f>IF(F63&lt;0,"inexhaustible",(F128-F104))</f>
        <v/>
      </c>
    </row>
    <row r="135">
      <c r="B135" s="18" t="n"/>
      <c r="C135" s="64" t="n">
        <v>5</v>
      </c>
      <c r="D135" s="69">
        <f>IF(D64&lt;0,"inexhaustible",(D129-D105))</f>
        <v/>
      </c>
      <c r="E135" s="69">
        <f>IF(E64&lt;0,"inexhaustible",(E129-E105))</f>
        <v/>
      </c>
      <c r="F135" s="69">
        <f>IF(F64&lt;0,"inexhaustible",(F129-F105))</f>
        <v/>
      </c>
    </row>
    <row r="136">
      <c r="B136" s="18" t="n"/>
      <c r="C136" s="64" t="n">
        <v>6</v>
      </c>
      <c r="D136" s="69">
        <f>IF(D65&lt;0,"inexhaustible",(D130-D106))</f>
        <v/>
      </c>
      <c r="E136" s="69">
        <f>IF(E65&lt;0,"inexhaustible",(E130-E106))</f>
        <v/>
      </c>
      <c r="F136" s="69">
        <f>IF(F65&lt;0,"inexhaustible",(F130-F106))</f>
        <v/>
      </c>
    </row>
    <row r="137">
      <c r="B137" s="18" t="n"/>
      <c r="C137" s="18" t="n"/>
      <c r="D137" s="18" t="n"/>
      <c r="E137" s="18" t="n"/>
      <c r="F137" s="18" t="n"/>
    </row>
    <row r="138">
      <c r="B138" s="18" t="n"/>
      <c r="C138" s="18" t="n"/>
      <c r="D138" s="18" t="n"/>
      <c r="E138" s="18" t="n"/>
      <c r="F138" s="18" t="n"/>
    </row>
    <row r="139">
      <c r="B139" s="18" t="n"/>
      <c r="C139" s="18" t="inlineStr">
        <is>
          <t>bOmega4f</t>
        </is>
      </c>
      <c r="D139" s="64" t="n">
        <v>16</v>
      </c>
      <c r="E139" s="64" t="n">
        <v>17</v>
      </c>
      <c r="F139" s="64" t="n">
        <v>18</v>
      </c>
    </row>
    <row r="140">
      <c r="B140" s="18" t="n"/>
      <c r="C140" s="64" t="n">
        <v>4</v>
      </c>
      <c r="D140" s="27" t="n">
        <v>1</v>
      </c>
      <c r="E140" s="27" t="n">
        <v>1</v>
      </c>
      <c r="F140" s="27" t="n">
        <v>1</v>
      </c>
    </row>
    <row r="141">
      <c r="B141" s="18" t="n"/>
      <c r="C141" s="64" t="n">
        <v>5</v>
      </c>
      <c r="D141" s="27" t="n">
        <v>0</v>
      </c>
      <c r="E141" s="27" t="n">
        <v>1</v>
      </c>
      <c r="F141" s="27" t="n">
        <v>0</v>
      </c>
    </row>
    <row r="142">
      <c r="B142" s="18" t="n"/>
      <c r="C142" s="64" t="n">
        <v>6</v>
      </c>
      <c r="D142" s="27" t="n">
        <v>0</v>
      </c>
      <c r="E142" s="27" t="n">
        <v>1</v>
      </c>
      <c r="F142" s="27" t="n">
        <v>0</v>
      </c>
    </row>
    <row r="143">
      <c r="B143" s="18" t="n"/>
      <c r="C143" s="18" t="n"/>
      <c r="D143" s="18" t="n"/>
      <c r="E143" s="18" t="n"/>
      <c r="F143" s="18" t="n"/>
    </row>
    <row r="144">
      <c r="B144" s="18" t="n"/>
      <c r="C144" s="18" t="n"/>
      <c r="D144" s="18" t="n"/>
      <c r="E144" s="18" t="n"/>
      <c r="F144" s="18" t="n"/>
    </row>
    <row r="145">
      <c r="B145" s="18" t="n"/>
      <c r="C145" s="18" t="inlineStr">
        <is>
          <t>bOmega5f</t>
        </is>
      </c>
      <c r="D145" s="64" t="n">
        <v>16</v>
      </c>
      <c r="E145" s="64" t="n">
        <v>17</v>
      </c>
      <c r="F145" s="64" t="n">
        <v>18</v>
      </c>
    </row>
    <row r="146">
      <c r="B146" s="18" t="n"/>
      <c r="C146" s="64" t="n">
        <v>4</v>
      </c>
      <c r="D146" s="27" t="n">
        <v>0</v>
      </c>
      <c r="E146" s="27" t="n">
        <v>0</v>
      </c>
      <c r="F146" s="27" t="n">
        <v>0</v>
      </c>
      <c r="G146" s="15">
        <f>SUM(Factories_Omega5)</f>
        <v/>
      </c>
    </row>
    <row r="147">
      <c r="B147" s="18" t="n"/>
      <c r="C147" s="64" t="n">
        <v>5</v>
      </c>
      <c r="D147" s="27" t="n">
        <v>0</v>
      </c>
      <c r="E147" s="27" t="n">
        <v>0</v>
      </c>
      <c r="F147" s="27" t="n">
        <v>0</v>
      </c>
    </row>
    <row r="148">
      <c r="B148" s="18" t="n"/>
      <c r="C148" s="64" t="n">
        <v>6</v>
      </c>
      <c r="D148" s="27" t="n">
        <v>0</v>
      </c>
      <c r="E148" s="27" t="n">
        <v>0</v>
      </c>
      <c r="F148" s="27" t="n">
        <v>0</v>
      </c>
    </row>
    <row r="149">
      <c r="B149" s="18" t="n"/>
      <c r="C149" s="18" t="n"/>
      <c r="D149" s="18" t="n"/>
      <c r="E149" s="18" t="n"/>
      <c r="F149" s="18" t="n"/>
    </row>
    <row r="150">
      <c r="B150" s="18" t="n"/>
      <c r="C150" s="18" t="n"/>
      <c r="D150" s="18" t="n"/>
      <c r="E150" s="18" t="n"/>
      <c r="F150" s="18" t="n"/>
    </row>
    <row r="151">
      <c r="B151" s="18" t="n"/>
      <c r="C151" s="18" t="inlineStr">
        <is>
          <t>bOmega6f</t>
        </is>
      </c>
      <c r="D151" s="64" t="n">
        <v>16</v>
      </c>
      <c r="E151" s="64" t="n">
        <v>17</v>
      </c>
      <c r="F151" s="64" t="n">
        <v>18</v>
      </c>
    </row>
    <row r="152">
      <c r="B152" s="18" t="n"/>
      <c r="C152" s="64" t="n">
        <v>4</v>
      </c>
      <c r="D152" s="27" t="n">
        <v>0</v>
      </c>
      <c r="E152" s="27" t="n">
        <v>0</v>
      </c>
      <c r="F152" s="27" t="n">
        <v>0</v>
      </c>
      <c r="G152" s="15">
        <f>SUM(Factories_Omega6)</f>
        <v/>
      </c>
    </row>
    <row r="153">
      <c r="B153" s="18" t="n"/>
      <c r="C153" s="64" t="n">
        <v>5</v>
      </c>
      <c r="D153" s="27" t="n">
        <v>0</v>
      </c>
      <c r="E153" s="27" t="n">
        <v>0</v>
      </c>
      <c r="F153" s="27" t="n">
        <v>0</v>
      </c>
    </row>
    <row r="154">
      <c r="B154" s="18" t="n"/>
      <c r="C154" s="64" t="n">
        <v>6</v>
      </c>
      <c r="D154" s="27" t="n">
        <v>0</v>
      </c>
      <c r="E154" s="27" t="n">
        <v>0</v>
      </c>
      <c r="F154" s="27" t="n">
        <v>0</v>
      </c>
    </row>
    <row r="155">
      <c r="B155" s="18" t="n"/>
      <c r="C155" s="18" t="n"/>
      <c r="D155" s="18" t="n"/>
      <c r="E155" s="18" t="n"/>
      <c r="F155" s="18" t="n"/>
    </row>
    <row r="156">
      <c r="B156" s="18" t="n"/>
      <c r="C156" s="18" t="n"/>
      <c r="D156" s="18" t="n"/>
      <c r="E156" s="18" t="n"/>
      <c r="F156" s="18" t="n"/>
    </row>
    <row r="157">
      <c r="B157" s="18" t="n"/>
      <c r="C157" s="18" t="inlineStr">
        <is>
          <t>Total</t>
        </is>
      </c>
      <c r="D157" s="64" t="n">
        <v>16</v>
      </c>
      <c r="E157" s="64" t="n">
        <v>17</v>
      </c>
      <c r="F157" s="64" t="n">
        <v>18</v>
      </c>
    </row>
    <row r="158">
      <c r="B158" s="18" t="n"/>
      <c r="C158" s="64" t="n">
        <v>4</v>
      </c>
      <c r="D158" s="19">
        <f>D39+D122+D146+D152+D45</f>
        <v/>
      </c>
      <c r="E158" s="19">
        <f>E39+E122+E146+E152+E45</f>
        <v/>
      </c>
      <c r="F158" s="19">
        <f>F39+F122+F146+F152+F45</f>
        <v/>
      </c>
      <c r="G158" s="19">
        <f>SUM(D158:F160)</f>
        <v/>
      </c>
    </row>
    <row r="159">
      <c r="B159" s="18" t="n"/>
      <c r="C159" s="64" t="n">
        <v>5</v>
      </c>
      <c r="D159" s="19">
        <f>D40+D123+D147+D153+D46</f>
        <v/>
      </c>
      <c r="E159" s="19">
        <f>E40+E123+E147+E153+E46</f>
        <v/>
      </c>
      <c r="F159" s="19">
        <f>F40+F123+F147+F153+F46</f>
        <v/>
      </c>
    </row>
    <row r="160">
      <c r="B160" s="18" t="n"/>
      <c r="C160" s="64" t="n">
        <v>6</v>
      </c>
      <c r="D160" s="19">
        <f>D41+D124+D148+D154+D47</f>
        <v/>
      </c>
      <c r="E160" s="19">
        <f>E41+E124+E148+E154+E47</f>
        <v/>
      </c>
      <c r="F160" s="19">
        <f>F41+F124+F148+F154+F47</f>
        <v/>
      </c>
    </row>
    <row r="161">
      <c r="B161" s="18" t="n"/>
      <c r="C161" s="18" t="n"/>
      <c r="D161" s="18" t="n"/>
      <c r="E161" s="18" t="n"/>
      <c r="F161" s="18" t="n"/>
    </row>
    <row r="162">
      <c r="B162" s="18" t="n"/>
      <c r="C162" s="18" t="n"/>
      <c r="D162" s="18" t="n"/>
      <c r="E162" s="18" t="n"/>
      <c r="F162" s="18" t="n"/>
    </row>
    <row r="163">
      <c r="B163" s="18" t="n"/>
      <c r="C163" s="18" t="inlineStr">
        <is>
          <t>Hf</t>
        </is>
      </c>
      <c r="D163" s="64" t="n">
        <v>16</v>
      </c>
      <c r="E163" s="64" t="n">
        <v>17</v>
      </c>
      <c r="F163" s="64" t="n">
        <v>18</v>
      </c>
    </row>
    <row r="164">
      <c r="B164" s="18" t="n"/>
      <c r="C164" s="64" t="n">
        <v>4</v>
      </c>
      <c r="D164" s="21">
        <f>Factories!I6</f>
        <v/>
      </c>
      <c r="E164" s="21">
        <f>Factories!J6</f>
        <v/>
      </c>
      <c r="F164" s="21">
        <f>Factories!K6</f>
        <v/>
      </c>
    </row>
    <row r="165">
      <c r="B165" s="18" t="n"/>
      <c r="C165" s="64" t="n">
        <v>5</v>
      </c>
      <c r="D165" s="21">
        <f>Factories!I7</f>
        <v/>
      </c>
      <c r="E165" s="21">
        <f>Factories!J7</f>
        <v/>
      </c>
      <c r="F165" s="21">
        <f>Factories!K7</f>
        <v/>
      </c>
    </row>
    <row r="166">
      <c r="B166" s="18" t="n"/>
      <c r="C166" s="64" t="n">
        <v>6</v>
      </c>
      <c r="D166" s="21">
        <f>Factories!I8</f>
        <v/>
      </c>
      <c r="E166" s="21">
        <f>Factories!J8</f>
        <v/>
      </c>
      <c r="F166" s="21">
        <f>Factories!K8</f>
        <v/>
      </c>
    </row>
    <row r="167">
      <c r="B167" s="18" t="n"/>
      <c r="C167" s="18" t="n"/>
      <c r="D167" s="18" t="n"/>
      <c r="E167" s="18" t="n"/>
      <c r="F167" s="18" t="n"/>
    </row>
    <row r="168">
      <c r="B168" s="18" t="n"/>
      <c r="C168" s="18" t="n"/>
      <c r="D168" s="18" t="n"/>
      <c r="E168" s="18" t="n"/>
      <c r="F168" s="18" t="n"/>
    </row>
    <row r="169">
      <c r="B169" s="18" t="n"/>
      <c r="C169" s="18" t="inlineStr">
        <is>
          <t>SigmaNDf</t>
        </is>
      </c>
      <c r="D169" s="64" t="n">
        <v>16</v>
      </c>
      <c r="E169" s="64" t="n">
        <v>17</v>
      </c>
      <c r="F169" s="64" t="n">
        <v>18</v>
      </c>
    </row>
    <row r="170">
      <c r="B170" s="18" t="n"/>
      <c r="C170" s="64" t="n">
        <v>4</v>
      </c>
      <c r="D170" s="21">
        <f>Factories!I17</f>
        <v/>
      </c>
      <c r="E170" s="21">
        <f>Factories!J17</f>
        <v/>
      </c>
      <c r="F170" s="21">
        <f>Factories!K17</f>
        <v/>
      </c>
    </row>
    <row r="171">
      <c r="B171" s="18" t="n"/>
      <c r="C171" s="64" t="n">
        <v>5</v>
      </c>
      <c r="D171" s="21">
        <f>Factories!I18</f>
        <v/>
      </c>
      <c r="E171" s="21">
        <f>Factories!J18</f>
        <v/>
      </c>
      <c r="F171" s="21">
        <f>Factories!K18</f>
        <v/>
      </c>
    </row>
    <row r="172">
      <c r="B172" s="18" t="n"/>
      <c r="C172" s="64" t="n">
        <v>6</v>
      </c>
      <c r="D172" s="21">
        <f>Factories!I19</f>
        <v/>
      </c>
      <c r="E172" s="21">
        <f>Factories!J19</f>
        <v/>
      </c>
      <c r="F172" s="21">
        <f>Factories!K19</f>
        <v/>
      </c>
    </row>
    <row r="173">
      <c r="B173" s="18" t="n"/>
      <c r="C173" s="18" t="n"/>
      <c r="D173" s="18" t="n"/>
      <c r="E173" s="18" t="n"/>
      <c r="F173" s="18" t="n"/>
    </row>
    <row r="174">
      <c r="B174" s="18" t="n"/>
      <c r="C174" s="18" t="n"/>
      <c r="D174" s="18" t="n"/>
      <c r="E174" s="18" t="n"/>
      <c r="F174" s="18" t="n"/>
    </row>
    <row r="175">
      <c r="B175" s="18" t="n"/>
      <c r="C175" s="36" t="inlineStr">
        <is>
          <t>vRadicandf</t>
        </is>
      </c>
      <c r="D175" s="64" t="n">
        <v>16</v>
      </c>
      <c r="E175" s="64" t="n">
        <v>17</v>
      </c>
      <c r="F175" s="64" t="n">
        <v>18</v>
      </c>
      <c r="H175" s="18" t="n"/>
      <c r="I175" s="15" t="n">
        <v>1</v>
      </c>
      <c r="J175" s="15" t="n">
        <v>2</v>
      </c>
      <c r="K175" s="15" t="n">
        <v>3</v>
      </c>
    </row>
    <row r="176">
      <c r="B176" s="18" t="n"/>
      <c r="C176" s="64" t="n">
        <v>4</v>
      </c>
      <c r="D176" s="33" t="n">
        <v>1141625.237860805</v>
      </c>
      <c r="E176" s="33" t="n">
        <v>1256723.382672</v>
      </c>
      <c r="F176" s="33" t="n">
        <v>1048881.520771194</v>
      </c>
      <c r="H176" s="18" t="n"/>
      <c r="I176" s="21">
        <f>D176^0.5</f>
        <v/>
      </c>
      <c r="J176" s="21">
        <f>E176^0.5</f>
        <v/>
      </c>
      <c r="K176" s="21">
        <f>F176^0.5</f>
        <v/>
      </c>
    </row>
    <row r="177">
      <c r="B177" s="18" t="n"/>
      <c r="C177" s="64" t="n">
        <v>5</v>
      </c>
      <c r="D177" s="33" t="n">
        <v>0</v>
      </c>
      <c r="E177" s="33" t="n">
        <v>1083114.620553598</v>
      </c>
      <c r="F177" s="33" t="n">
        <v>0</v>
      </c>
      <c r="H177" s="18" t="n"/>
      <c r="I177" s="21">
        <f>D177^0.5</f>
        <v/>
      </c>
      <c r="J177" s="21">
        <f>E177^0.5</f>
        <v/>
      </c>
      <c r="K177" s="21">
        <f>F177^0.5</f>
        <v/>
      </c>
    </row>
    <row r="178">
      <c r="B178" s="18" t="n"/>
      <c r="C178" s="64" t="n">
        <v>6</v>
      </c>
      <c r="D178" s="33" t="n">
        <v>0</v>
      </c>
      <c r="E178" s="33" t="n">
        <v>850243.5531072022</v>
      </c>
      <c r="F178" s="33" t="n">
        <v>0</v>
      </c>
      <c r="H178" s="18" t="n"/>
      <c r="I178" s="21">
        <f>D178^0.5</f>
        <v/>
      </c>
      <c r="J178" s="21">
        <f>E178^0.5</f>
        <v/>
      </c>
      <c r="K178" s="21">
        <f>F178^0.5</f>
        <v/>
      </c>
    </row>
    <row r="179">
      <c r="B179" s="18" t="n"/>
      <c r="C179" s="18" t="n"/>
      <c r="D179" s="18" t="n"/>
      <c r="E179" s="18" t="n"/>
      <c r="F179" s="18" t="n"/>
      <c r="H179" s="18" t="n"/>
      <c r="I179" s="18" t="n"/>
      <c r="J179" s="18" t="n"/>
      <c r="K179" s="18" t="n"/>
    </row>
    <row r="180">
      <c r="B180" s="18" t="n"/>
      <c r="C180" s="18" t="n"/>
      <c r="D180" s="18" t="n"/>
      <c r="E180" s="18" t="n"/>
      <c r="F180" s="18" t="n"/>
      <c r="H180" s="18" t="n"/>
      <c r="I180" s="18" t="n"/>
      <c r="J180" s="18" t="n"/>
      <c r="K180" s="18" t="n"/>
    </row>
    <row r="181">
      <c r="B181" s="18" t="n"/>
      <c r="C181" s="36" t="inlineStr">
        <is>
          <t>vSQRTf</t>
        </is>
      </c>
      <c r="D181" s="64" t="n">
        <v>16</v>
      </c>
      <c r="E181" s="64" t="n">
        <v>17</v>
      </c>
      <c r="F181" s="64" t="n">
        <v>18</v>
      </c>
      <c r="H181" s="18" t="n"/>
      <c r="I181" s="15" t="n">
        <v>1</v>
      </c>
      <c r="J181" s="15" t="n">
        <v>2</v>
      </c>
      <c r="K181" s="15" t="n">
        <v>3</v>
      </c>
    </row>
    <row r="182">
      <c r="B182" s="18" t="n"/>
      <c r="C182" s="64" t="n">
        <v>4</v>
      </c>
      <c r="D182" s="33" t="n">
        <v>1069</v>
      </c>
      <c r="E182" s="33" t="n">
        <v>1122</v>
      </c>
      <c r="F182" s="33" t="n">
        <v>1025</v>
      </c>
      <c r="H182" s="18" t="n"/>
      <c r="I182" s="21">
        <f>I176-D182</f>
        <v/>
      </c>
      <c r="J182" s="21">
        <f>J176-E182</f>
        <v/>
      </c>
      <c r="K182" s="21">
        <f>K176-F182</f>
        <v/>
      </c>
    </row>
    <row r="183">
      <c r="B183" s="18" t="n"/>
      <c r="C183" s="64" t="n">
        <v>5</v>
      </c>
      <c r="D183" s="33" t="n">
        <v>1</v>
      </c>
      <c r="E183" s="33" t="n">
        <v>1041</v>
      </c>
      <c r="F183" s="33" t="n">
        <v>1</v>
      </c>
      <c r="H183" s="18" t="n"/>
      <c r="I183" s="21">
        <f>I177-D183</f>
        <v/>
      </c>
      <c r="J183" s="21">
        <f>J177-E183</f>
        <v/>
      </c>
      <c r="K183" s="21">
        <f>K177-F183</f>
        <v/>
      </c>
    </row>
    <row r="184">
      <c r="B184" s="18" t="n"/>
      <c r="C184" s="64" t="n">
        <v>6</v>
      </c>
      <c r="D184" s="33" t="n">
        <v>1</v>
      </c>
      <c r="E184" s="33" t="n">
        <v>923</v>
      </c>
      <c r="F184" s="33" t="n">
        <v>1</v>
      </c>
      <c r="H184" s="18" t="n"/>
      <c r="I184" s="21">
        <f>I178-D184</f>
        <v/>
      </c>
      <c r="J184" s="21">
        <f>J178-E184</f>
        <v/>
      </c>
      <c r="K184" s="21">
        <f>K178-F184</f>
        <v/>
      </c>
    </row>
    <row r="185">
      <c r="B185" s="18" t="n"/>
      <c r="C185" s="15" t="n"/>
      <c r="D185" s="18" t="n"/>
      <c r="E185" s="18" t="n"/>
      <c r="F185" s="18" t="n"/>
    </row>
    <row r="186">
      <c r="B186" s="18" t="n"/>
      <c r="C186" s="18" t="n"/>
      <c r="D186" s="18" t="n"/>
      <c r="E186" s="18" t="n"/>
      <c r="F186" s="18" t="n"/>
    </row>
    <row r="187">
      <c r="B187" s="18" t="n"/>
      <c r="C187" s="18" t="inlineStr">
        <is>
          <t>Optimal solution (SS)</t>
        </is>
      </c>
      <c r="D187" s="64" t="n">
        <v>16</v>
      </c>
      <c r="E187" s="64" t="n">
        <v>17</v>
      </c>
      <c r="F187" s="64" t="n">
        <v>18</v>
      </c>
    </row>
    <row r="188">
      <c r="B188" s="18" t="n"/>
      <c r="C188" s="64" t="n">
        <v>4</v>
      </c>
      <c r="D188" s="21">
        <f>D164*D230</f>
        <v/>
      </c>
      <c r="E188" s="21">
        <f>E164*E230</f>
        <v/>
      </c>
      <c r="F188" s="21">
        <f>F164*F230</f>
        <v/>
      </c>
    </row>
    <row r="189">
      <c r="B189" s="18" t="n"/>
      <c r="C189" s="64" t="n">
        <v>5</v>
      </c>
      <c r="D189" s="21">
        <f>D165*D231</f>
        <v/>
      </c>
      <c r="E189" s="21">
        <f>E165*E231</f>
        <v/>
      </c>
      <c r="F189" s="21">
        <f>F165*F231</f>
        <v/>
      </c>
    </row>
    <row r="190">
      <c r="B190" s="18" t="n"/>
      <c r="C190" s="64" t="n">
        <v>6</v>
      </c>
      <c r="D190" s="21">
        <f>D166*D232</f>
        <v/>
      </c>
      <c r="E190" s="21">
        <f>E166*E232</f>
        <v/>
      </c>
      <c r="F190" s="21">
        <f>F166*F232</f>
        <v/>
      </c>
    </row>
    <row r="191">
      <c r="B191" s="18" t="n"/>
      <c r="C191" s="18" t="n"/>
      <c r="D191" s="18" t="n"/>
      <c r="E191" s="18" t="n"/>
      <c r="F191" s="18" t="n"/>
    </row>
    <row r="192">
      <c r="B192" s="18" t="n"/>
      <c r="C192" s="18" t="n"/>
      <c r="D192" s="18" t="n"/>
      <c r="E192" s="18" t="n"/>
      <c r="F192" s="18" t="n"/>
      <c r="N192" s="52" t="inlineStr">
        <is>
          <t>COMPARAÇÃO</t>
        </is>
      </c>
    </row>
    <row r="193">
      <c r="B193" s="18" t="n"/>
      <c r="C193" s="18" t="inlineStr">
        <is>
          <t>vZf</t>
        </is>
      </c>
      <c r="D193" s="64" t="n">
        <v>16</v>
      </c>
      <c r="E193" s="64" t="n">
        <v>17</v>
      </c>
      <c r="F193" s="64" t="n">
        <v>18</v>
      </c>
      <c r="H193" s="18" t="inlineStr">
        <is>
          <t>vZw</t>
        </is>
      </c>
      <c r="I193" s="15" t="n">
        <v>1</v>
      </c>
      <c r="J193" s="15" t="n">
        <v>2</v>
      </c>
      <c r="K193" s="15" t="n">
        <v>3</v>
      </c>
      <c r="L193" s="15" t="n"/>
      <c r="M193" s="15" t="n"/>
      <c r="N193" s="19" t="inlineStr">
        <is>
          <t>vZw</t>
        </is>
      </c>
      <c r="O193" s="19" t="n">
        <v>1</v>
      </c>
      <c r="P193" s="19" t="n">
        <v>2</v>
      </c>
      <c r="Q193" s="19" t="n">
        <v>3</v>
      </c>
    </row>
    <row r="194">
      <c r="B194" s="18" t="n"/>
      <c r="C194" s="64" t="n">
        <v>4</v>
      </c>
      <c r="D194" s="21">
        <f>D92</f>
        <v/>
      </c>
      <c r="E194" s="21">
        <f>E92</f>
        <v/>
      </c>
      <c r="F194" s="21">
        <f>F92</f>
        <v/>
      </c>
      <c r="H194" s="15" t="n">
        <v>1</v>
      </c>
      <c r="I194" s="21" t="n">
        <v>0</v>
      </c>
      <c r="J194" s="21" t="n">
        <v>0</v>
      </c>
      <c r="K194" s="21" t="n">
        <v>0</v>
      </c>
      <c r="L194" s="21" t="n"/>
      <c r="M194" s="21" t="n"/>
      <c r="N194" s="19" t="n">
        <v>1</v>
      </c>
      <c r="O194" s="18">
        <f>D194-I194</f>
        <v/>
      </c>
      <c r="P194" s="18">
        <f>E194-J194</f>
        <v/>
      </c>
      <c r="Q194" s="18">
        <f>F194-K194</f>
        <v/>
      </c>
      <c r="AD194" s="15" t="n"/>
      <c r="AE194" s="15" t="n"/>
      <c r="AF194" s="15" t="n"/>
      <c r="AG194" s="15" t="n"/>
      <c r="AH194" s="15" t="n"/>
      <c r="AI194" s="15" t="n"/>
      <c r="AJ194" s="18" t="n"/>
      <c r="AK194" s="18" t="n"/>
    </row>
    <row r="195">
      <c r="B195" s="18" t="n"/>
      <c r="C195" s="64" t="n">
        <v>5</v>
      </c>
      <c r="D195" s="21">
        <f>D93</f>
        <v/>
      </c>
      <c r="E195" s="21">
        <f>E93</f>
        <v/>
      </c>
      <c r="F195" s="21">
        <f>F93</f>
        <v/>
      </c>
      <c r="H195" s="15" t="n">
        <v>2</v>
      </c>
      <c r="I195" s="21" t="n">
        <v>-6.705569433052005e-10</v>
      </c>
      <c r="J195" s="21" t="n">
        <v>8.023697262160567e-10</v>
      </c>
      <c r="K195" s="21" t="n">
        <v>0</v>
      </c>
      <c r="L195" s="21" t="n"/>
      <c r="M195" s="21" t="n"/>
      <c r="N195" s="19" t="n">
        <v>2</v>
      </c>
      <c r="O195" s="18">
        <f>D195-I195</f>
        <v/>
      </c>
      <c r="P195" s="18">
        <f>E195-J195</f>
        <v/>
      </c>
      <c r="Q195" s="18">
        <f>F195-K195</f>
        <v/>
      </c>
      <c r="AD195" s="21" t="n"/>
      <c r="AE195" s="21" t="n"/>
      <c r="AF195" s="21" t="n"/>
      <c r="AG195" s="21" t="n"/>
      <c r="AH195" s="21" t="n"/>
      <c r="AI195" s="21" t="n"/>
      <c r="AJ195" s="18" t="n"/>
      <c r="AK195" s="19" t="n"/>
    </row>
    <row r="196">
      <c r="B196" s="18" t="n"/>
      <c r="C196" s="64" t="n">
        <v>6</v>
      </c>
      <c r="D196" s="21">
        <f>D94</f>
        <v/>
      </c>
      <c r="E196" s="21">
        <f>E94</f>
        <v/>
      </c>
      <c r="F196" s="21">
        <f>F94</f>
        <v/>
      </c>
      <c r="H196" s="15" t="n">
        <v>3</v>
      </c>
      <c r="I196" s="21" t="n">
        <v>-6.422595788535546e-11</v>
      </c>
      <c r="J196" s="21" t="n">
        <v>0</v>
      </c>
      <c r="K196" s="21" t="n">
        <v>0</v>
      </c>
      <c r="L196" s="21" t="n"/>
      <c r="M196" s="21" t="n"/>
      <c r="N196" s="19" t="n">
        <v>3</v>
      </c>
      <c r="O196" s="18">
        <f>D196-I196</f>
        <v/>
      </c>
      <c r="P196" s="18">
        <f>E196-J196</f>
        <v/>
      </c>
      <c r="Q196" s="18">
        <f>F196-K196</f>
        <v/>
      </c>
      <c r="AD196" s="21" t="n"/>
      <c r="AE196" s="21" t="n"/>
      <c r="AF196" s="21" t="n"/>
      <c r="AG196" s="21" t="n"/>
      <c r="AH196" s="21" t="n"/>
      <c r="AI196" s="21" t="n"/>
      <c r="AJ196" s="18" t="n"/>
      <c r="AK196" s="19" t="n"/>
    </row>
    <row r="197">
      <c r="B197" s="18" t="n"/>
      <c r="C197" s="18" t="n"/>
      <c r="D197" s="18" t="n"/>
      <c r="E197" s="18" t="n"/>
      <c r="F197" s="18" t="n"/>
      <c r="AD197" s="21" t="n"/>
      <c r="AE197" s="21" t="n"/>
      <c r="AF197" s="21" t="n"/>
      <c r="AG197" s="21" t="n"/>
      <c r="AH197" s="21" t="n"/>
      <c r="AI197" s="21" t="n"/>
      <c r="AJ197" s="18" t="n"/>
      <c r="AK197" s="19" t="n"/>
    </row>
    <row r="198">
      <c r="B198" s="18" t="n"/>
      <c r="C198" s="18" t="n"/>
      <c r="D198" s="18" t="n"/>
      <c r="E198" s="18" t="n"/>
      <c r="F198" s="18" t="n"/>
    </row>
    <row r="199">
      <c r="A199" t="inlineStr">
        <is>
          <t>ok</t>
        </is>
      </c>
      <c r="B199" s="18" t="n"/>
      <c r="C199" s="18" t="inlineStr">
        <is>
          <t>NetDemandf (Products/day)</t>
        </is>
      </c>
      <c r="D199" s="64" t="n">
        <v>16</v>
      </c>
      <c r="E199" s="64" t="n">
        <v>17</v>
      </c>
      <c r="F199" s="64" t="n">
        <v>18</v>
      </c>
    </row>
    <row r="200">
      <c r="B200" s="18" t="n"/>
      <c r="C200" s="64" t="n">
        <v>4</v>
      </c>
      <c r="D200" s="50" t="n">
        <v>503.6499999999999</v>
      </c>
      <c r="E200" s="50" t="n">
        <v>170.29</v>
      </c>
      <c r="F200" s="50" t="n">
        <v>140.76</v>
      </c>
    </row>
    <row r="201">
      <c r="B201" s="18" t="n"/>
      <c r="C201" s="64" t="n">
        <v>5</v>
      </c>
      <c r="D201" s="50" t="n">
        <v>-200.04</v>
      </c>
      <c r="E201" s="50" t="n">
        <v>190.3700000000001</v>
      </c>
      <c r="F201" s="50" t="n">
        <v>-404.96</v>
      </c>
    </row>
    <row r="202">
      <c r="B202" s="18" t="n"/>
      <c r="C202" s="64" t="n">
        <v>6</v>
      </c>
      <c r="D202" s="50" t="n">
        <v>-331.54</v>
      </c>
      <c r="E202" s="50" t="n">
        <v>351.01</v>
      </c>
      <c r="F202" s="50" t="n">
        <v>-972.8899999999999</v>
      </c>
    </row>
    <row r="203">
      <c r="B203" s="18" t="n"/>
      <c r="C203" s="18" t="n"/>
      <c r="D203" s="18" t="n"/>
      <c r="E203" s="18" t="n"/>
      <c r="F203" s="18" t="n"/>
    </row>
    <row r="204">
      <c r="B204" s="18" t="n"/>
      <c r="C204" s="18" t="n"/>
      <c r="D204" s="18" t="n"/>
      <c r="E204" s="18" t="n"/>
      <c r="F204" s="18" t="n"/>
    </row>
    <row r="205">
      <c r="B205" s="18" t="n"/>
      <c r="C205" s="18" t="inlineStr">
        <is>
          <t>Safety Stock runout (days)?</t>
        </is>
      </c>
      <c r="D205" s="64" t="n">
        <v>16</v>
      </c>
      <c r="E205" s="64" t="n">
        <v>17</v>
      </c>
      <c r="F205" s="64" t="n">
        <v>18</v>
      </c>
    </row>
    <row r="206">
      <c r="B206" s="18" t="n"/>
      <c r="C206" s="64" t="n">
        <v>4</v>
      </c>
      <c r="D206" s="21">
        <f>IF(D200&lt;=0,"inexhaustible",(D182+(-1*D16*D200))/D200)</f>
        <v/>
      </c>
      <c r="E206" s="21">
        <f>IF(E200&lt;=0,"inexhaustible",(E182+(-1*E16*E200))/E200)</f>
        <v/>
      </c>
      <c r="F206" s="21">
        <f>IF(F200&lt;=0,"inexhaustible",(F182+(-1*F16*F200))/F200)</f>
        <v/>
      </c>
    </row>
    <row r="207">
      <c r="B207" s="18" t="n"/>
      <c r="C207" s="64" t="n">
        <v>5</v>
      </c>
      <c r="D207" s="21">
        <f>IF(D201&lt;=0,"inexhaustible",(D183+(-1*D17*D201))/D201)</f>
        <v/>
      </c>
      <c r="E207" s="21">
        <f>IF(E201&lt;=0,"inexhaustible",(E183+(-1*E17*E201))/E201)</f>
        <v/>
      </c>
      <c r="F207" s="21">
        <f>IF(F201&lt;=0,"inexhaustible",(F183+(-1*F17*F201))/F201)</f>
        <v/>
      </c>
    </row>
    <row r="208">
      <c r="B208" s="18" t="n"/>
      <c r="C208" s="64" t="n">
        <v>6</v>
      </c>
      <c r="D208" s="21">
        <f>IF(D202&lt;=0,"inexhaustible",(D184+(-1*D18*D202))/D202)</f>
        <v/>
      </c>
      <c r="E208" s="21">
        <f>IF(E202&lt;=0,"inexhaustible",(E184+(-1*E18*E202))/E202)</f>
        <v/>
      </c>
      <c r="F208" s="21">
        <f>IF(F202&lt;=0,"inexhaustible",(F184+(-1*F18*F202))/F202)</f>
        <v/>
      </c>
    </row>
    <row r="209">
      <c r="B209" s="18" t="n"/>
      <c r="C209" s="18" t="n"/>
      <c r="D209" s="18" t="n"/>
      <c r="E209" s="18" t="n"/>
      <c r="F209" s="18" t="n"/>
    </row>
    <row r="210">
      <c r="B210" s="18" t="n"/>
      <c r="C210" s="18" t="n"/>
      <c r="D210" s="18" t="n"/>
      <c r="E210" s="18" t="n"/>
      <c r="F210" s="18" t="n"/>
    </row>
    <row r="211">
      <c r="B211" s="18" t="n"/>
      <c r="C211" s="18" t="inlineStr">
        <is>
          <t>vGReorderf</t>
        </is>
      </c>
      <c r="D211" s="64" t="n">
        <v>16</v>
      </c>
      <c r="E211" s="64" t="n">
        <v>17</v>
      </c>
      <c r="F211" s="64" t="n">
        <v>18</v>
      </c>
    </row>
    <row r="212">
      <c r="B212" s="18" t="n"/>
      <c r="C212" s="64" t="n">
        <v>4</v>
      </c>
      <c r="D212" s="73" t="n">
        <v>3531.344849999999</v>
      </c>
      <c r="E212" s="73" t="n">
        <v>2232.46109</v>
      </c>
      <c r="F212" s="73" t="n">
        <v>1600.84916</v>
      </c>
    </row>
    <row r="213">
      <c r="B213" s="18" t="n"/>
      <c r="C213" s="64" t="n">
        <v>5</v>
      </c>
      <c r="D213" s="73" t="n">
        <v>0</v>
      </c>
      <c r="E213" s="73" t="n">
        <v>2322.951580000001</v>
      </c>
      <c r="F213" s="73" t="n">
        <v>0</v>
      </c>
    </row>
    <row r="214">
      <c r="B214" s="18" t="n"/>
      <c r="C214" s="64" t="n">
        <v>6</v>
      </c>
      <c r="D214" s="73" t="n">
        <v>0</v>
      </c>
      <c r="E214" s="73" t="n">
        <v>2852.15096</v>
      </c>
      <c r="F214" s="73" t="n">
        <v>0</v>
      </c>
    </row>
    <row r="215">
      <c r="B215" s="18" t="n"/>
      <c r="C215" s="18" t="n"/>
      <c r="D215" s="18" t="n"/>
      <c r="E215" s="18" t="n"/>
      <c r="F215" s="18" t="n"/>
    </row>
    <row r="216">
      <c r="B216" s="18" t="n"/>
      <c r="C216" s="18" t="n"/>
      <c r="D216" s="18" t="n"/>
      <c r="E216" s="18" t="n"/>
      <c r="F216" s="18" t="n"/>
    </row>
    <row r="217">
      <c r="B217" s="18" t="n"/>
      <c r="C217" s="36" t="inlineStr">
        <is>
          <t>VarNDw</t>
        </is>
      </c>
      <c r="D217" s="64" t="n">
        <v>16</v>
      </c>
      <c r="E217" s="64" t="n">
        <v>17</v>
      </c>
      <c r="F217" s="64" t="n">
        <v>18</v>
      </c>
    </row>
    <row r="218">
      <c r="B218" s="18" t="n"/>
      <c r="C218" s="64" t="n">
        <v>4</v>
      </c>
      <c r="D218" s="33" t="n">
        <v>7365.072399999999</v>
      </c>
      <c r="E218" s="33" t="n">
        <v>6201.5625</v>
      </c>
      <c r="F218" s="33" t="n">
        <v>8264.6281</v>
      </c>
    </row>
    <row r="219">
      <c r="B219" s="18" t="n"/>
      <c r="C219" s="64" t="n">
        <v>5</v>
      </c>
      <c r="D219" s="33" t="n">
        <v>5275.116899999999</v>
      </c>
      <c r="E219" s="33" t="n">
        <v>5169.610000000001</v>
      </c>
      <c r="F219" s="33" t="n">
        <v>10629.61</v>
      </c>
    </row>
    <row r="220">
      <c r="B220" s="18" t="n"/>
      <c r="C220" s="64" t="n">
        <v>6</v>
      </c>
      <c r="D220" s="33" t="n">
        <v>6427.2289</v>
      </c>
      <c r="E220" s="33" t="n">
        <v>4905.601600000001</v>
      </c>
      <c r="F220" s="33" t="n">
        <v>9156.5761</v>
      </c>
    </row>
    <row r="221">
      <c r="B221" s="18" t="n"/>
      <c r="C221" s="18" t="n"/>
      <c r="D221" s="21" t="n"/>
      <c r="E221" s="21" t="n"/>
      <c r="F221" s="21" t="n"/>
    </row>
    <row r="222">
      <c r="B222" s="18" t="n"/>
      <c r="C222" s="18" t="n"/>
      <c r="D222" s="18" t="n"/>
      <c r="E222" s="18" t="n"/>
      <c r="F222" s="18" t="n"/>
    </row>
    <row r="223">
      <c r="B223" s="18" t="n"/>
      <c r="C223" s="18" t="inlineStr">
        <is>
          <t>vCTf-RunOutTimef</t>
        </is>
      </c>
      <c r="D223" s="64" t="n">
        <v>16</v>
      </c>
      <c r="E223" s="64" t="n">
        <v>17</v>
      </c>
      <c r="F223" s="64" t="n">
        <v>18</v>
      </c>
    </row>
    <row r="224">
      <c r="B224" s="18" t="n"/>
      <c r="C224" s="64" t="n">
        <v>4</v>
      </c>
      <c r="D224" s="21">
        <f>IF(D200&lt;0,"inexhaustible",(IF(D45=1,"Gamma",D28-D63)))</f>
        <v/>
      </c>
      <c r="E224" s="21">
        <f>IF(E200&lt;0,"inexhaustible",(IF(E45=1,"Gamma",E28-E63)))</f>
        <v/>
      </c>
      <c r="F224" s="21">
        <f>IF(F200&lt;0,"inexhaustible",(IF(F45=1,"Gamma",F28-F63)))</f>
        <v/>
      </c>
    </row>
    <row r="225">
      <c r="B225" s="18" t="n"/>
      <c r="C225" s="64" t="n">
        <v>5</v>
      </c>
      <c r="D225" s="21">
        <f>IF(D201&lt;0,"inexhaustible",(IF(D46=1,"Gamma",D29-D64)))</f>
        <v/>
      </c>
      <c r="E225" s="21">
        <f>IF(E201&lt;0,"inexhaustible",(IF(E46=1,"Gamma",E29-E64)))</f>
        <v/>
      </c>
      <c r="F225" s="21">
        <f>IF(F201&lt;0,"inexhaustible",(IF(F46=1,"Gamma",F29-F64)))</f>
        <v/>
      </c>
    </row>
    <row r="226">
      <c r="B226" s="18" t="n"/>
      <c r="C226" s="64" t="n">
        <v>6</v>
      </c>
      <c r="D226" s="21">
        <f>IF(D202&lt;0,"inexhaustible",(IF(D47=1,"Gamma",D30-D65)))</f>
        <v/>
      </c>
      <c r="E226" s="21">
        <f>IF(E202&lt;0,"inexhaustible",(IF(E47=1,"Gamma",E30-E65)))</f>
        <v/>
      </c>
      <c r="F226" s="21">
        <f>IF(F202&lt;0,"inexhaustible",(IF(F47=1,"Gamma",F30-F65)))</f>
        <v/>
      </c>
    </row>
    <row r="227">
      <c r="B227" s="18" t="n"/>
      <c r="C227" s="18" t="n"/>
      <c r="D227" s="18" t="n"/>
      <c r="E227" s="18" t="n"/>
      <c r="F227" s="18" t="n"/>
    </row>
    <row r="228">
      <c r="B228" s="18" t="n"/>
      <c r="C228" s="18" t="n"/>
      <c r="D228" s="18" t="n"/>
      <c r="E228" s="18" t="n"/>
      <c r="F228" s="18" t="n"/>
    </row>
    <row r="229">
      <c r="B229" s="18" t="n"/>
      <c r="C229" s="36" t="inlineStr">
        <is>
          <t>vSSw</t>
        </is>
      </c>
      <c r="D229" s="64" t="n">
        <v>16</v>
      </c>
      <c r="E229" s="64" t="n">
        <v>17</v>
      </c>
      <c r="F229" s="64" t="n">
        <v>18</v>
      </c>
    </row>
    <row r="230">
      <c r="B230" s="18" t="n"/>
      <c r="C230" s="64" t="n">
        <v>4</v>
      </c>
      <c r="D230" s="33" t="n">
        <v>1069</v>
      </c>
      <c r="E230" s="33" t="n">
        <v>1122</v>
      </c>
      <c r="F230" s="33" t="n">
        <v>1025</v>
      </c>
    </row>
    <row r="231">
      <c r="B231" s="18" t="n"/>
      <c r="C231" s="64" t="n">
        <v>5</v>
      </c>
      <c r="D231" s="33" t="n">
        <v>0</v>
      </c>
      <c r="E231" s="33" t="n">
        <v>1041</v>
      </c>
      <c r="F231" s="33" t="n">
        <v>0</v>
      </c>
    </row>
    <row r="232">
      <c r="B232" s="18" t="n"/>
      <c r="C232" s="64" t="n">
        <v>6</v>
      </c>
      <c r="D232" s="33" t="n">
        <v>0</v>
      </c>
      <c r="E232" s="33" t="n">
        <v>923</v>
      </c>
      <c r="F232" s="33" t="n">
        <v>0</v>
      </c>
    </row>
  </sheetData>
  <conditionalFormatting sqref="D10:F12">
    <cfRule type="expression" priority="17" dxfId="1">
      <formula>D10&gt;0</formula>
    </cfRule>
    <cfRule type="expression" priority="18" dxfId="6">
      <formula>"D40&lt;0"</formula>
    </cfRule>
  </conditionalFormatting>
  <conditionalFormatting sqref="D16:F18">
    <cfRule type="expression" priority="15" dxfId="1">
      <formula>D16&gt;0</formula>
    </cfRule>
    <cfRule type="expression" priority="16" dxfId="6">
      <formula>D16&lt;0</formula>
    </cfRule>
  </conditionalFormatting>
  <conditionalFormatting sqref="D22:F24">
    <cfRule type="expression" priority="13" dxfId="1">
      <formula>D22&gt;0</formula>
    </cfRule>
    <cfRule type="expression" priority="14" dxfId="6">
      <formula>D22&lt;0</formula>
    </cfRule>
  </conditionalFormatting>
  <conditionalFormatting sqref="D28:F30">
    <cfRule type="expression" priority="11" dxfId="1">
      <formula>D28&gt;0</formula>
    </cfRule>
    <cfRule type="expression" priority="12" dxfId="6">
      <formula>D28&lt;0</formula>
    </cfRule>
  </conditionalFormatting>
  <conditionalFormatting sqref="D34:F36">
    <cfRule type="cellIs" priority="4" operator="equal" dxfId="7">
      <formula>1</formula>
    </cfRule>
  </conditionalFormatting>
  <conditionalFormatting sqref="D39:F41">
    <cfRule type="cellIs" priority="5" operator="equal" dxfId="7">
      <formula>1</formula>
    </cfRule>
  </conditionalFormatting>
  <conditionalFormatting sqref="D45:F47">
    <cfRule type="cellIs" priority="19" operator="equal" dxfId="7">
      <formula>1</formula>
    </cfRule>
  </conditionalFormatting>
  <conditionalFormatting sqref="D51:F53">
    <cfRule type="cellIs" priority="7" operator="equal" dxfId="7">
      <formula>1</formula>
    </cfRule>
  </conditionalFormatting>
  <conditionalFormatting sqref="D57:F59">
    <cfRule type="cellIs" priority="6" operator="equal" dxfId="7">
      <formula>1</formula>
    </cfRule>
  </conditionalFormatting>
  <conditionalFormatting sqref="D104:F106">
    <cfRule type="cellIs" priority="20" operator="lessThan" dxfId="1">
      <formula>0</formula>
    </cfRule>
  </conditionalFormatting>
  <conditionalFormatting sqref="D110:F112">
    <cfRule type="cellIs" priority="8" operator="equal" dxfId="7">
      <formula>1</formula>
    </cfRule>
  </conditionalFormatting>
  <conditionalFormatting sqref="D116:F118">
    <cfRule type="cellIs" priority="9" operator="equal" dxfId="7">
      <formula>1</formula>
    </cfRule>
  </conditionalFormatting>
  <conditionalFormatting sqref="D122:F124">
    <cfRule type="cellIs" priority="10" operator="equal" dxfId="7">
      <formula>1</formula>
    </cfRule>
  </conditionalFormatting>
  <conditionalFormatting sqref="D140:F142">
    <cfRule type="cellIs" priority="3" operator="equal" dxfId="7">
      <formula>1</formula>
    </cfRule>
  </conditionalFormatting>
  <conditionalFormatting sqref="D146:F148">
    <cfRule type="cellIs" priority="2" operator="equal" dxfId="7">
      <formula>1</formula>
    </cfRule>
  </conditionalFormatting>
  <conditionalFormatting sqref="D152:F154">
    <cfRule type="cellIs" priority="1" operator="equal" dxfId="7">
      <formula>1</formula>
    </cfRule>
  </conditionalFormatting>
  <conditionalFormatting sqref="D158:F160">
    <cfRule type="cellIs" priority="21" operator="equal" dxfId="6">
      <formula>0</formula>
    </cfRule>
  </conditionalFormatting>
  <conditionalFormatting sqref="D206:F208">
    <cfRule type="expression" priority="27" dxfId="1">
      <formula>D206&lt;D4</formula>
    </cfRule>
    <cfRule type="containsText" priority="29" operator="containsText" dxfId="0" text="inexhaustible">
      <formula>NOT(ISERROR(SEARCH("inexhaustible",D206)))</formula>
    </cfRule>
  </conditionalFormatting>
  <conditionalFormatting sqref="D224:F226">
    <cfRule type="expression" priority="25" dxfId="1">
      <formula>D224&lt;D32</formula>
    </cfRule>
    <cfRule type="containsText" priority="26" operator="containsText" dxfId="0" text="inexhaustible">
      <formula>NOT(ISERROR(SEARCH("inexhaustible",D224)))</formula>
    </cfRule>
  </conditionalFormatting>
  <conditionalFormatting sqref="D230:F232">
    <cfRule type="expression" priority="23" dxfId="1">
      <formula>D230&lt;D38</formula>
    </cfRule>
    <cfRule type="containsText" priority="24" operator="containsText" dxfId="0" text="inexhaustible">
      <formula>NOT(ISERROR(SEARCH("inexhaustible",D230)))</formula>
    </cfRule>
  </conditionalFormatting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C3:M63"/>
  <sheetViews>
    <sheetView topLeftCell="A16" zoomScale="90" zoomScaleNormal="90" workbookViewId="0">
      <selection activeCell="D22" sqref="D22:F23"/>
    </sheetView>
  </sheetViews>
  <sheetFormatPr baseColWidth="8" defaultRowHeight="14.4"/>
  <cols>
    <col width="18.5546875" customWidth="1" min="3" max="3"/>
    <col width="13.6640625" bestFit="1" customWidth="1" min="4" max="4"/>
    <col width="12.5546875" bestFit="1" customWidth="1" min="5" max="6"/>
    <col width="19.44140625" customWidth="1" min="8" max="8"/>
    <col width="10.6640625" bestFit="1" customWidth="1" min="9" max="9"/>
    <col width="8.5546875" bestFit="1" customWidth="1" min="10" max="10"/>
    <col width="19.88671875" bestFit="1" customWidth="1" min="11" max="11"/>
    <col width="8" bestFit="1" customWidth="1" min="12" max="12"/>
    <col width="7.44140625" bestFit="1" customWidth="1" min="13" max="13"/>
  </cols>
  <sheetData>
    <row r="3">
      <c r="C3" s="3" t="inlineStr">
        <is>
          <t>Repl (R$)</t>
        </is>
      </c>
      <c r="D3" s="64" t="n"/>
      <c r="E3" s="64" t="n"/>
      <c r="F3" s="64" t="n"/>
    </row>
    <row r="4">
      <c r="D4" s="64" t="n">
        <v>19</v>
      </c>
      <c r="E4" s="64" t="n">
        <v>20</v>
      </c>
      <c r="F4" s="64" t="n">
        <v>21</v>
      </c>
      <c r="H4" s="3" t="inlineStr">
        <is>
          <t>SOMA</t>
        </is>
      </c>
    </row>
    <row r="5">
      <c r="C5" s="64" t="n">
        <v>9</v>
      </c>
      <c r="D5" s="11" t="n">
        <v>5050239.464811449</v>
      </c>
      <c r="E5" s="11" t="n">
        <v>0</v>
      </c>
      <c r="F5" s="11" t="n">
        <v>0</v>
      </c>
      <c r="H5" s="3">
        <f>SUM(Distributors_Stock_Replenishment)</f>
        <v/>
      </c>
    </row>
    <row r="6">
      <c r="C6" s="64" t="n">
        <v>10</v>
      </c>
      <c r="D6" s="11" t="n">
        <v>10467061.58348654</v>
      </c>
      <c r="E6" s="11" t="n">
        <v>0</v>
      </c>
      <c r="F6" s="11" t="n">
        <v>2602928.271902476</v>
      </c>
    </row>
    <row r="7">
      <c r="C7" s="64" t="n"/>
      <c r="D7" s="3" t="n"/>
      <c r="E7" s="3" t="n"/>
      <c r="F7" s="3" t="n"/>
    </row>
    <row r="8">
      <c r="C8" s="64" t="n"/>
      <c r="D8" s="3" t="n"/>
      <c r="E8" s="3" t="n"/>
      <c r="F8" s="3" t="n"/>
    </row>
    <row r="9">
      <c r="C9" s="3" t="inlineStr">
        <is>
          <t>Beg (R$)</t>
        </is>
      </c>
      <c r="D9" s="64" t="n">
        <v>19</v>
      </c>
      <c r="E9" s="64" t="n">
        <v>20</v>
      </c>
      <c r="F9" s="64" t="n">
        <v>21</v>
      </c>
    </row>
    <row r="10">
      <c r="C10" s="64" t="n">
        <v>9</v>
      </c>
      <c r="D10" s="11" t="n">
        <v>1194728.05</v>
      </c>
      <c r="E10" s="11" t="n">
        <v>757652.9400000001</v>
      </c>
      <c r="F10" s="11" t="n">
        <v>1456738.68</v>
      </c>
      <c r="H10" s="3">
        <f>SUM(Distributors_Stock_Begining)</f>
        <v/>
      </c>
    </row>
    <row r="11">
      <c r="C11" s="64" t="n">
        <v>10</v>
      </c>
      <c r="D11" s="11" t="n">
        <v>933993.1</v>
      </c>
      <c r="E11" s="11" t="n">
        <v>1843388.56</v>
      </c>
      <c r="F11" s="11" t="n">
        <v>3051613.04</v>
      </c>
    </row>
    <row r="12">
      <c r="C12" s="64" t="n"/>
      <c r="D12" s="3" t="n"/>
      <c r="E12" s="3" t="n"/>
      <c r="F12" s="3" t="n"/>
    </row>
    <row r="13">
      <c r="C13" s="64" t="n"/>
      <c r="D13" s="3" t="n"/>
      <c r="E13" s="3" t="n"/>
      <c r="F13" s="3" t="n"/>
    </row>
    <row r="14">
      <c r="C14" s="3" t="inlineStr">
        <is>
          <t>Dem (R$)</t>
        </is>
      </c>
    </row>
    <row r="15">
      <c r="D15" s="64" t="n">
        <v>19</v>
      </c>
      <c r="E15" s="64" t="n">
        <v>20</v>
      </c>
      <c r="F15" s="64" t="n">
        <v>21</v>
      </c>
    </row>
    <row r="16">
      <c r="C16" s="64" t="n">
        <v>9</v>
      </c>
      <c r="D16" s="11" t="n">
        <v>3280876.639040315</v>
      </c>
      <c r="E16" s="11" t="n">
        <v>0</v>
      </c>
      <c r="F16" s="11" t="n">
        <v>0</v>
      </c>
      <c r="H16" s="3">
        <f>SUM(Distributors_Stock_Demand)</f>
        <v/>
      </c>
    </row>
    <row r="17">
      <c r="C17" s="64" t="n">
        <v>10</v>
      </c>
      <c r="D17" s="11" t="n">
        <v>6017628.78622947</v>
      </c>
      <c r="E17" s="11" t="n">
        <v>0</v>
      </c>
      <c r="F17" s="11" t="n">
        <v>2715090.111044708</v>
      </c>
    </row>
    <row r="18">
      <c r="C18" s="64" t="n"/>
      <c r="D18" s="3" t="n"/>
      <c r="E18" s="3" t="n"/>
      <c r="F18" s="3" t="n"/>
    </row>
    <row r="19">
      <c r="C19" s="64" t="n"/>
      <c r="D19" s="3" t="n"/>
      <c r="E19" s="3" t="n"/>
      <c r="F19" s="3" t="n"/>
    </row>
    <row r="20">
      <c r="C20" s="3" t="inlineStr">
        <is>
          <t>Final (R$)</t>
        </is>
      </c>
    </row>
    <row r="21">
      <c r="D21" s="64" t="n">
        <v>19</v>
      </c>
      <c r="E21" s="64" t="n">
        <v>20</v>
      </c>
      <c r="F21" s="64" t="n">
        <v>21</v>
      </c>
    </row>
    <row r="22">
      <c r="C22" s="64" t="n">
        <v>9</v>
      </c>
      <c r="D22" s="3">
        <f>D10-D16+D5</f>
        <v/>
      </c>
      <c r="E22" s="3">
        <f>E10-E16+E5</f>
        <v/>
      </c>
      <c r="F22" s="3">
        <f>F10-F16+F5</f>
        <v/>
      </c>
      <c r="H22" s="3">
        <f>SUM(D22:F23)</f>
        <v/>
      </c>
    </row>
    <row r="23">
      <c r="C23" s="64" t="n">
        <v>10</v>
      </c>
      <c r="D23" s="3">
        <f>D11-D17+D6</f>
        <v/>
      </c>
      <c r="E23" s="3">
        <f>E11-E17+E6</f>
        <v/>
      </c>
      <c r="F23" s="3">
        <f>F11-F17+F6</f>
        <v/>
      </c>
    </row>
    <row r="24">
      <c r="C24" s="64" t="n"/>
      <c r="D24" s="3" t="n"/>
      <c r="E24" s="3" t="n"/>
      <c r="F24" s="3" t="n"/>
    </row>
    <row r="25">
      <c r="C25" s="64" t="n"/>
      <c r="D25" s="3" t="n"/>
      <c r="E25" s="3" t="n"/>
      <c r="F25" s="3" t="n"/>
    </row>
    <row r="26">
      <c r="C26" s="3" t="inlineStr">
        <is>
          <t>Final (dias)</t>
        </is>
      </c>
      <c r="D26" s="64" t="n">
        <v>19</v>
      </c>
      <c r="E26" s="64" t="n">
        <v>20</v>
      </c>
      <c r="F26" s="64" t="n">
        <v>21</v>
      </c>
    </row>
    <row r="27">
      <c r="C27" s="64" t="n">
        <v>9</v>
      </c>
      <c r="D27" s="2">
        <f>IF(Demand!AU19&gt;Distributors_Cap!D13,(D22/Distributors!P6)/(Demand!AU19-Distributors_Cap!D13),"Inesgotável")</f>
        <v/>
      </c>
      <c r="E27" s="2">
        <f>IF(Demand!AV19&gt;Distributors_Cap!E13,(E22/Distributors!Q6)/(Demand!AV19-Distributors_Cap!E13),"Inesgotável")</f>
        <v/>
      </c>
      <c r="F27" s="2">
        <f>IF(Demand!AW19&gt;Distributors_Cap!F13,(F22/Distributors!R6)/(Demand!AW19-Distributors_Cap!F13),"Inesgotável")</f>
        <v/>
      </c>
    </row>
    <row r="28">
      <c r="C28" s="64" t="n">
        <v>10</v>
      </c>
      <c r="D28" s="2">
        <f>IF(Demand!AU20&gt;Distributors_Cap!D14,(D23/Distributors!P7)/(Demand!AU20-Distributors_Cap!D14),"Inesgotável")</f>
        <v/>
      </c>
      <c r="E28" s="2">
        <f>IF(Demand!AV20&gt;Distributors_Cap!E14,(E23/Distributors!Q7)/(Demand!AV20-Distributors_Cap!E14),"Inesgotável")</f>
        <v/>
      </c>
      <c r="F28" s="2">
        <f>IF(Demand!AW20&gt;Distributors_Cap!F14,(F23/Distributors!R7)/(Demand!AW20-Distributors_Cap!F14),"Inesgotável")</f>
        <v/>
      </c>
    </row>
    <row r="29">
      <c r="C29" s="64" t="n"/>
      <c r="D29" s="3" t="n"/>
      <c r="E29" s="3" t="n"/>
      <c r="F29" s="3" t="n"/>
    </row>
    <row r="30">
      <c r="C30" s="64" t="n"/>
      <c r="D30" s="3" t="n"/>
      <c r="E30" s="3" t="n"/>
      <c r="F30" s="3" t="n"/>
    </row>
    <row r="31">
      <c r="C31" s="64" t="inlineStr">
        <is>
          <t>Lambdad</t>
        </is>
      </c>
      <c r="D31" s="64" t="n">
        <v>19</v>
      </c>
      <c r="E31" s="64" t="n">
        <v>20</v>
      </c>
      <c r="F31" s="64" t="n">
        <v>21</v>
      </c>
    </row>
    <row r="32">
      <c r="C32" s="64" t="n">
        <v>9</v>
      </c>
      <c r="D32" s="2">
        <f>Distributors!P16</f>
        <v/>
      </c>
      <c r="E32" s="2">
        <f>Distributors!Q16</f>
        <v/>
      </c>
      <c r="F32" s="2">
        <f>Distributors!R16</f>
        <v/>
      </c>
    </row>
    <row r="33">
      <c r="C33" s="64" t="n">
        <v>10</v>
      </c>
      <c r="D33" s="2">
        <f>Distributors!P17</f>
        <v/>
      </c>
      <c r="E33" s="2">
        <f>Distributors!Q17</f>
        <v/>
      </c>
      <c r="F33" s="2">
        <f>Distributors!R17</f>
        <v/>
      </c>
    </row>
    <row r="36">
      <c r="C36" s="12" t="inlineStr">
        <is>
          <t>Final / Lambda</t>
        </is>
      </c>
      <c r="D36" s="64" t="n">
        <v>19</v>
      </c>
      <c r="E36" s="64" t="n">
        <v>20</v>
      </c>
      <c r="F36" s="64" t="n">
        <v>21</v>
      </c>
      <c r="I36" t="inlineStr">
        <is>
          <t>Inesgotável</t>
        </is>
      </c>
      <c r="J36" t="inlineStr">
        <is>
          <t>Big stock</t>
        </is>
      </c>
      <c r="K36" t="inlineStr">
        <is>
          <t>Razão (Final/Lambda)</t>
        </is>
      </c>
      <c r="L36" t="inlineStr">
        <is>
          <t>Máximo</t>
        </is>
      </c>
      <c r="M36" t="inlineStr">
        <is>
          <t>Mínimo</t>
        </is>
      </c>
    </row>
    <row r="37">
      <c r="C37" s="64" t="n">
        <v>9</v>
      </c>
      <c r="D37" s="2">
        <f>IF(D16&gt;0,IF(D5=0,"Big stock",D27/D32),"Inesgotável")</f>
        <v/>
      </c>
      <c r="E37" s="2">
        <f>IF(E16&gt;0,IF(E5=0,"Big stock",E27/E32),"Inesgotável")</f>
        <v/>
      </c>
      <c r="F37" s="2">
        <f>IF(F16&gt;0,IF(F5=0,"Big stock",F27/F32),"Inesgotável")</f>
        <v/>
      </c>
      <c r="I37">
        <f>COUNTIFS(D37:F38,"Inesgotável")</f>
        <v/>
      </c>
      <c r="J37">
        <f>COUNTIFS(D37:F38,"Big stock")</f>
        <v/>
      </c>
      <c r="K37">
        <f>COUNT(D37:F38)</f>
        <v/>
      </c>
      <c r="L37" s="13">
        <f>MAX(D37:F38)</f>
        <v/>
      </c>
      <c r="M37" s="13">
        <f>MIN(D37:F38)</f>
        <v/>
      </c>
    </row>
    <row r="38">
      <c r="C38" s="64" t="n">
        <v>10</v>
      </c>
      <c r="D38" s="2">
        <f>IF(D17&gt;0,IF(D6=0,"Big stock",D28/D33),"Inesgotável")</f>
        <v/>
      </c>
      <c r="E38" s="2">
        <f>IF(E17&gt;0,IF(E6=0,"Big stock",E28/E33),"Inesgotável")</f>
        <v/>
      </c>
      <c r="F38" s="2">
        <f>IF(F17&gt;0,IF(F6=0,"Big stock",F28/F33),"Inesgotável")</f>
        <v/>
      </c>
    </row>
    <row r="39">
      <c r="C39" s="64" t="n"/>
      <c r="D39" s="64" t="n"/>
      <c r="E39" s="64" t="n"/>
      <c r="F39" s="64" t="n"/>
    </row>
    <row r="40">
      <c r="C40" s="64" t="n"/>
      <c r="D40" s="64" t="n"/>
      <c r="E40" s="64" t="n"/>
      <c r="F40" s="64" t="n"/>
    </row>
    <row r="41">
      <c r="C41" s="64" t="inlineStr">
        <is>
          <t>MaxSOf+Ld-Sd</t>
        </is>
      </c>
      <c r="D41" s="64" t="n">
        <v>19</v>
      </c>
      <c r="E41" s="64" t="n">
        <v>20</v>
      </c>
      <c r="F41" s="64" t="n">
        <v>21</v>
      </c>
    </row>
    <row r="42">
      <c r="C42" s="64" t="n">
        <v>9</v>
      </c>
      <c r="D42" s="2">
        <f>Distributors_Cap!L22</f>
        <v/>
      </c>
      <c r="E42" s="2">
        <f>Distributors_Cap!M22</f>
        <v/>
      </c>
      <c r="F42" s="2">
        <f>Distributors_Cap!N22</f>
        <v/>
      </c>
    </row>
    <row r="43">
      <c r="C43" s="64" t="n">
        <v>10</v>
      </c>
      <c r="D43" s="2">
        <f>Distributors_Cap!L23</f>
        <v/>
      </c>
      <c r="E43" s="2">
        <f>Distributors_Cap!M23</f>
        <v/>
      </c>
      <c r="F43" s="2">
        <f>Distributors_Cap!N23</f>
        <v/>
      </c>
    </row>
    <row r="45">
      <c r="C45" s="64" t="n"/>
      <c r="D45" s="64" t="n"/>
      <c r="E45" s="64" t="n"/>
      <c r="F45" s="64" t="n"/>
    </row>
    <row r="46" ht="28.8" customHeight="1">
      <c r="C46" s="12" t="inlineStr">
        <is>
          <t>Replenishment - (MaxSOf+Ld-Sd)</t>
        </is>
      </c>
      <c r="D46" s="64" t="n">
        <v>19</v>
      </c>
      <c r="E46" s="64" t="n">
        <v>20</v>
      </c>
      <c r="F46" s="64" t="n">
        <v>21</v>
      </c>
    </row>
    <row r="47">
      <c r="C47" s="64" t="n">
        <v>9</v>
      </c>
      <c r="D47" s="2">
        <f>IF(D5=0,"no repl",D27-D42)</f>
        <v/>
      </c>
      <c r="E47" s="2">
        <f>IF(E5=0,"no repl",E27-E42)</f>
        <v/>
      </c>
      <c r="F47" s="2">
        <f>IF(F5=0,"no repl",F27-F42)</f>
        <v/>
      </c>
    </row>
    <row r="48">
      <c r="C48" s="64" t="n">
        <v>10</v>
      </c>
      <c r="D48" s="2">
        <f>IF(D6=0,"no repl",D28-D43)</f>
        <v/>
      </c>
      <c r="E48" s="2">
        <f>IF(E6=0,"no repl",E28-E43)</f>
        <v/>
      </c>
      <c r="F48" s="2">
        <f>IF(F6=0,"no repl",F28-F43)</f>
        <v/>
      </c>
    </row>
    <row r="53">
      <c r="C53" s="64" t="n"/>
      <c r="D53" s="64" t="n"/>
      <c r="E53" s="64" t="n"/>
      <c r="F53" s="64" t="n"/>
    </row>
    <row r="54">
      <c r="C54" s="64" t="n"/>
      <c r="D54" s="64" t="n"/>
      <c r="E54" s="64" t="n"/>
      <c r="F54" s="64" t="n"/>
    </row>
    <row r="55">
      <c r="C55" s="64" t="n"/>
      <c r="D55" s="64" t="n"/>
      <c r="E55" s="64" t="n"/>
      <c r="F55" s="64" t="n"/>
    </row>
    <row r="61">
      <c r="C61" s="64" t="n"/>
      <c r="D61" s="64" t="n"/>
      <c r="E61" s="64" t="n"/>
      <c r="F61" s="64" t="n"/>
    </row>
    <row r="62">
      <c r="C62" s="64" t="n"/>
      <c r="D62" s="64" t="n"/>
      <c r="E62" s="64" t="n"/>
      <c r="F62" s="64" t="n"/>
    </row>
    <row r="63">
      <c r="C63" s="64" t="n"/>
      <c r="D63" s="64" t="n"/>
      <c r="E63" s="64" t="n"/>
      <c r="F63" s="64" t="n"/>
    </row>
  </sheetData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C1:BR195"/>
  <sheetViews>
    <sheetView zoomScale="90" zoomScaleNormal="90" workbookViewId="0">
      <selection activeCell="D5" sqref="D5:F194"/>
    </sheetView>
  </sheetViews>
  <sheetFormatPr baseColWidth="8" defaultRowHeight="14.4"/>
  <cols>
    <col width="10.33203125" customWidth="1" min="3" max="3"/>
    <col width="11" bestFit="1" customWidth="1" min="4" max="5"/>
    <col width="12.5546875" bestFit="1" customWidth="1" min="6" max="6"/>
    <col width="17.33203125" customWidth="1" min="7" max="7"/>
    <col width="10.33203125" customWidth="1" min="8" max="9"/>
    <col width="11" bestFit="1" customWidth="1" min="10" max="12"/>
    <col width="15.88671875" customWidth="1" min="13" max="13"/>
    <col width="10.33203125" customWidth="1" min="14" max="15"/>
    <col width="11" bestFit="1" customWidth="1" min="16" max="18"/>
    <col width="18.6640625" customWidth="1" min="19" max="19"/>
    <col width="11.33203125" customWidth="1" min="21" max="21"/>
    <col width="12.33203125" customWidth="1" min="22" max="24"/>
    <col width="18.44140625" customWidth="1" min="25" max="25"/>
    <col width="11.88671875" customWidth="1" min="27" max="30"/>
    <col width="11" customWidth="1" style="64" min="33" max="33"/>
    <col width="8.88671875" customWidth="1" style="64" min="34" max="36"/>
    <col width="16" bestFit="1" customWidth="1" min="39" max="39"/>
    <col width="13.6640625" customWidth="1" min="40" max="42"/>
    <col width="15.5546875" customWidth="1" min="45" max="45"/>
    <col width="11.6640625" customWidth="1" min="46" max="48"/>
    <col width="20.88671875" customWidth="1" min="51" max="51"/>
    <col width="11.5546875" customWidth="1" min="52" max="54"/>
  </cols>
  <sheetData>
    <row r="1" ht="28.8" customHeight="1">
      <c r="AM1" s="64" t="inlineStr">
        <is>
          <t>Inesgotável</t>
        </is>
      </c>
      <c r="AN1" s="64" t="inlineStr">
        <is>
          <t>Big stock</t>
        </is>
      </c>
      <c r="AO1" s="12" t="inlineStr">
        <is>
          <t>Razão (Final/Lambda)</t>
        </is>
      </c>
      <c r="AP1" s="64" t="inlineStr">
        <is>
          <t>Máximo</t>
        </is>
      </c>
      <c r="AQ1" s="64" t="inlineStr">
        <is>
          <t>Mínimo</t>
        </is>
      </c>
    </row>
    <row r="2">
      <c r="AM2" s="64">
        <f>COUNTIFS(AN5:AP194,"Inesgotável")</f>
        <v/>
      </c>
      <c r="AN2" s="64">
        <f>COUNTIFS(AN5:AP194,"Big stock")</f>
        <v/>
      </c>
      <c r="AO2" s="64">
        <f>COUNT(AN5:AP194)</f>
        <v/>
      </c>
      <c r="AP2" s="2">
        <f>MAX(AN5:AP194)</f>
        <v/>
      </c>
      <c r="AQ2" s="2">
        <f>MIN(AN5:AP194)</f>
        <v/>
      </c>
    </row>
    <row r="3">
      <c r="D3" s="64" t="n"/>
      <c r="E3" s="64" t="n"/>
      <c r="F3" s="64" t="n"/>
    </row>
    <row r="4" ht="28.8" customHeight="1">
      <c r="C4" s="3" t="inlineStr">
        <is>
          <t>Repl (R$)</t>
        </is>
      </c>
      <c r="D4" s="64" t="n">
        <v>22</v>
      </c>
      <c r="E4" s="64" t="n">
        <v>23</v>
      </c>
      <c r="F4" s="64" t="n">
        <v>24</v>
      </c>
      <c r="G4" s="64" t="inlineStr">
        <is>
          <t>SOMA</t>
        </is>
      </c>
      <c r="I4" s="3" t="inlineStr">
        <is>
          <t>Beg (R$)</t>
        </is>
      </c>
      <c r="J4" s="64" t="n">
        <v>22</v>
      </c>
      <c r="K4" s="64" t="n">
        <v>23</v>
      </c>
      <c r="L4" s="64" t="n">
        <v>24</v>
      </c>
      <c r="M4" s="64" t="inlineStr">
        <is>
          <t>SOMA</t>
        </is>
      </c>
      <c r="O4" s="3" t="inlineStr">
        <is>
          <t>Dem (R$)</t>
        </is>
      </c>
      <c r="P4" s="64" t="n">
        <v>22</v>
      </c>
      <c r="Q4" s="64" t="n">
        <v>23</v>
      </c>
      <c r="R4" s="64" t="n">
        <v>24</v>
      </c>
      <c r="S4" s="64" t="inlineStr">
        <is>
          <t>SOMA</t>
        </is>
      </c>
      <c r="U4" s="3" t="inlineStr">
        <is>
          <t>Final (R$)</t>
        </is>
      </c>
      <c r="V4" s="64" t="n">
        <v>22</v>
      </c>
      <c r="W4" s="64" t="n">
        <v>23</v>
      </c>
      <c r="X4" s="64" t="n">
        <v>24</v>
      </c>
      <c r="Y4" s="64" t="inlineStr">
        <is>
          <t>SOMA</t>
        </is>
      </c>
      <c r="AA4" s="3" t="inlineStr">
        <is>
          <t>Final (dias)</t>
        </is>
      </c>
      <c r="AB4" s="64" t="n">
        <v>22</v>
      </c>
      <c r="AC4" s="64" t="n">
        <v>23</v>
      </c>
      <c r="AD4" s="64" t="n">
        <v>24</v>
      </c>
      <c r="AG4" s="64" t="inlineStr">
        <is>
          <t>Lambdar</t>
        </is>
      </c>
      <c r="AH4" s="64" t="n">
        <v>22</v>
      </c>
      <c r="AI4" s="64" t="n">
        <v>23</v>
      </c>
      <c r="AJ4" s="64" t="n">
        <v>24</v>
      </c>
      <c r="AM4" t="inlineStr">
        <is>
          <t>Final / Lambda</t>
        </is>
      </c>
      <c r="AN4" s="64" t="n">
        <v>22</v>
      </c>
      <c r="AO4" s="64" t="n">
        <v>23</v>
      </c>
      <c r="AP4" s="64" t="n">
        <v>24</v>
      </c>
      <c r="AS4" s="64" t="inlineStr">
        <is>
          <t>MaxSOd+Lr-Sr</t>
        </is>
      </c>
      <c r="AT4" s="64" t="n">
        <v>22</v>
      </c>
      <c r="AU4" s="64" t="n">
        <v>23</v>
      </c>
      <c r="AV4" s="64" t="n">
        <v>24</v>
      </c>
      <c r="AY4" s="12" t="inlineStr">
        <is>
          <t>Replenishment - (MaxSOd+Lr-Sr)</t>
        </is>
      </c>
      <c r="AZ4" s="64" t="n">
        <v>22</v>
      </c>
      <c r="BA4" s="64" t="n">
        <v>23</v>
      </c>
      <c r="BB4" s="64" t="n">
        <v>24</v>
      </c>
    </row>
    <row r="5">
      <c r="C5" s="64" t="n">
        <v>11</v>
      </c>
      <c r="D5" s="11" t="n">
        <v>251325.5875322986</v>
      </c>
      <c r="E5" s="11" t="n">
        <v>222473.1543970975</v>
      </c>
      <c r="F5" s="11" t="n">
        <v>83120.40501600456</v>
      </c>
      <c r="G5" s="3">
        <f>SUM(Retailers_Stock_Replenishment)</f>
        <v/>
      </c>
      <c r="I5" s="64" t="n">
        <v>11</v>
      </c>
      <c r="J5" s="11" t="n">
        <v>77792.64</v>
      </c>
      <c r="K5" s="11" t="n">
        <v>17663.35</v>
      </c>
      <c r="L5" s="11" t="n">
        <v>20258.75</v>
      </c>
      <c r="M5" s="3">
        <f>SUM(Retailers_Stock_Begining)</f>
        <v/>
      </c>
      <c r="O5" s="64" t="n">
        <v>11</v>
      </c>
      <c r="P5" s="11" t="n">
        <v>163710.0829635225</v>
      </c>
      <c r="Q5" s="11" t="n">
        <v>137049.3958670761</v>
      </c>
      <c r="R5" s="11" t="n">
        <v>51091.2249479311</v>
      </c>
      <c r="S5" s="3">
        <f>SUM(Retailers_Stock_Demand)</f>
        <v/>
      </c>
      <c r="U5" s="64" t="n">
        <v>11</v>
      </c>
      <c r="V5" s="3">
        <f>J5-P5+D5</f>
        <v/>
      </c>
      <c r="W5" s="3">
        <f>K5-Q5+E5</f>
        <v/>
      </c>
      <c r="X5" s="3">
        <f>L5-R5+F5</f>
        <v/>
      </c>
      <c r="Y5" s="3">
        <f>SUM(V5:X194)</f>
        <v/>
      </c>
      <c r="AA5" s="64" t="n">
        <v>11</v>
      </c>
      <c r="AB5" s="2">
        <f>IF(Demand!AU24&gt;Retailers_Cap!N7,(V5/Retailers!P6)/(Demand!AU24-Retailers_Cap!N7),"Inesgotável")</f>
        <v/>
      </c>
      <c r="AC5" s="2">
        <f>IF(Demand!AV24&gt;Retailers_Cap!O7,(W5/Retailers!Q6)/(Demand!AV24-Retailers_Cap!O7),"Inesgotável")</f>
        <v/>
      </c>
      <c r="AD5" s="2">
        <f>IF(Demand!AW24&gt;Retailers_Cap!P7,(X5/Retailers!R6)/(Demand!AW24-Retailers_Cap!P7),"Inesgotável")</f>
        <v/>
      </c>
      <c r="AG5" s="64" t="n">
        <v>11</v>
      </c>
      <c r="AH5" s="64">
        <f>Retailers!AJ6</f>
        <v/>
      </c>
      <c r="AI5" s="64">
        <f>Retailers!AK6</f>
        <v/>
      </c>
      <c r="AJ5" s="64">
        <f>Retailers!AL6</f>
        <v/>
      </c>
      <c r="AM5" s="64" t="n">
        <v>11</v>
      </c>
      <c r="AN5" s="2">
        <f>IF(P5&gt;0,IF(D5=0,"Big stock",AB5/AH5),"Inesgotável")</f>
        <v/>
      </c>
      <c r="AO5" s="2">
        <f>IF(Q5&gt;0,IF(E5=0,"Big stock",AC5/AI5),"Inesgotável")</f>
        <v/>
      </c>
      <c r="AP5" s="2">
        <f>IF(R5&gt;0,IF(F5=0,"Big stock",AD5/AJ5),"Inesgotável")</f>
        <v/>
      </c>
      <c r="AS5" s="64" t="n">
        <v>11</v>
      </c>
      <c r="AT5" s="2">
        <f>Retailers_Cap!BL7</f>
        <v/>
      </c>
      <c r="AU5" s="2">
        <f>Retailers_Cap!BM7</f>
        <v/>
      </c>
      <c r="AV5" s="2">
        <f>Retailers_Cap!BN7</f>
        <v/>
      </c>
      <c r="AY5" s="64" t="n">
        <v>11</v>
      </c>
      <c r="AZ5" s="2">
        <f>IF(D5=0,"no repl",AB5-AT5)</f>
        <v/>
      </c>
      <c r="BA5" s="2">
        <f>IF(E5=0,"no repl",AC5-AU5)</f>
        <v/>
      </c>
      <c r="BB5" s="2">
        <f>IF(F5=0,"no repl",AD5-AV5)</f>
        <v/>
      </c>
    </row>
    <row r="6">
      <c r="C6" s="64" t="n">
        <v>12</v>
      </c>
      <c r="D6" s="11" t="n">
        <v>0</v>
      </c>
      <c r="E6" s="11" t="n">
        <v>0</v>
      </c>
      <c r="F6" s="11" t="n">
        <v>157103.7087347054</v>
      </c>
      <c r="I6" s="64" t="n">
        <v>12</v>
      </c>
      <c r="J6" s="11" t="n">
        <v>14977.8</v>
      </c>
      <c r="K6" s="11" t="n">
        <v>19327.88</v>
      </c>
      <c r="L6" s="11" t="n">
        <v>94779.35999999999</v>
      </c>
      <c r="O6" s="64" t="n">
        <v>12</v>
      </c>
      <c r="P6" s="11" t="n">
        <v>0</v>
      </c>
      <c r="Q6" s="11" t="n">
        <v>0</v>
      </c>
      <c r="R6" s="11" t="n">
        <v>92904.73279034771</v>
      </c>
      <c r="U6" s="64" t="n">
        <v>12</v>
      </c>
      <c r="V6" s="3">
        <f>J6-P6+D6</f>
        <v/>
      </c>
      <c r="W6" s="3">
        <f>K6-Q6+E6</f>
        <v/>
      </c>
      <c r="X6" s="3">
        <f>L6-R6+F6</f>
        <v/>
      </c>
      <c r="AA6" s="64" t="n">
        <v>12</v>
      </c>
      <c r="AB6" s="2">
        <f>IF(Demand!AU25&gt;Retailers_Cap!N8,(V6/Retailers!P7)/(Demand!AU25-Retailers_Cap!N8),"Inesgotável")</f>
        <v/>
      </c>
      <c r="AC6" s="2">
        <f>IF(Demand!AV25&gt;Retailers_Cap!O8,(W6/Retailers!Q7)/(Demand!AV25-Retailers_Cap!O8),"Inesgotável")</f>
        <v/>
      </c>
      <c r="AD6" s="2">
        <f>IF(Demand!AW25&gt;Retailers_Cap!P8,(X6/Retailers!R7)/(Demand!AW25-Retailers_Cap!P8),"Inesgotável")</f>
        <v/>
      </c>
      <c r="AG6" s="64" t="n">
        <v>12</v>
      </c>
      <c r="AH6" s="64">
        <f>Retailers!AJ7</f>
        <v/>
      </c>
      <c r="AI6" s="64">
        <f>Retailers!AK7</f>
        <v/>
      </c>
      <c r="AJ6" s="64">
        <f>Retailers!AL7</f>
        <v/>
      </c>
      <c r="AM6" s="64" t="n">
        <v>12</v>
      </c>
      <c r="AN6" s="2">
        <f>IF(P6&gt;0,IF(D6=0,"Big stock",AB6/AH6),"Inesgotável")</f>
        <v/>
      </c>
      <c r="AO6" s="2">
        <f>IF(Q6&gt;0,IF(E6=0,"Big stock",AC6/AI6),"Inesgotável")</f>
        <v/>
      </c>
      <c r="AP6" s="2">
        <f>IF(R6&gt;0,IF(F6=0,"Big stock",AD6/AJ6),"Inesgotável")</f>
        <v/>
      </c>
      <c r="AS6" s="64" t="n">
        <v>12</v>
      </c>
      <c r="AT6" s="2">
        <f>Retailers_Cap!BL8</f>
        <v/>
      </c>
      <c r="AU6" s="2">
        <f>Retailers_Cap!BM8</f>
        <v/>
      </c>
      <c r="AV6" s="2">
        <f>Retailers_Cap!BN8</f>
        <v/>
      </c>
      <c r="AY6" s="64" t="n">
        <v>12</v>
      </c>
      <c r="AZ6" s="2">
        <f>IF(D6=0,"no repl",AB6-AT6)</f>
        <v/>
      </c>
      <c r="BA6" s="2">
        <f>IF(E6=0,"no repl",AC6-AU6)</f>
        <v/>
      </c>
      <c r="BB6" s="2">
        <f>IF(F6=0,"no repl",AD6-AV6)</f>
        <v/>
      </c>
    </row>
    <row r="7">
      <c r="C7" s="64" t="n">
        <v>13</v>
      </c>
      <c r="D7" s="11" t="n">
        <v>0</v>
      </c>
      <c r="E7" s="11" t="n">
        <v>0</v>
      </c>
      <c r="F7" s="11" t="n">
        <v>212481.3364739737</v>
      </c>
      <c r="I7" s="64" t="n">
        <v>13</v>
      </c>
      <c r="J7" s="11" t="n">
        <v>30111.2</v>
      </c>
      <c r="K7" s="11" t="n">
        <v>28754.7</v>
      </c>
      <c r="L7" s="11" t="n">
        <v>31266.03</v>
      </c>
      <c r="O7" s="64" t="n">
        <v>13</v>
      </c>
      <c r="P7" s="11" t="n">
        <v>0</v>
      </c>
      <c r="Q7" s="11" t="n">
        <v>0</v>
      </c>
      <c r="R7" s="11" t="n">
        <v>137565.8107671116</v>
      </c>
      <c r="U7" s="64" t="n">
        <v>13</v>
      </c>
      <c r="V7" s="3">
        <f>J7-P7+D7</f>
        <v/>
      </c>
      <c r="W7" s="3">
        <f>K7-Q7+E7</f>
        <v/>
      </c>
      <c r="X7" s="3">
        <f>L7-R7+F7</f>
        <v/>
      </c>
      <c r="AA7" s="64" t="n">
        <v>13</v>
      </c>
      <c r="AB7" s="2">
        <f>IF(Demand!AU26&gt;Retailers_Cap!N9,(V7/Retailers!P8)/(Demand!AU26-Retailers_Cap!N9),"Inesgotável")</f>
        <v/>
      </c>
      <c r="AC7" s="2">
        <f>IF(Demand!AV26&gt;Retailers_Cap!O9,(W7/Retailers!Q8)/(Demand!AV26-Retailers_Cap!O9),"Inesgotável")</f>
        <v/>
      </c>
      <c r="AD7" s="2">
        <f>IF(Demand!AW26&gt;Retailers_Cap!P9,(X7/Retailers!R8)/(Demand!AW26-Retailers_Cap!P9),"Inesgotável")</f>
        <v/>
      </c>
      <c r="AG7" s="64" t="n">
        <v>13</v>
      </c>
      <c r="AH7" s="64">
        <f>Retailers!AJ8</f>
        <v/>
      </c>
      <c r="AI7" s="64">
        <f>Retailers!AK8</f>
        <v/>
      </c>
      <c r="AJ7" s="64">
        <f>Retailers!AL8</f>
        <v/>
      </c>
      <c r="AM7" s="64" t="n">
        <v>13</v>
      </c>
      <c r="AN7" s="2">
        <f>IF(P7&gt;0,IF(D7=0,"Big stock",AB7/AH7),"Inesgotável")</f>
        <v/>
      </c>
      <c r="AO7" s="2">
        <f>IF(Q7&gt;0,IF(E7=0,"Big stock",AC7/AI7),"Inesgotável")</f>
        <v/>
      </c>
      <c r="AP7" s="2">
        <f>IF(R7&gt;0,IF(F7=0,"Big stock",AD7/AJ7),"Inesgotável")</f>
        <v/>
      </c>
      <c r="AS7" s="64" t="n">
        <v>13</v>
      </c>
      <c r="AT7" s="2">
        <f>Retailers_Cap!BL9</f>
        <v/>
      </c>
      <c r="AU7" s="2">
        <f>Retailers_Cap!BM9</f>
        <v/>
      </c>
      <c r="AV7" s="2">
        <f>Retailers_Cap!BN9</f>
        <v/>
      </c>
      <c r="AY7" s="64" t="n">
        <v>13</v>
      </c>
      <c r="AZ7" s="2">
        <f>IF(D7=0,"no repl",AB7-AT7)</f>
        <v/>
      </c>
      <c r="BA7" s="2">
        <f>IF(E7=0,"no repl",AC7-AU7)</f>
        <v/>
      </c>
      <c r="BB7" s="2">
        <f>IF(F7=0,"no repl",AD7-AV7)</f>
        <v/>
      </c>
    </row>
    <row r="8">
      <c r="C8" s="64" t="n">
        <v>14</v>
      </c>
      <c r="D8" s="11" t="n">
        <v>0</v>
      </c>
      <c r="E8" s="11" t="n">
        <v>0</v>
      </c>
      <c r="F8" s="11" t="n">
        <v>0</v>
      </c>
      <c r="I8" s="64" t="n">
        <v>14</v>
      </c>
      <c r="J8" s="11" t="n">
        <v>46322.99</v>
      </c>
      <c r="K8" s="11" t="n">
        <v>75764</v>
      </c>
      <c r="L8" s="11" t="n">
        <v>5957.459999999999</v>
      </c>
      <c r="O8" s="64" t="n">
        <v>14</v>
      </c>
      <c r="P8" s="11" t="n">
        <v>0</v>
      </c>
      <c r="Q8" s="11" t="n">
        <v>0</v>
      </c>
      <c r="R8" s="11" t="n">
        <v>0</v>
      </c>
      <c r="U8" s="64" t="n">
        <v>14</v>
      </c>
      <c r="V8" s="3">
        <f>J8-P8+D8</f>
        <v/>
      </c>
      <c r="W8" s="3">
        <f>K8-Q8+E8</f>
        <v/>
      </c>
      <c r="X8" s="3">
        <f>L8-R8+F8</f>
        <v/>
      </c>
      <c r="AA8" s="64" t="n">
        <v>14</v>
      </c>
      <c r="AB8" s="2">
        <f>IF(Demand!AU27&gt;Retailers_Cap!N10,(V8/Retailers!P9)/(Demand!AU27-Retailers_Cap!N10),"Inesgotável")</f>
        <v/>
      </c>
      <c r="AC8" s="2">
        <f>IF(Demand!AV27&gt;Retailers_Cap!O10,(W8/Retailers!Q9)/(Demand!AV27-Retailers_Cap!O10),"Inesgotável")</f>
        <v/>
      </c>
      <c r="AD8" s="2">
        <f>IF(Demand!AW27&gt;Retailers_Cap!P10,(X8/Retailers!R9)/(Demand!AW27-Retailers_Cap!P10),"Inesgotável")</f>
        <v/>
      </c>
      <c r="AG8" s="64" t="n">
        <v>14</v>
      </c>
      <c r="AH8" s="64">
        <f>Retailers!AJ9</f>
        <v/>
      </c>
      <c r="AI8" s="64">
        <f>Retailers!AK9</f>
        <v/>
      </c>
      <c r="AJ8" s="64">
        <f>Retailers!AL9</f>
        <v/>
      </c>
      <c r="AM8" s="64" t="n">
        <v>14</v>
      </c>
      <c r="AN8" s="2">
        <f>IF(P8&gt;0,IF(D8=0,"Big stock",AB8/AH8),"Inesgotável")</f>
        <v/>
      </c>
      <c r="AO8" s="2">
        <f>IF(Q8&gt;0,IF(E8=0,"Big stock",AC8/AI8),"Inesgotável")</f>
        <v/>
      </c>
      <c r="AP8" s="2">
        <f>IF(R8&gt;0,IF(F8=0,"Big stock",AD8/AJ8),"Inesgotável")</f>
        <v/>
      </c>
      <c r="AS8" s="64" t="n">
        <v>14</v>
      </c>
      <c r="AT8" s="2">
        <f>Retailers_Cap!BL10</f>
        <v/>
      </c>
      <c r="AU8" s="2">
        <f>Retailers_Cap!BM10</f>
        <v/>
      </c>
      <c r="AV8" s="2">
        <f>Retailers_Cap!BN10</f>
        <v/>
      </c>
      <c r="AY8" s="64" t="n">
        <v>14</v>
      </c>
      <c r="AZ8" s="2">
        <f>IF(D8=0,"no repl",AB8-AT8)</f>
        <v/>
      </c>
      <c r="BA8" s="2">
        <f>IF(E8=0,"no repl",AC8-AU8)</f>
        <v/>
      </c>
      <c r="BB8" s="2">
        <f>IF(F8=0,"no repl",AD8-AV8)</f>
        <v/>
      </c>
    </row>
    <row r="9">
      <c r="C9" s="64" t="n">
        <v>15</v>
      </c>
      <c r="D9" s="11" t="n">
        <v>216092.9312031087</v>
      </c>
      <c r="E9" s="11" t="n">
        <v>0</v>
      </c>
      <c r="F9" s="11" t="n">
        <v>0</v>
      </c>
      <c r="I9" s="64" t="n">
        <v>15</v>
      </c>
      <c r="J9" s="11" t="n">
        <v>68051.61</v>
      </c>
      <c r="K9" s="11" t="n">
        <v>12878.22</v>
      </c>
      <c r="L9" s="11" t="n">
        <v>18840.41</v>
      </c>
      <c r="O9" s="64" t="n">
        <v>15</v>
      </c>
      <c r="P9" s="11" t="n">
        <v>139430.6179537564</v>
      </c>
      <c r="Q9" s="11" t="n">
        <v>0</v>
      </c>
      <c r="R9" s="11" t="n">
        <v>0</v>
      </c>
      <c r="U9" s="64" t="n">
        <v>15</v>
      </c>
      <c r="V9" s="3">
        <f>J9-P9+D9</f>
        <v/>
      </c>
      <c r="W9" s="3">
        <f>K9-Q9+E9</f>
        <v/>
      </c>
      <c r="X9" s="3">
        <f>L9-R9+F9</f>
        <v/>
      </c>
      <c r="AA9" s="64" t="n">
        <v>15</v>
      </c>
      <c r="AB9" s="2">
        <f>IF(Demand!AU28&gt;Retailers_Cap!N11,(V9/Retailers!P10)/(Demand!AU28-Retailers_Cap!N11),"Inesgotável")</f>
        <v/>
      </c>
      <c r="AC9" s="2">
        <f>IF(Demand!AV28&gt;Retailers_Cap!O11,(W9/Retailers!Q10)/(Demand!AV28-Retailers_Cap!O11),"Inesgotável")</f>
        <v/>
      </c>
      <c r="AD9" s="2">
        <f>IF(Demand!AW28&gt;Retailers_Cap!P11,(X9/Retailers!R10)/(Demand!AW28-Retailers_Cap!P11),"Inesgotável")</f>
        <v/>
      </c>
      <c r="AG9" s="64" t="n">
        <v>15</v>
      </c>
      <c r="AH9" s="64">
        <f>Retailers!AJ10</f>
        <v/>
      </c>
      <c r="AI9" s="64">
        <f>Retailers!AK10</f>
        <v/>
      </c>
      <c r="AJ9" s="64">
        <f>Retailers!AL10</f>
        <v/>
      </c>
      <c r="AM9" s="64" t="n">
        <v>15</v>
      </c>
      <c r="AN9" s="2">
        <f>IF(P9&gt;0,IF(D9=0,"Big stock",AB9/AH9),"Inesgotável")</f>
        <v/>
      </c>
      <c r="AO9" s="2">
        <f>IF(Q9&gt;0,IF(E9=0,"Big stock",AC9/AI9),"Inesgotável")</f>
        <v/>
      </c>
      <c r="AP9" s="2">
        <f>IF(R9&gt;0,IF(F9=0,"Big stock",AD9/AJ9),"Inesgotável")</f>
        <v/>
      </c>
      <c r="AS9" s="64" t="n">
        <v>15</v>
      </c>
      <c r="AT9" s="2">
        <f>Retailers_Cap!BL11</f>
        <v/>
      </c>
      <c r="AU9" s="2">
        <f>Retailers_Cap!BM11</f>
        <v/>
      </c>
      <c r="AV9" s="2">
        <f>Retailers_Cap!BN11</f>
        <v/>
      </c>
      <c r="AY9" s="64" t="n">
        <v>15</v>
      </c>
      <c r="AZ9" s="2">
        <f>IF(D9=0,"no repl",AB9-AT9)</f>
        <v/>
      </c>
      <c r="BA9" s="2">
        <f>IF(E9=0,"no repl",AC9-AU9)</f>
        <v/>
      </c>
      <c r="BB9" s="2">
        <f>IF(F9=0,"no repl",AD9-AV9)</f>
        <v/>
      </c>
    </row>
    <row r="10">
      <c r="C10" s="64" t="n">
        <v>16</v>
      </c>
      <c r="D10" s="11" t="n">
        <v>0</v>
      </c>
      <c r="E10" s="11" t="n">
        <v>0</v>
      </c>
      <c r="F10" s="11" t="n">
        <v>0</v>
      </c>
      <c r="I10" s="64" t="n">
        <v>16</v>
      </c>
      <c r="J10" s="11" t="n">
        <v>71520.12000000001</v>
      </c>
      <c r="K10" s="11" t="n">
        <v>12128.65</v>
      </c>
      <c r="L10" s="11" t="n">
        <v>21540.61</v>
      </c>
      <c r="O10" s="64" t="n">
        <v>16</v>
      </c>
      <c r="P10" s="11" t="n">
        <v>0</v>
      </c>
      <c r="Q10" s="11" t="n">
        <v>0</v>
      </c>
      <c r="R10" s="11" t="n">
        <v>0</v>
      </c>
      <c r="U10" s="64" t="n">
        <v>16</v>
      </c>
      <c r="V10" s="3">
        <f>J10-P10+D10</f>
        <v/>
      </c>
      <c r="W10" s="3">
        <f>K10-Q10+E10</f>
        <v/>
      </c>
      <c r="X10" s="3">
        <f>L10-R10+F10</f>
        <v/>
      </c>
      <c r="AA10" s="64" t="n">
        <v>16</v>
      </c>
      <c r="AB10" s="2">
        <f>IF(Demand!AU29&gt;Retailers_Cap!N12,(V10/Retailers!P11)/(Demand!AU29-Retailers_Cap!N12),"Inesgotável")</f>
        <v/>
      </c>
      <c r="AC10" s="2">
        <f>IF(Demand!AV29&gt;Retailers_Cap!O12,(W10/Retailers!Q11)/(Demand!AV29-Retailers_Cap!O12),"Inesgotável")</f>
        <v/>
      </c>
      <c r="AD10" s="2">
        <f>IF(Demand!AW29&gt;Retailers_Cap!P12,(X10/Retailers!R11)/(Demand!AW29-Retailers_Cap!P12),"Inesgotável")</f>
        <v/>
      </c>
      <c r="AG10" s="64" t="n">
        <v>16</v>
      </c>
      <c r="AH10" s="64">
        <f>Retailers!AJ11</f>
        <v/>
      </c>
      <c r="AI10" s="64">
        <f>Retailers!AK11</f>
        <v/>
      </c>
      <c r="AJ10" s="64">
        <f>Retailers!AL11</f>
        <v/>
      </c>
      <c r="AM10" s="64" t="n">
        <v>16</v>
      </c>
      <c r="AN10" s="2">
        <f>IF(P10&gt;0,IF(D10=0,"Big stock",AB10/AH10),"Inesgotável")</f>
        <v/>
      </c>
      <c r="AO10" s="2">
        <f>IF(Q10&gt;0,IF(E10=0,"Big stock",AC10/AI10),"Inesgotável")</f>
        <v/>
      </c>
      <c r="AP10" s="2">
        <f>IF(R10&gt;0,IF(F10=0,"Big stock",AD10/AJ10),"Inesgotável")</f>
        <v/>
      </c>
      <c r="AS10" s="64" t="n">
        <v>16</v>
      </c>
      <c r="AT10" s="2">
        <f>Retailers_Cap!BL12</f>
        <v/>
      </c>
      <c r="AU10" s="2">
        <f>Retailers_Cap!BM12</f>
        <v/>
      </c>
      <c r="AV10" s="2">
        <f>Retailers_Cap!BN12</f>
        <v/>
      </c>
      <c r="AY10" s="64" t="n">
        <v>16</v>
      </c>
      <c r="AZ10" s="2">
        <f>IF(D10=0,"no repl",AB10-AT10)</f>
        <v/>
      </c>
      <c r="BA10" s="2">
        <f>IF(E10=0,"no repl",AC10-AU10)</f>
        <v/>
      </c>
      <c r="BB10" s="2">
        <f>IF(F10=0,"no repl",AD10-AV10)</f>
        <v/>
      </c>
    </row>
    <row r="11">
      <c r="C11" s="64" t="n">
        <v>17</v>
      </c>
      <c r="D11" s="11" t="n">
        <v>141007.3209227663</v>
      </c>
      <c r="E11" s="11" t="n">
        <v>0</v>
      </c>
      <c r="F11" s="11" t="n">
        <v>239411.766858042</v>
      </c>
      <c r="I11" s="64" t="n">
        <v>17</v>
      </c>
      <c r="J11" s="11" t="n">
        <v>8996.09</v>
      </c>
      <c r="K11" s="11" t="n">
        <v>7005.12</v>
      </c>
      <c r="L11" s="11" t="n">
        <v>11857.32</v>
      </c>
      <c r="O11" s="64" t="n">
        <v>17</v>
      </c>
      <c r="P11" s="11" t="n">
        <v>87331.60850696315</v>
      </c>
      <c r="Q11" s="11" t="n">
        <v>0</v>
      </c>
      <c r="R11" s="11" t="n">
        <v>142622.6212047628</v>
      </c>
      <c r="U11" s="64" t="n">
        <v>17</v>
      </c>
      <c r="V11" s="3">
        <f>J11-P11+D11</f>
        <v/>
      </c>
      <c r="W11" s="3">
        <f>K11-Q11+E11</f>
        <v/>
      </c>
      <c r="X11" s="3">
        <f>L11-R11+F11</f>
        <v/>
      </c>
      <c r="AA11" s="64" t="n">
        <v>17</v>
      </c>
      <c r="AB11" s="2">
        <f>IF(Demand!AU30&gt;Retailers_Cap!N13,(V11/Retailers!P12)/(Demand!AU30-Retailers_Cap!N13),"Inesgotável")</f>
        <v/>
      </c>
      <c r="AC11" s="2">
        <f>IF(Demand!AV30&gt;Retailers_Cap!O13,(W11/Retailers!Q12)/(Demand!AV30-Retailers_Cap!O13),"Inesgotável")</f>
        <v/>
      </c>
      <c r="AD11" s="2">
        <f>IF(Demand!AW30&gt;Retailers_Cap!P13,(X11/Retailers!R12)/(Demand!AW30-Retailers_Cap!P13),"Inesgotável")</f>
        <v/>
      </c>
      <c r="AG11" s="64" t="n">
        <v>17</v>
      </c>
      <c r="AH11" s="64">
        <f>Retailers!AJ12</f>
        <v/>
      </c>
      <c r="AI11" s="64">
        <f>Retailers!AK12</f>
        <v/>
      </c>
      <c r="AJ11" s="64">
        <f>Retailers!AL12</f>
        <v/>
      </c>
      <c r="AM11" s="64" t="n">
        <v>17</v>
      </c>
      <c r="AN11" s="2">
        <f>IF(P11&gt;0,IF(D11=0,"Big stock",AB11/AH11),"Inesgotável")</f>
        <v/>
      </c>
      <c r="AO11" s="2">
        <f>IF(Q11&gt;0,IF(E11=0,"Big stock",AC11/AI11),"Inesgotável")</f>
        <v/>
      </c>
      <c r="AP11" s="2">
        <f>IF(R11&gt;0,IF(F11=0,"Big stock",AD11/AJ11),"Inesgotável")</f>
        <v/>
      </c>
      <c r="AS11" s="64" t="n">
        <v>17</v>
      </c>
      <c r="AT11" s="2">
        <f>Retailers_Cap!BL13</f>
        <v/>
      </c>
      <c r="AU11" s="2">
        <f>Retailers_Cap!BM13</f>
        <v/>
      </c>
      <c r="AV11" s="2">
        <f>Retailers_Cap!BN13</f>
        <v/>
      </c>
      <c r="AY11" s="64" t="n">
        <v>17</v>
      </c>
      <c r="AZ11" s="2">
        <f>IF(D11=0,"no repl",AB11-AT11)</f>
        <v/>
      </c>
      <c r="BA11" s="2">
        <f>IF(E11=0,"no repl",AC11-AU11)</f>
        <v/>
      </c>
      <c r="BB11" s="2">
        <f>IF(F11=0,"no repl",AD11-AV11)</f>
        <v/>
      </c>
    </row>
    <row r="12">
      <c r="C12" s="64" t="n">
        <v>18</v>
      </c>
      <c r="D12" s="11" t="n">
        <v>0</v>
      </c>
      <c r="E12" s="11" t="n">
        <v>545102.2319520854</v>
      </c>
      <c r="F12" s="11" t="n">
        <v>797420.6725591766</v>
      </c>
      <c r="I12" s="64" t="n">
        <v>18</v>
      </c>
      <c r="J12" s="11" t="n">
        <v>104276.25</v>
      </c>
      <c r="K12" s="11" t="n">
        <v>53559.52</v>
      </c>
      <c r="L12" s="11" t="n">
        <v>60485</v>
      </c>
      <c r="O12" s="64" t="n">
        <v>18</v>
      </c>
      <c r="P12" s="11" t="n">
        <v>0</v>
      </c>
      <c r="Q12" s="11" t="n">
        <v>335960.8901947515</v>
      </c>
      <c r="R12" s="11" t="n">
        <v>491115.4260424952</v>
      </c>
      <c r="U12" s="64" t="n">
        <v>18</v>
      </c>
      <c r="V12" s="3">
        <f>J12-P12+D12</f>
        <v/>
      </c>
      <c r="W12" s="3">
        <f>K12-Q12+E12</f>
        <v/>
      </c>
      <c r="X12" s="3">
        <f>L12-R12+F12</f>
        <v/>
      </c>
      <c r="AA12" s="64" t="n">
        <v>18</v>
      </c>
      <c r="AB12" s="2">
        <f>IF(Demand!AU31&gt;Retailers_Cap!N14,(V12/Retailers!P13)/(Demand!AU31-Retailers_Cap!N14),"Inesgotável")</f>
        <v/>
      </c>
      <c r="AC12" s="2">
        <f>IF(Demand!AV31&gt;Retailers_Cap!O14,(W12/Retailers!Q13)/(Demand!AV31-Retailers_Cap!O14),"Inesgotável")</f>
        <v/>
      </c>
      <c r="AD12" s="2">
        <f>IF(Demand!AW31&gt;Retailers_Cap!P14,(X12/Retailers!R13)/(Demand!AW31-Retailers_Cap!P14),"Inesgotável")</f>
        <v/>
      </c>
      <c r="AG12" s="64" t="n">
        <v>18</v>
      </c>
      <c r="AH12" s="64">
        <f>Retailers!AJ13</f>
        <v/>
      </c>
      <c r="AI12" s="64">
        <f>Retailers!AK13</f>
        <v/>
      </c>
      <c r="AJ12" s="64">
        <f>Retailers!AL13</f>
        <v/>
      </c>
      <c r="AM12" s="64" t="n">
        <v>18</v>
      </c>
      <c r="AN12" s="2">
        <f>IF(P12&gt;0,IF(D12=0,"Big stock",AB12/AH12),"Inesgotável")</f>
        <v/>
      </c>
      <c r="AO12" s="2">
        <f>IF(Q12&gt;0,IF(E12=0,"Big stock",AC12/AI12),"Inesgotável")</f>
        <v/>
      </c>
      <c r="AP12" s="2">
        <f>IF(R12&gt;0,IF(F12=0,"Big stock",AD12/AJ12),"Inesgotável")</f>
        <v/>
      </c>
      <c r="AS12" s="64" t="n">
        <v>18</v>
      </c>
      <c r="AT12" s="2">
        <f>Retailers_Cap!BL14</f>
        <v/>
      </c>
      <c r="AU12" s="2">
        <f>Retailers_Cap!BM14</f>
        <v/>
      </c>
      <c r="AV12" s="2">
        <f>Retailers_Cap!BN14</f>
        <v/>
      </c>
      <c r="AY12" s="64" t="n">
        <v>18</v>
      </c>
      <c r="AZ12" s="2">
        <f>IF(D12=0,"no repl",AB12-AT12)</f>
        <v/>
      </c>
      <c r="BA12" s="2">
        <f>IF(E12=0,"no repl",AC12-AU12)</f>
        <v/>
      </c>
      <c r="BB12" s="2">
        <f>IF(F12=0,"no repl",AD12-AV12)</f>
        <v/>
      </c>
    </row>
    <row r="13">
      <c r="C13" s="64" t="n">
        <v>19</v>
      </c>
      <c r="D13" s="11" t="n">
        <v>0</v>
      </c>
      <c r="E13" s="11" t="n">
        <v>0</v>
      </c>
      <c r="F13" s="11" t="n">
        <v>0</v>
      </c>
      <c r="I13" s="64" t="n">
        <v>19</v>
      </c>
      <c r="J13" s="11" t="n">
        <v>23772.48</v>
      </c>
      <c r="K13" s="11" t="n">
        <v>66991</v>
      </c>
      <c r="L13" s="11" t="n">
        <v>120356.14</v>
      </c>
      <c r="O13" s="64" t="n">
        <v>19</v>
      </c>
      <c r="P13" s="11" t="n">
        <v>0</v>
      </c>
      <c r="Q13" s="11" t="n">
        <v>0</v>
      </c>
      <c r="R13" s="11" t="n">
        <v>0</v>
      </c>
      <c r="U13" s="64" t="n">
        <v>19</v>
      </c>
      <c r="V13" s="3">
        <f>J13-P13+D13</f>
        <v/>
      </c>
      <c r="W13" s="3">
        <f>K13-Q13+E13</f>
        <v/>
      </c>
      <c r="X13" s="3">
        <f>L13-R13+F13</f>
        <v/>
      </c>
      <c r="AA13" s="64" t="n">
        <v>19</v>
      </c>
      <c r="AB13" s="2">
        <f>IF(Demand!AU32&gt;Retailers_Cap!N15,(V13/Retailers!P14)/(Demand!AU32-Retailers_Cap!N15),"Inesgotável")</f>
        <v/>
      </c>
      <c r="AC13" s="2">
        <f>IF(Demand!AV32&gt;Retailers_Cap!O15,(W13/Retailers!Q14)/(Demand!AV32-Retailers_Cap!O15),"Inesgotável")</f>
        <v/>
      </c>
      <c r="AD13" s="2">
        <f>IF(Demand!AW32&gt;Retailers_Cap!P15,(X13/Retailers!R14)/(Demand!AW32-Retailers_Cap!P15),"Inesgotável")</f>
        <v/>
      </c>
      <c r="AG13" s="64" t="n">
        <v>19</v>
      </c>
      <c r="AH13" s="64">
        <f>Retailers!AJ14</f>
        <v/>
      </c>
      <c r="AI13" s="64">
        <f>Retailers!AK14</f>
        <v/>
      </c>
      <c r="AJ13" s="64">
        <f>Retailers!AL14</f>
        <v/>
      </c>
      <c r="AM13" s="64" t="n">
        <v>19</v>
      </c>
      <c r="AN13" s="2">
        <f>IF(P13&gt;0,IF(D13=0,"Big stock",AB13/AH13),"Inesgotável")</f>
        <v/>
      </c>
      <c r="AO13" s="2">
        <f>IF(Q13&gt;0,IF(E13=0,"Big stock",AC13/AI13),"Inesgotável")</f>
        <v/>
      </c>
      <c r="AP13" s="2">
        <f>IF(R13&gt;0,IF(F13=0,"Big stock",AD13/AJ13),"Inesgotável")</f>
        <v/>
      </c>
      <c r="AS13" s="64" t="n">
        <v>19</v>
      </c>
      <c r="AT13" s="2">
        <f>Retailers_Cap!BL15</f>
        <v/>
      </c>
      <c r="AU13" s="2">
        <f>Retailers_Cap!BM15</f>
        <v/>
      </c>
      <c r="AV13" s="2">
        <f>Retailers_Cap!BN15</f>
        <v/>
      </c>
      <c r="AY13" s="64" t="n">
        <v>19</v>
      </c>
      <c r="AZ13" s="2">
        <f>IF(D13=0,"no repl",AB13-AT13)</f>
        <v/>
      </c>
      <c r="BA13" s="2">
        <f>IF(E13=0,"no repl",AC13-AU13)</f>
        <v/>
      </c>
      <c r="BB13" s="2">
        <f>IF(F13=0,"no repl",AD13-AV13)</f>
        <v/>
      </c>
    </row>
    <row r="14">
      <c r="C14" s="64" t="n">
        <v>20</v>
      </c>
      <c r="D14" s="11" t="n">
        <v>167843.6613865692</v>
      </c>
      <c r="E14" s="11" t="n">
        <v>0</v>
      </c>
      <c r="F14" s="11" t="n">
        <v>0</v>
      </c>
      <c r="I14" s="64" t="n">
        <v>20</v>
      </c>
      <c r="J14" s="11" t="n">
        <v>76872.90000000001</v>
      </c>
      <c r="K14" s="11" t="n">
        <v>40906.32</v>
      </c>
      <c r="L14" s="11" t="n">
        <v>85240.08</v>
      </c>
      <c r="O14" s="64" t="n">
        <v>20</v>
      </c>
      <c r="P14" s="11" t="n">
        <v>99569.60572015663</v>
      </c>
      <c r="Q14" s="11" t="n">
        <v>0</v>
      </c>
      <c r="R14" s="11" t="n">
        <v>0</v>
      </c>
      <c r="U14" s="64" t="n">
        <v>20</v>
      </c>
      <c r="V14" s="3">
        <f>J14-P14+D14</f>
        <v/>
      </c>
      <c r="W14" s="3">
        <f>K14-Q14+E14</f>
        <v/>
      </c>
      <c r="X14" s="3">
        <f>L14-R14+F14</f>
        <v/>
      </c>
      <c r="AA14" s="64" t="n">
        <v>20</v>
      </c>
      <c r="AB14" s="2">
        <f>IF(Demand!AU33&gt;Retailers_Cap!N16,(V14/Retailers!P15)/(Demand!AU33-Retailers_Cap!N16),"Inesgotável")</f>
        <v/>
      </c>
      <c r="AC14" s="2">
        <f>IF(Demand!AV33&gt;Retailers_Cap!O16,(W14/Retailers!Q15)/(Demand!AV33-Retailers_Cap!O16),"Inesgotável")</f>
        <v/>
      </c>
      <c r="AD14" s="2">
        <f>IF(Demand!AW33&gt;Retailers_Cap!P16,(X14/Retailers!R15)/(Demand!AW33-Retailers_Cap!P16),"Inesgotável")</f>
        <v/>
      </c>
      <c r="AG14" s="64" t="n">
        <v>20</v>
      </c>
      <c r="AH14" s="64">
        <f>Retailers!AJ15</f>
        <v/>
      </c>
      <c r="AI14" s="64">
        <f>Retailers!AK15</f>
        <v/>
      </c>
      <c r="AJ14" s="64">
        <f>Retailers!AL15</f>
        <v/>
      </c>
      <c r="AM14" s="64" t="n">
        <v>20</v>
      </c>
      <c r="AN14" s="2">
        <f>IF(P14&gt;0,IF(D14=0,"Big stock",AB14/AH14),"Inesgotável")</f>
        <v/>
      </c>
      <c r="AO14" s="2">
        <f>IF(Q14&gt;0,IF(E14=0,"Big stock",AC14/AI14),"Inesgotável")</f>
        <v/>
      </c>
      <c r="AP14" s="2">
        <f>IF(R14&gt;0,IF(F14=0,"Big stock",AD14/AJ14),"Inesgotável")</f>
        <v/>
      </c>
      <c r="AS14" s="64" t="n">
        <v>20</v>
      </c>
      <c r="AT14" s="2">
        <f>Retailers_Cap!BL16</f>
        <v/>
      </c>
      <c r="AU14" s="2">
        <f>Retailers_Cap!BM16</f>
        <v/>
      </c>
      <c r="AV14" s="2">
        <f>Retailers_Cap!BN16</f>
        <v/>
      </c>
      <c r="AY14" s="64" t="n">
        <v>20</v>
      </c>
      <c r="AZ14" s="2">
        <f>IF(D14=0,"no repl",AB14-AT14)</f>
        <v/>
      </c>
      <c r="BA14" s="2">
        <f>IF(E14=0,"no repl",AC14-AU14)</f>
        <v/>
      </c>
      <c r="BB14" s="2">
        <f>IF(F14=0,"no repl",AD14-AV14)</f>
        <v/>
      </c>
    </row>
    <row r="15">
      <c r="C15" s="64" t="n">
        <v>21</v>
      </c>
      <c r="D15" s="11" t="n">
        <v>0</v>
      </c>
      <c r="E15" s="11" t="n">
        <v>0</v>
      </c>
      <c r="F15" s="11" t="n">
        <v>0</v>
      </c>
      <c r="I15" s="64" t="n">
        <v>21</v>
      </c>
      <c r="J15" s="11" t="n">
        <v>67116.60000000001</v>
      </c>
      <c r="K15" s="11" t="n">
        <v>59416.8</v>
      </c>
      <c r="L15" s="11" t="n">
        <v>45980.31</v>
      </c>
      <c r="O15" s="64" t="n">
        <v>21</v>
      </c>
      <c r="P15" s="11" t="n">
        <v>10182.37286707486</v>
      </c>
      <c r="Q15" s="11" t="n">
        <v>0</v>
      </c>
      <c r="R15" s="11" t="n">
        <v>0</v>
      </c>
      <c r="U15" s="64" t="n">
        <v>21</v>
      </c>
      <c r="V15" s="3">
        <f>J15-P15+D15</f>
        <v/>
      </c>
      <c r="W15" s="3">
        <f>K15-Q15+E15</f>
        <v/>
      </c>
      <c r="X15" s="3">
        <f>L15-R15+F15</f>
        <v/>
      </c>
      <c r="AA15" s="64" t="n">
        <v>21</v>
      </c>
      <c r="AB15" s="2">
        <f>IF(Demand!AU34&gt;Retailers_Cap!N17,(V15/Retailers!P16)/(Demand!AU34-Retailers_Cap!N17),"Inesgotável")</f>
        <v/>
      </c>
      <c r="AC15" s="2">
        <f>IF(Demand!AV34&gt;Retailers_Cap!O17,(W15/Retailers!Q16)/(Demand!AV34-Retailers_Cap!O17),"Inesgotável")</f>
        <v/>
      </c>
      <c r="AD15" s="2">
        <f>IF(Demand!AW34&gt;Retailers_Cap!P17,(X15/Retailers!R16)/(Demand!AW34-Retailers_Cap!P17),"Inesgotável")</f>
        <v/>
      </c>
      <c r="AG15" s="64" t="n">
        <v>21</v>
      </c>
      <c r="AH15" s="64">
        <f>Retailers!AJ16</f>
        <v/>
      </c>
      <c r="AI15" s="64">
        <f>Retailers!AK16</f>
        <v/>
      </c>
      <c r="AJ15" s="64">
        <f>Retailers!AL16</f>
        <v/>
      </c>
      <c r="AM15" s="64" t="n">
        <v>21</v>
      </c>
      <c r="AN15" s="2">
        <f>IF(P15&gt;0,IF(D15=0,"Big stock",AB15/AH15),"Inesgotável")</f>
        <v/>
      </c>
      <c r="AO15" s="2">
        <f>IF(Q15&gt;0,IF(E15=0,"Big stock",AC15/AI15),"Inesgotável")</f>
        <v/>
      </c>
      <c r="AP15" s="2">
        <f>IF(R15&gt;0,IF(F15=0,"Big stock",AD15/AJ15),"Inesgotável")</f>
        <v/>
      </c>
      <c r="AS15" s="64" t="n">
        <v>21</v>
      </c>
      <c r="AT15" s="2">
        <f>Retailers_Cap!BL17</f>
        <v/>
      </c>
      <c r="AU15" s="2">
        <f>Retailers_Cap!BM17</f>
        <v/>
      </c>
      <c r="AV15" s="2">
        <f>Retailers_Cap!BN17</f>
        <v/>
      </c>
      <c r="AY15" s="64" t="n">
        <v>21</v>
      </c>
      <c r="AZ15" s="2">
        <f>IF(D15=0,"no repl",AB15-AT15)</f>
        <v/>
      </c>
      <c r="BA15" s="2">
        <f>IF(E15=0,"no repl",AC15-AU15)</f>
        <v/>
      </c>
      <c r="BB15" s="2">
        <f>IF(F15=0,"no repl",AD15-AV15)</f>
        <v/>
      </c>
    </row>
    <row r="16">
      <c r="C16" s="64" t="n">
        <v>22</v>
      </c>
      <c r="D16" s="11" t="n">
        <v>0</v>
      </c>
      <c r="E16" s="11" t="n">
        <v>0</v>
      </c>
      <c r="F16" s="11" t="n">
        <v>0</v>
      </c>
      <c r="I16" s="64" t="n">
        <v>22</v>
      </c>
      <c r="J16" s="11" t="n">
        <v>16478.1</v>
      </c>
      <c r="K16" s="11" t="n">
        <v>85611.15000000001</v>
      </c>
      <c r="L16" s="11" t="n">
        <v>9435.030000000001</v>
      </c>
      <c r="O16" s="64" t="n">
        <v>22</v>
      </c>
      <c r="P16" s="11" t="n">
        <v>0</v>
      </c>
      <c r="Q16" s="11" t="n">
        <v>0</v>
      </c>
      <c r="R16" s="11" t="n">
        <v>0</v>
      </c>
      <c r="U16" s="64" t="n">
        <v>22</v>
      </c>
      <c r="V16" s="3">
        <f>J16-P16+D16</f>
        <v/>
      </c>
      <c r="W16" s="3">
        <f>K16-Q16+E16</f>
        <v/>
      </c>
      <c r="X16" s="3">
        <f>L16-R16+F16</f>
        <v/>
      </c>
      <c r="AA16" s="64" t="n">
        <v>22</v>
      </c>
      <c r="AB16" s="2">
        <f>IF(Demand!AU35&gt;Retailers_Cap!N18,(V16/Retailers!P17)/(Demand!AU35-Retailers_Cap!N18),"Inesgotável")</f>
        <v/>
      </c>
      <c r="AC16" s="2">
        <f>IF(Demand!AV35&gt;Retailers_Cap!O18,(W16/Retailers!Q17)/(Demand!AV35-Retailers_Cap!O18),"Inesgotável")</f>
        <v/>
      </c>
      <c r="AD16" s="2">
        <f>IF(Demand!AW35&gt;Retailers_Cap!P18,(X16/Retailers!R17)/(Demand!AW35-Retailers_Cap!P18),"Inesgotável")</f>
        <v/>
      </c>
      <c r="AG16" s="64" t="n">
        <v>22</v>
      </c>
      <c r="AH16" s="64">
        <f>Retailers!AJ17</f>
        <v/>
      </c>
      <c r="AI16" s="64">
        <f>Retailers!AK17</f>
        <v/>
      </c>
      <c r="AJ16" s="64">
        <f>Retailers!AL17</f>
        <v/>
      </c>
      <c r="AM16" s="64" t="n">
        <v>22</v>
      </c>
      <c r="AN16" s="2">
        <f>IF(P16&gt;0,IF(D16=0,"Big stock",AB16/AH16),"Inesgotável")</f>
        <v/>
      </c>
      <c r="AO16" s="2">
        <f>IF(Q16&gt;0,IF(E16=0,"Big stock",AC16/AI16),"Inesgotável")</f>
        <v/>
      </c>
      <c r="AP16" s="2">
        <f>IF(R16&gt;0,IF(F16=0,"Big stock",AD16/AJ16),"Inesgotável")</f>
        <v/>
      </c>
      <c r="AS16" s="64" t="n">
        <v>22</v>
      </c>
      <c r="AT16" s="2">
        <f>Retailers_Cap!BL18</f>
        <v/>
      </c>
      <c r="AU16" s="2">
        <f>Retailers_Cap!BM18</f>
        <v/>
      </c>
      <c r="AV16" s="2">
        <f>Retailers_Cap!BN18</f>
        <v/>
      </c>
      <c r="AY16" s="64" t="n">
        <v>22</v>
      </c>
      <c r="AZ16" s="2">
        <f>IF(D16=0,"no repl",AB16-AT16)</f>
        <v/>
      </c>
      <c r="BA16" s="2">
        <f>IF(E16=0,"no repl",AC16-AU16)</f>
        <v/>
      </c>
      <c r="BB16" s="2">
        <f>IF(F16=0,"no repl",AD16-AV16)</f>
        <v/>
      </c>
    </row>
    <row r="17">
      <c r="C17" s="64" t="n">
        <v>23</v>
      </c>
      <c r="D17" s="11" t="n">
        <v>390257.051161046</v>
      </c>
      <c r="E17" s="11" t="n">
        <v>179005.992546051</v>
      </c>
      <c r="F17" s="11" t="n">
        <v>0</v>
      </c>
      <c r="I17" s="64" t="n">
        <v>23</v>
      </c>
      <c r="J17" s="11" t="n">
        <v>45637.2</v>
      </c>
      <c r="K17" s="11" t="n">
        <v>68173.49000000001</v>
      </c>
      <c r="L17" s="11" t="n">
        <v>46264.65</v>
      </c>
      <c r="O17" s="64" t="n">
        <v>23</v>
      </c>
      <c r="P17" s="11" t="n">
        <v>230477.5231659102</v>
      </c>
      <c r="Q17" s="11" t="n">
        <v>109554.7222278179</v>
      </c>
      <c r="R17" s="11" t="n">
        <v>0</v>
      </c>
      <c r="U17" s="64" t="n">
        <v>23</v>
      </c>
      <c r="V17" s="3">
        <f>J17-P17+D17</f>
        <v/>
      </c>
      <c r="W17" s="3">
        <f>K17-Q17+E17</f>
        <v/>
      </c>
      <c r="X17" s="3">
        <f>L17-R17+F17</f>
        <v/>
      </c>
      <c r="AA17" s="64" t="n">
        <v>23</v>
      </c>
      <c r="AB17" s="2">
        <f>IF(Demand!AU36&gt;Retailers_Cap!N19,(V17/Retailers!P18)/(Demand!AU36-Retailers_Cap!N19),"Inesgotável")</f>
        <v/>
      </c>
      <c r="AC17" s="2">
        <f>IF(Demand!AV36&gt;Retailers_Cap!O19,(W17/Retailers!Q18)/(Demand!AV36-Retailers_Cap!O19),"Inesgotável")</f>
        <v/>
      </c>
      <c r="AD17" s="2">
        <f>IF(Demand!AW36&gt;Retailers_Cap!P19,(X17/Retailers!R18)/(Demand!AW36-Retailers_Cap!P19),"Inesgotável")</f>
        <v/>
      </c>
      <c r="AG17" s="64" t="n">
        <v>23</v>
      </c>
      <c r="AH17" s="64">
        <f>Retailers!AJ18</f>
        <v/>
      </c>
      <c r="AI17" s="64">
        <f>Retailers!AK18</f>
        <v/>
      </c>
      <c r="AJ17" s="64">
        <f>Retailers!AL18</f>
        <v/>
      </c>
      <c r="AM17" s="64" t="n">
        <v>23</v>
      </c>
      <c r="AN17" s="2">
        <f>IF(P17&gt;0,IF(D17=0,"Big stock",AB17/AH17),"Inesgotável")</f>
        <v/>
      </c>
      <c r="AO17" s="2">
        <f>IF(Q17&gt;0,IF(E17=0,"Big stock",AC17/AI17),"Inesgotável")</f>
        <v/>
      </c>
      <c r="AP17" s="2">
        <f>IF(R17&gt;0,IF(F17=0,"Big stock",AD17/AJ17),"Inesgotável")</f>
        <v/>
      </c>
      <c r="AS17" s="64" t="n">
        <v>23</v>
      </c>
      <c r="AT17" s="2">
        <f>Retailers_Cap!BL19</f>
        <v/>
      </c>
      <c r="AU17" s="2">
        <f>Retailers_Cap!BM19</f>
        <v/>
      </c>
      <c r="AV17" s="2">
        <f>Retailers_Cap!BN19</f>
        <v/>
      </c>
      <c r="AY17" s="64" t="n">
        <v>23</v>
      </c>
      <c r="AZ17" s="2">
        <f>IF(D17=0,"no repl",AB17-AT17)</f>
        <v/>
      </c>
      <c r="BA17" s="2">
        <f>IF(E17=0,"no repl",AC17-AU17)</f>
        <v/>
      </c>
      <c r="BB17" s="2">
        <f>IF(F17=0,"no repl",AD17-AV17)</f>
        <v/>
      </c>
    </row>
    <row r="18">
      <c r="C18" s="64" t="n">
        <v>24</v>
      </c>
      <c r="D18" s="11" t="n">
        <v>113459.7520187644</v>
      </c>
      <c r="E18" s="11" t="n">
        <v>255119.928698499</v>
      </c>
      <c r="F18" s="11" t="n">
        <v>0</v>
      </c>
      <c r="I18" s="64" t="n">
        <v>24</v>
      </c>
      <c r="J18" s="11" t="n">
        <v>17836.56</v>
      </c>
      <c r="K18" s="11" t="n">
        <v>44997.94</v>
      </c>
      <c r="L18" s="11" t="n">
        <v>28701.75</v>
      </c>
      <c r="O18" s="64" t="n">
        <v>24</v>
      </c>
      <c r="P18" s="11" t="n">
        <v>66180.79437699268</v>
      </c>
      <c r="Q18" s="11" t="n">
        <v>157078.8645087094</v>
      </c>
      <c r="R18" s="11" t="n">
        <v>0</v>
      </c>
      <c r="U18" s="64" t="n">
        <v>24</v>
      </c>
      <c r="V18" s="3">
        <f>J18-P18+D18</f>
        <v/>
      </c>
      <c r="W18" s="3">
        <f>K18-Q18+E18</f>
        <v/>
      </c>
      <c r="X18" s="3">
        <f>L18-R18+F18</f>
        <v/>
      </c>
      <c r="AA18" s="64" t="n">
        <v>24</v>
      </c>
      <c r="AB18" s="2">
        <f>IF(Demand!AU37&gt;Retailers_Cap!N20,(V18/Retailers!P19)/(Demand!AU37-Retailers_Cap!N20),"Inesgotável")</f>
        <v/>
      </c>
      <c r="AC18" s="2">
        <f>IF(Demand!AV37&gt;Retailers_Cap!O20,(W18/Retailers!Q19)/(Demand!AV37-Retailers_Cap!O20),"Inesgotável")</f>
        <v/>
      </c>
      <c r="AD18" s="2">
        <f>IF(Demand!AW37&gt;Retailers_Cap!P20,(X18/Retailers!R19)/(Demand!AW37-Retailers_Cap!P20),"Inesgotável")</f>
        <v/>
      </c>
      <c r="AG18" s="64" t="n">
        <v>24</v>
      </c>
      <c r="AH18" s="64">
        <f>Retailers!AJ19</f>
        <v/>
      </c>
      <c r="AI18" s="64">
        <f>Retailers!AK19</f>
        <v/>
      </c>
      <c r="AJ18" s="64">
        <f>Retailers!AL19</f>
        <v/>
      </c>
      <c r="AM18" s="64" t="n">
        <v>24</v>
      </c>
      <c r="AN18" s="2">
        <f>IF(P18&gt;0,IF(D18=0,"Big stock",AB18/AH18),"Inesgotável")</f>
        <v/>
      </c>
      <c r="AO18" s="2">
        <f>IF(Q18&gt;0,IF(E18=0,"Big stock",AC18/AI18),"Inesgotável")</f>
        <v/>
      </c>
      <c r="AP18" s="2">
        <f>IF(R18&gt;0,IF(F18=0,"Big stock",AD18/AJ18),"Inesgotável")</f>
        <v/>
      </c>
      <c r="AS18" s="64" t="n">
        <v>24</v>
      </c>
      <c r="AT18" s="2">
        <f>Retailers_Cap!BL20</f>
        <v/>
      </c>
      <c r="AU18" s="2">
        <f>Retailers_Cap!BM20</f>
        <v/>
      </c>
      <c r="AV18" s="2">
        <f>Retailers_Cap!BN20</f>
        <v/>
      </c>
      <c r="AY18" s="64" t="n">
        <v>24</v>
      </c>
      <c r="AZ18" s="2">
        <f>IF(D18=0,"no repl",AB18-AT18)</f>
        <v/>
      </c>
      <c r="BA18" s="2">
        <f>IF(E18=0,"no repl",AC18-AU18)</f>
        <v/>
      </c>
      <c r="BB18" s="2">
        <f>IF(F18=0,"no repl",AD18-AV18)</f>
        <v/>
      </c>
    </row>
    <row r="19">
      <c r="C19" s="64" t="n">
        <v>25</v>
      </c>
      <c r="D19" s="11" t="n">
        <v>0</v>
      </c>
      <c r="E19" s="11" t="n">
        <v>0</v>
      </c>
      <c r="F19" s="11" t="n">
        <v>0</v>
      </c>
      <c r="I19" s="64" t="n">
        <v>25</v>
      </c>
      <c r="J19" s="11" t="n">
        <v>60873.08</v>
      </c>
      <c r="K19" s="11" t="n">
        <v>17919.87</v>
      </c>
      <c r="L19" s="11" t="n">
        <v>18324.48</v>
      </c>
      <c r="O19" s="64" t="n">
        <v>25</v>
      </c>
      <c r="P19" s="11" t="n">
        <v>0</v>
      </c>
      <c r="Q19" s="11" t="n">
        <v>0</v>
      </c>
      <c r="R19" s="11" t="n">
        <v>0</v>
      </c>
      <c r="U19" s="64" t="n">
        <v>25</v>
      </c>
      <c r="V19" s="3">
        <f>J19-P19+D19</f>
        <v/>
      </c>
      <c r="W19" s="3">
        <f>K19-Q19+E19</f>
        <v/>
      </c>
      <c r="X19" s="3">
        <f>L19-R19+F19</f>
        <v/>
      </c>
      <c r="AA19" s="64" t="n">
        <v>25</v>
      </c>
      <c r="AB19" s="2">
        <f>IF(Demand!AU38&gt;Retailers_Cap!N21,(V19/Retailers!P20)/(Demand!AU38-Retailers_Cap!N21),"Inesgotável")</f>
        <v/>
      </c>
      <c r="AC19" s="2">
        <f>IF(Demand!AV38&gt;Retailers_Cap!O21,(W19/Retailers!Q20)/(Demand!AV38-Retailers_Cap!O21),"Inesgotável")</f>
        <v/>
      </c>
      <c r="AD19" s="2">
        <f>IF(Demand!AW38&gt;Retailers_Cap!P21,(X19/Retailers!R20)/(Demand!AW38-Retailers_Cap!P21),"Inesgotável")</f>
        <v/>
      </c>
      <c r="AG19" s="64" t="n">
        <v>25</v>
      </c>
      <c r="AH19" s="64">
        <f>Retailers!AJ20</f>
        <v/>
      </c>
      <c r="AI19" s="64">
        <f>Retailers!AK20</f>
        <v/>
      </c>
      <c r="AJ19" s="64">
        <f>Retailers!AL20</f>
        <v/>
      </c>
      <c r="AM19" s="64" t="n">
        <v>25</v>
      </c>
      <c r="AN19" s="2">
        <f>IF(P19&gt;0,IF(D19=0,"Big stock",AB19/AH19),"Inesgotável")</f>
        <v/>
      </c>
      <c r="AO19" s="2">
        <f>IF(Q19&gt;0,IF(E19=0,"Big stock",AC19/AI19),"Inesgotável")</f>
        <v/>
      </c>
      <c r="AP19" s="2">
        <f>IF(R19&gt;0,IF(F19=0,"Big stock",AD19/AJ19),"Inesgotável")</f>
        <v/>
      </c>
      <c r="AS19" s="64" t="n">
        <v>25</v>
      </c>
      <c r="AT19" s="2">
        <f>Retailers_Cap!BL21</f>
        <v/>
      </c>
      <c r="AU19" s="2">
        <f>Retailers_Cap!BM21</f>
        <v/>
      </c>
      <c r="AV19" s="2">
        <f>Retailers_Cap!BN21</f>
        <v/>
      </c>
      <c r="AY19" s="64" t="n">
        <v>25</v>
      </c>
      <c r="AZ19" s="2">
        <f>IF(D19=0,"no repl",AB19-AT19)</f>
        <v/>
      </c>
      <c r="BA19" s="2">
        <f>IF(E19=0,"no repl",AC19-AU19)</f>
        <v/>
      </c>
      <c r="BB19" s="2">
        <f>IF(F19=0,"no repl",AD19-AV19)</f>
        <v/>
      </c>
    </row>
    <row r="20">
      <c r="C20" s="64" t="n">
        <v>26</v>
      </c>
      <c r="D20" s="11" t="n">
        <v>133676.5006167579</v>
      </c>
      <c r="E20" s="11" t="n">
        <v>182267.5802364071</v>
      </c>
      <c r="F20" s="11" t="n">
        <v>225807.856248385</v>
      </c>
      <c r="I20" s="64" t="n">
        <v>26</v>
      </c>
      <c r="J20" s="11" t="n">
        <v>78983.94</v>
      </c>
      <c r="K20" s="11" t="n">
        <v>29014.7</v>
      </c>
      <c r="L20" s="11" t="n">
        <v>104578.24</v>
      </c>
      <c r="O20" s="64" t="n">
        <v>26</v>
      </c>
      <c r="P20" s="11" t="n">
        <v>81674.0396142883</v>
      </c>
      <c r="Q20" s="11" t="n">
        <v>123686.2873604567</v>
      </c>
      <c r="R20" s="11" t="n">
        <v>146953.0105626623</v>
      </c>
      <c r="U20" s="64" t="n">
        <v>26</v>
      </c>
      <c r="V20" s="3">
        <f>J20-P20+D20</f>
        <v/>
      </c>
      <c r="W20" s="3">
        <f>K20-Q20+E20</f>
        <v/>
      </c>
      <c r="X20" s="3">
        <f>L20-R20+F20</f>
        <v/>
      </c>
      <c r="AA20" s="64" t="n">
        <v>26</v>
      </c>
      <c r="AB20" s="2">
        <f>IF(Demand!AU39&gt;Retailers_Cap!N22,(V20/Retailers!P21)/(Demand!AU39-Retailers_Cap!N22),"Inesgotável")</f>
        <v/>
      </c>
      <c r="AC20" s="2">
        <f>IF(Demand!AV39&gt;Retailers_Cap!O22,(W20/Retailers!Q21)/(Demand!AV39-Retailers_Cap!O22),"Inesgotável")</f>
        <v/>
      </c>
      <c r="AD20" s="2">
        <f>IF(Demand!AW39&gt;Retailers_Cap!P22,(X20/Retailers!R21)/(Demand!AW39-Retailers_Cap!P22),"Inesgotável")</f>
        <v/>
      </c>
      <c r="AG20" s="64" t="n">
        <v>26</v>
      </c>
      <c r="AH20" s="64">
        <f>Retailers!AJ21</f>
        <v/>
      </c>
      <c r="AI20" s="64">
        <f>Retailers!AK21</f>
        <v/>
      </c>
      <c r="AJ20" s="64">
        <f>Retailers!AL21</f>
        <v/>
      </c>
      <c r="AM20" s="64" t="n">
        <v>26</v>
      </c>
      <c r="AN20" s="2">
        <f>IF(P20&gt;0,IF(D20=0,"Big stock",AB20/AH20),"Inesgotável")</f>
        <v/>
      </c>
      <c r="AO20" s="2">
        <f>IF(Q20&gt;0,IF(E20=0,"Big stock",AC20/AI20),"Inesgotável")</f>
        <v/>
      </c>
      <c r="AP20" s="2">
        <f>IF(R20&gt;0,IF(F20=0,"Big stock",AD20/AJ20),"Inesgotável")</f>
        <v/>
      </c>
      <c r="AS20" s="64" t="n">
        <v>26</v>
      </c>
      <c r="AT20" s="2">
        <f>Retailers_Cap!BL22</f>
        <v/>
      </c>
      <c r="AU20" s="2">
        <f>Retailers_Cap!BM22</f>
        <v/>
      </c>
      <c r="AV20" s="2">
        <f>Retailers_Cap!BN22</f>
        <v/>
      </c>
      <c r="AY20" s="64" t="n">
        <v>26</v>
      </c>
      <c r="AZ20" s="2">
        <f>IF(D20=0,"no repl",AB20-AT20)</f>
        <v/>
      </c>
      <c r="BA20" s="2">
        <f>IF(E20=0,"no repl",AC20-AU20)</f>
        <v/>
      </c>
      <c r="BB20" s="2">
        <f>IF(F20=0,"no repl",AD20-AV20)</f>
        <v/>
      </c>
    </row>
    <row r="21">
      <c r="C21" s="64" t="n">
        <v>27</v>
      </c>
      <c r="D21" s="11" t="n">
        <v>0</v>
      </c>
      <c r="E21" s="11" t="n">
        <v>0</v>
      </c>
      <c r="F21" s="11" t="n">
        <v>0</v>
      </c>
      <c r="I21" s="64" t="n">
        <v>27</v>
      </c>
      <c r="J21" s="11" t="n">
        <v>12431.17</v>
      </c>
      <c r="K21" s="11" t="n">
        <v>20277.33</v>
      </c>
      <c r="L21" s="11" t="n">
        <v>62682.07999999999</v>
      </c>
      <c r="O21" s="64" t="n">
        <v>27</v>
      </c>
      <c r="P21" s="11" t="n">
        <v>0</v>
      </c>
      <c r="Q21" s="11" t="n">
        <v>0</v>
      </c>
      <c r="R21" s="11" t="n">
        <v>0</v>
      </c>
      <c r="U21" s="64" t="n">
        <v>27</v>
      </c>
      <c r="V21" s="3">
        <f>J21-P21+D21</f>
        <v/>
      </c>
      <c r="W21" s="3">
        <f>K21-Q21+E21</f>
        <v/>
      </c>
      <c r="X21" s="3">
        <f>L21-R21+F21</f>
        <v/>
      </c>
      <c r="AA21" s="64" t="n">
        <v>27</v>
      </c>
      <c r="AB21" s="2">
        <f>IF(Demand!AU40&gt;Retailers_Cap!N23,(V21/Retailers!P22)/(Demand!AU40-Retailers_Cap!N23),"Inesgotável")</f>
        <v/>
      </c>
      <c r="AC21" s="2">
        <f>IF(Demand!AV40&gt;Retailers_Cap!O23,(W21/Retailers!Q22)/(Demand!AV40-Retailers_Cap!O23),"Inesgotável")</f>
        <v/>
      </c>
      <c r="AD21" s="2">
        <f>IF(Demand!AW40&gt;Retailers_Cap!P23,(X21/Retailers!R22)/(Demand!AW40-Retailers_Cap!P23),"Inesgotável")</f>
        <v/>
      </c>
      <c r="AG21" s="64" t="n">
        <v>27</v>
      </c>
      <c r="AH21" s="64">
        <f>Retailers!AJ22</f>
        <v/>
      </c>
      <c r="AI21" s="64">
        <f>Retailers!AK22</f>
        <v/>
      </c>
      <c r="AJ21" s="64">
        <f>Retailers!AL22</f>
        <v/>
      </c>
      <c r="AM21" s="64" t="n">
        <v>27</v>
      </c>
      <c r="AN21" s="2">
        <f>IF(P21&gt;0,IF(D21=0,"Big stock",AB21/AH21),"Inesgotável")</f>
        <v/>
      </c>
      <c r="AO21" s="2">
        <f>IF(Q21&gt;0,IF(E21=0,"Big stock",AC21/AI21),"Inesgotável")</f>
        <v/>
      </c>
      <c r="AP21" s="2">
        <f>IF(R21&gt;0,IF(F21=0,"Big stock",AD21/AJ21),"Inesgotável")</f>
        <v/>
      </c>
      <c r="AS21" s="64" t="n">
        <v>27</v>
      </c>
      <c r="AT21" s="2">
        <f>Retailers_Cap!BL23</f>
        <v/>
      </c>
      <c r="AU21" s="2">
        <f>Retailers_Cap!BM23</f>
        <v/>
      </c>
      <c r="AV21" s="2">
        <f>Retailers_Cap!BN23</f>
        <v/>
      </c>
      <c r="AY21" s="64" t="n">
        <v>27</v>
      </c>
      <c r="AZ21" s="2">
        <f>IF(D21=0,"no repl",AB21-AT21)</f>
        <v/>
      </c>
      <c r="BA21" s="2">
        <f>IF(E21=0,"no repl",AC21-AU21)</f>
        <v/>
      </c>
      <c r="BB21" s="2">
        <f>IF(F21=0,"no repl",AD21-AV21)</f>
        <v/>
      </c>
    </row>
    <row r="22">
      <c r="C22" s="64" t="n">
        <v>28</v>
      </c>
      <c r="D22" s="11" t="n">
        <v>544874.7857074157</v>
      </c>
      <c r="E22" s="11" t="n">
        <v>0</v>
      </c>
      <c r="F22" s="11" t="n">
        <v>163768.8443308045</v>
      </c>
      <c r="I22" s="64" t="n">
        <v>28</v>
      </c>
      <c r="J22" s="11" t="n">
        <v>18006.47</v>
      </c>
      <c r="K22" s="11" t="n">
        <v>55582.22</v>
      </c>
      <c r="L22" s="11" t="n">
        <v>73118.04000000001</v>
      </c>
      <c r="O22" s="64" t="n">
        <v>28</v>
      </c>
      <c r="P22" s="11" t="n">
        <v>344196.2327847907</v>
      </c>
      <c r="Q22" s="11" t="n">
        <v>0</v>
      </c>
      <c r="R22" s="11" t="n">
        <v>98346.3657496697</v>
      </c>
      <c r="U22" s="64" t="n">
        <v>28</v>
      </c>
      <c r="V22" s="3">
        <f>J22-P22+D22</f>
        <v/>
      </c>
      <c r="W22" s="3">
        <f>K22-Q22+E22</f>
        <v/>
      </c>
      <c r="X22" s="3">
        <f>L22-R22+F22</f>
        <v/>
      </c>
      <c r="AA22" s="64" t="n">
        <v>28</v>
      </c>
      <c r="AB22" s="2">
        <f>IF(Demand!AU41&gt;Retailers_Cap!N24,(V22/Retailers!P23)/(Demand!AU41-Retailers_Cap!N24),"Inesgotável")</f>
        <v/>
      </c>
      <c r="AC22" s="2">
        <f>IF(Demand!AV41&gt;Retailers_Cap!O24,(W22/Retailers!Q23)/(Demand!AV41-Retailers_Cap!O24),"Inesgotável")</f>
        <v/>
      </c>
      <c r="AD22" s="2">
        <f>IF(Demand!AW41&gt;Retailers_Cap!P24,(X22/Retailers!R23)/(Demand!AW41-Retailers_Cap!P24),"Inesgotável")</f>
        <v/>
      </c>
      <c r="AG22" s="64" t="n">
        <v>28</v>
      </c>
      <c r="AH22" s="64">
        <f>Retailers!AJ23</f>
        <v/>
      </c>
      <c r="AI22" s="64">
        <f>Retailers!AK23</f>
        <v/>
      </c>
      <c r="AJ22" s="64">
        <f>Retailers!AL23</f>
        <v/>
      </c>
      <c r="AM22" s="64" t="n">
        <v>28</v>
      </c>
      <c r="AN22" s="2">
        <f>IF(P22&gt;0,IF(D22=0,"Big stock",AB22/AH22),"Inesgotável")</f>
        <v/>
      </c>
      <c r="AO22" s="2">
        <f>IF(Q22&gt;0,IF(E22=0,"Big stock",AC22/AI22),"Inesgotável")</f>
        <v/>
      </c>
      <c r="AP22" s="2">
        <f>IF(R22&gt;0,IF(F22=0,"Big stock",AD22/AJ22),"Inesgotável")</f>
        <v/>
      </c>
      <c r="AS22" s="64" t="n">
        <v>28</v>
      </c>
      <c r="AT22" s="2">
        <f>Retailers_Cap!BL24</f>
        <v/>
      </c>
      <c r="AU22" s="2">
        <f>Retailers_Cap!BM24</f>
        <v/>
      </c>
      <c r="AV22" s="2">
        <f>Retailers_Cap!BN24</f>
        <v/>
      </c>
      <c r="AY22" s="64" t="n">
        <v>28</v>
      </c>
      <c r="AZ22" s="2">
        <f>IF(D22=0,"no repl",AB22-AT22)</f>
        <v/>
      </c>
      <c r="BA22" s="2">
        <f>IF(E22=0,"no repl",AC22-AU22)</f>
        <v/>
      </c>
      <c r="BB22" s="2">
        <f>IF(F22=0,"no repl",AD22-AV22)</f>
        <v/>
      </c>
    </row>
    <row r="23">
      <c r="C23" s="64" t="n">
        <v>29</v>
      </c>
      <c r="D23" s="11" t="n">
        <v>0</v>
      </c>
      <c r="E23" s="11" t="n">
        <v>0</v>
      </c>
      <c r="F23" s="11" t="n">
        <v>0</v>
      </c>
      <c r="I23" s="64" t="n">
        <v>29</v>
      </c>
      <c r="J23" s="11" t="n">
        <v>3922.8</v>
      </c>
      <c r="K23" s="11" t="n">
        <v>20441.34</v>
      </c>
      <c r="L23" s="11" t="n">
        <v>27200.25</v>
      </c>
      <c r="O23" s="64" t="n">
        <v>29</v>
      </c>
      <c r="P23" s="11" t="n">
        <v>0</v>
      </c>
      <c r="Q23" s="11" t="n">
        <v>0</v>
      </c>
      <c r="R23" s="11" t="n">
        <v>0</v>
      </c>
      <c r="U23" s="64" t="n">
        <v>29</v>
      </c>
      <c r="V23" s="3">
        <f>J23-P23+D23</f>
        <v/>
      </c>
      <c r="W23" s="3">
        <f>K23-Q23+E23</f>
        <v/>
      </c>
      <c r="X23" s="3">
        <f>L23-R23+F23</f>
        <v/>
      </c>
      <c r="AA23" s="64" t="n">
        <v>29</v>
      </c>
      <c r="AB23" s="2">
        <f>IF(Demand!AU42&gt;Retailers_Cap!N25,(V23/Retailers!P24)/(Demand!AU42-Retailers_Cap!N25),"Inesgotável")</f>
        <v/>
      </c>
      <c r="AC23" s="2">
        <f>IF(Demand!AV42&gt;Retailers_Cap!O25,(W23/Retailers!Q24)/(Demand!AV42-Retailers_Cap!O25),"Inesgotável")</f>
        <v/>
      </c>
      <c r="AD23" s="2">
        <f>IF(Demand!AW42&gt;Retailers_Cap!P25,(X23/Retailers!R24)/(Demand!AW42-Retailers_Cap!P25),"Inesgotável")</f>
        <v/>
      </c>
      <c r="AG23" s="64" t="n">
        <v>29</v>
      </c>
      <c r="AH23" s="64">
        <f>Retailers!AJ24</f>
        <v/>
      </c>
      <c r="AI23" s="64">
        <f>Retailers!AK24</f>
        <v/>
      </c>
      <c r="AJ23" s="64">
        <f>Retailers!AL24</f>
        <v/>
      </c>
      <c r="AM23" s="64" t="n">
        <v>29</v>
      </c>
      <c r="AN23" s="2">
        <f>IF(P23&gt;0,IF(D23=0,"Big stock",AB23/AH23),"Inesgotável")</f>
        <v/>
      </c>
      <c r="AO23" s="2">
        <f>IF(Q23&gt;0,IF(E23=0,"Big stock",AC23/AI23),"Inesgotável")</f>
        <v/>
      </c>
      <c r="AP23" s="2">
        <f>IF(R23&gt;0,IF(F23=0,"Big stock",AD23/AJ23),"Inesgotável")</f>
        <v/>
      </c>
      <c r="AS23" s="64" t="n">
        <v>29</v>
      </c>
      <c r="AT23" s="2">
        <f>Retailers_Cap!BL25</f>
        <v/>
      </c>
      <c r="AU23" s="2">
        <f>Retailers_Cap!BM25</f>
        <v/>
      </c>
      <c r="AV23" s="2">
        <f>Retailers_Cap!BN25</f>
        <v/>
      </c>
      <c r="AY23" s="64" t="n">
        <v>29</v>
      </c>
      <c r="AZ23" s="2">
        <f>IF(D23=0,"no repl",AB23-AT23)</f>
        <v/>
      </c>
      <c r="BA23" s="2">
        <f>IF(E23=0,"no repl",AC23-AU23)</f>
        <v/>
      </c>
      <c r="BB23" s="2">
        <f>IF(F23=0,"no repl",AD23-AV23)</f>
        <v/>
      </c>
    </row>
    <row r="24">
      <c r="C24" s="64" t="n">
        <v>30</v>
      </c>
      <c r="D24" s="11" t="n">
        <v>441465.6595426782</v>
      </c>
      <c r="E24" s="11" t="n">
        <v>0</v>
      </c>
      <c r="F24" s="11" t="n">
        <v>0</v>
      </c>
      <c r="I24" s="64" t="n">
        <v>30</v>
      </c>
      <c r="J24" s="11" t="n">
        <v>116358</v>
      </c>
      <c r="K24" s="11" t="n">
        <v>52568.66</v>
      </c>
      <c r="L24" s="11" t="n">
        <v>11911.78</v>
      </c>
      <c r="O24" s="64" t="n">
        <v>30</v>
      </c>
      <c r="P24" s="11" t="n">
        <v>268267.1234386259</v>
      </c>
      <c r="Q24" s="11" t="n">
        <v>0</v>
      </c>
      <c r="R24" s="11" t="n">
        <v>0</v>
      </c>
      <c r="U24" s="64" t="n">
        <v>30</v>
      </c>
      <c r="V24" s="3">
        <f>J24-P24+D24</f>
        <v/>
      </c>
      <c r="W24" s="3">
        <f>K24-Q24+E24</f>
        <v/>
      </c>
      <c r="X24" s="3">
        <f>L24-R24+F24</f>
        <v/>
      </c>
      <c r="AA24" s="64" t="n">
        <v>30</v>
      </c>
      <c r="AB24" s="2">
        <f>IF(Demand!AU43&gt;Retailers_Cap!N26,(V24/Retailers!P25)/(Demand!AU43-Retailers_Cap!N26),"Inesgotável")</f>
        <v/>
      </c>
      <c r="AC24" s="2">
        <f>IF(Demand!AV43&gt;Retailers_Cap!O26,(W24/Retailers!Q25)/(Demand!AV43-Retailers_Cap!O26),"Inesgotável")</f>
        <v/>
      </c>
      <c r="AD24" s="2">
        <f>IF(Demand!AW43&gt;Retailers_Cap!P26,(X24/Retailers!R25)/(Demand!AW43-Retailers_Cap!P26),"Inesgotável")</f>
        <v/>
      </c>
      <c r="AG24" s="64" t="n">
        <v>30</v>
      </c>
      <c r="AH24" s="64">
        <f>Retailers!AJ25</f>
        <v/>
      </c>
      <c r="AI24" s="64">
        <f>Retailers!AK25</f>
        <v/>
      </c>
      <c r="AJ24" s="64">
        <f>Retailers!AL25</f>
        <v/>
      </c>
      <c r="AM24" s="64" t="n">
        <v>30</v>
      </c>
      <c r="AN24" s="2">
        <f>IF(P24&gt;0,IF(D24=0,"Big stock",AB24/AH24),"Inesgotável")</f>
        <v/>
      </c>
      <c r="AO24" s="2">
        <f>IF(Q24&gt;0,IF(E24=0,"Big stock",AC24/AI24),"Inesgotável")</f>
        <v/>
      </c>
      <c r="AP24" s="2">
        <f>IF(R24&gt;0,IF(F24=0,"Big stock",AD24/AJ24),"Inesgotável")</f>
        <v/>
      </c>
      <c r="AS24" s="64" t="n">
        <v>30</v>
      </c>
      <c r="AT24" s="2">
        <f>Retailers_Cap!BL26</f>
        <v/>
      </c>
      <c r="AU24" s="2">
        <f>Retailers_Cap!BM26</f>
        <v/>
      </c>
      <c r="AV24" s="2">
        <f>Retailers_Cap!BN26</f>
        <v/>
      </c>
      <c r="AY24" s="64" t="n">
        <v>30</v>
      </c>
      <c r="AZ24" s="2">
        <f>IF(D24=0,"no repl",AB24-AT24)</f>
        <v/>
      </c>
      <c r="BA24" s="2">
        <f>IF(E24=0,"no repl",AC24-AU24)</f>
        <v/>
      </c>
      <c r="BB24" s="2">
        <f>IF(F24=0,"no repl",AD24-AV24)</f>
        <v/>
      </c>
    </row>
    <row r="25">
      <c r="C25" s="64" t="n">
        <v>31</v>
      </c>
      <c r="D25" s="11" t="n">
        <v>0</v>
      </c>
      <c r="E25" s="11" t="n">
        <v>0</v>
      </c>
      <c r="F25" s="11" t="n">
        <v>114309.0194509745</v>
      </c>
      <c r="I25" s="64" t="n">
        <v>31</v>
      </c>
      <c r="J25" s="11" t="n">
        <v>62810.16</v>
      </c>
      <c r="K25" s="11" t="n">
        <v>128108.06</v>
      </c>
      <c r="L25" s="11" t="n">
        <v>59406.68</v>
      </c>
      <c r="O25" s="64" t="n">
        <v>31</v>
      </c>
      <c r="P25" s="11" t="n">
        <v>0</v>
      </c>
      <c r="Q25" s="11" t="n">
        <v>0</v>
      </c>
      <c r="R25" s="11" t="n">
        <v>70980.55426711268</v>
      </c>
      <c r="U25" s="64" t="n">
        <v>31</v>
      </c>
      <c r="V25" s="3">
        <f>J25-P25+D25</f>
        <v/>
      </c>
      <c r="W25" s="3">
        <f>K25-Q25+E25</f>
        <v/>
      </c>
      <c r="X25" s="3">
        <f>L25-R25+F25</f>
        <v/>
      </c>
      <c r="AA25" s="64" t="n">
        <v>31</v>
      </c>
      <c r="AB25" s="2">
        <f>IF(Demand!AU44&gt;Retailers_Cap!N27,(V25/Retailers!P26)/(Demand!AU44-Retailers_Cap!N27),"Inesgotável")</f>
        <v/>
      </c>
      <c r="AC25" s="2">
        <f>IF(Demand!AV44&gt;Retailers_Cap!O27,(W25/Retailers!Q26)/(Demand!AV44-Retailers_Cap!O27),"Inesgotável")</f>
        <v/>
      </c>
      <c r="AD25" s="2">
        <f>IF(Demand!AW44&gt;Retailers_Cap!P27,(X25/Retailers!R26)/(Demand!AW44-Retailers_Cap!P27),"Inesgotável")</f>
        <v/>
      </c>
      <c r="AG25" s="64" t="n">
        <v>31</v>
      </c>
      <c r="AH25" s="64">
        <f>Retailers!AJ26</f>
        <v/>
      </c>
      <c r="AI25" s="64">
        <f>Retailers!AK26</f>
        <v/>
      </c>
      <c r="AJ25" s="64">
        <f>Retailers!AL26</f>
        <v/>
      </c>
      <c r="AM25" s="64" t="n">
        <v>31</v>
      </c>
      <c r="AN25" s="2">
        <f>IF(P25&gt;0,IF(D25=0,"Big stock",AB25/AH25),"Inesgotável")</f>
        <v/>
      </c>
      <c r="AO25" s="2">
        <f>IF(Q25&gt;0,IF(E25=0,"Big stock",AC25/AI25),"Inesgotável")</f>
        <v/>
      </c>
      <c r="AP25" s="2">
        <f>IF(R25&gt;0,IF(F25=0,"Big stock",AD25/AJ25),"Inesgotável")</f>
        <v/>
      </c>
      <c r="AS25" s="64" t="n">
        <v>31</v>
      </c>
      <c r="AT25" s="2">
        <f>Retailers_Cap!BL27</f>
        <v/>
      </c>
      <c r="AU25" s="2">
        <f>Retailers_Cap!BM27</f>
        <v/>
      </c>
      <c r="AV25" s="2">
        <f>Retailers_Cap!BN27</f>
        <v/>
      </c>
      <c r="AY25" s="64" t="n">
        <v>31</v>
      </c>
      <c r="AZ25" s="2">
        <f>IF(D25=0,"no repl",AB25-AT25)</f>
        <v/>
      </c>
      <c r="BA25" s="2">
        <f>IF(E25=0,"no repl",AC25-AU25)</f>
        <v/>
      </c>
      <c r="BB25" s="2">
        <f>IF(F25=0,"no repl",AD25-AV25)</f>
        <v/>
      </c>
    </row>
    <row r="26">
      <c r="C26" s="64" t="n">
        <v>32</v>
      </c>
      <c r="D26" s="11" t="n">
        <v>0</v>
      </c>
      <c r="E26" s="11" t="n">
        <v>0</v>
      </c>
      <c r="F26" s="11" t="n">
        <v>90214.99511975369</v>
      </c>
      <c r="I26" s="64" t="n">
        <v>32</v>
      </c>
      <c r="J26" s="11" t="n">
        <v>20217.47</v>
      </c>
      <c r="K26" s="11" t="n">
        <v>96729.17999999999</v>
      </c>
      <c r="L26" s="11" t="n">
        <v>12825.99</v>
      </c>
      <c r="O26" s="64" t="n">
        <v>32</v>
      </c>
      <c r="P26" s="11" t="n">
        <v>0</v>
      </c>
      <c r="Q26" s="11" t="n">
        <v>0</v>
      </c>
      <c r="R26" s="11" t="n">
        <v>57983.46004143116</v>
      </c>
      <c r="U26" s="64" t="n">
        <v>32</v>
      </c>
      <c r="V26" s="3">
        <f>J26-P26+D26</f>
        <v/>
      </c>
      <c r="W26" s="3">
        <f>K26-Q26+E26</f>
        <v/>
      </c>
      <c r="X26" s="3">
        <f>L26-R26+F26</f>
        <v/>
      </c>
      <c r="AA26" s="64" t="n">
        <v>32</v>
      </c>
      <c r="AB26" s="2">
        <f>IF(Demand!AU45&gt;Retailers_Cap!N28,(V26/Retailers!P27)/(Demand!AU45-Retailers_Cap!N28),"Inesgotável")</f>
        <v/>
      </c>
      <c r="AC26" s="2">
        <f>IF(Demand!AV45&gt;Retailers_Cap!O28,(W26/Retailers!Q27)/(Demand!AV45-Retailers_Cap!O28),"Inesgotável")</f>
        <v/>
      </c>
      <c r="AD26" s="2">
        <f>IF(Demand!AW45&gt;Retailers_Cap!P28,(X26/Retailers!R27)/(Demand!AW45-Retailers_Cap!P28),"Inesgotável")</f>
        <v/>
      </c>
      <c r="AG26" s="64" t="n">
        <v>32</v>
      </c>
      <c r="AH26" s="64">
        <f>Retailers!AJ27</f>
        <v/>
      </c>
      <c r="AI26" s="64">
        <f>Retailers!AK27</f>
        <v/>
      </c>
      <c r="AJ26" s="64">
        <f>Retailers!AL27</f>
        <v/>
      </c>
      <c r="AM26" s="64" t="n">
        <v>32</v>
      </c>
      <c r="AN26" s="2">
        <f>IF(P26&gt;0,IF(D26=0,"Big stock",AB26/AH26),"Inesgotável")</f>
        <v/>
      </c>
      <c r="AO26" s="2">
        <f>IF(Q26&gt;0,IF(E26=0,"Big stock",AC26/AI26),"Inesgotável")</f>
        <v/>
      </c>
      <c r="AP26" s="2">
        <f>IF(R26&gt;0,IF(F26=0,"Big stock",AD26/AJ26),"Inesgotável")</f>
        <v/>
      </c>
      <c r="AS26" s="64" t="n">
        <v>32</v>
      </c>
      <c r="AT26" s="2">
        <f>Retailers_Cap!BL28</f>
        <v/>
      </c>
      <c r="AU26" s="2">
        <f>Retailers_Cap!BM28</f>
        <v/>
      </c>
      <c r="AV26" s="2">
        <f>Retailers_Cap!BN28</f>
        <v/>
      </c>
      <c r="AY26" s="64" t="n">
        <v>32</v>
      </c>
      <c r="AZ26" s="2">
        <f>IF(D26=0,"no repl",AB26-AT26)</f>
        <v/>
      </c>
      <c r="BA26" s="2">
        <f>IF(E26=0,"no repl",AC26-AU26)</f>
        <v/>
      </c>
      <c r="BB26" s="2">
        <f>IF(F26=0,"no repl",AD26-AV26)</f>
        <v/>
      </c>
    </row>
    <row r="27">
      <c r="C27" s="64" t="n">
        <v>33</v>
      </c>
      <c r="D27" s="11" t="n">
        <v>58338.99880925319</v>
      </c>
      <c r="E27" s="11" t="n">
        <v>128963.7627059542</v>
      </c>
      <c r="F27" s="11" t="n">
        <v>498015.0928571832</v>
      </c>
      <c r="I27" s="64" t="n">
        <v>33</v>
      </c>
      <c r="J27" s="11" t="n">
        <v>28466.56</v>
      </c>
      <c r="K27" s="11" t="n">
        <v>47449</v>
      </c>
      <c r="L27" s="11" t="n">
        <v>24632.32</v>
      </c>
      <c r="O27" s="64" t="n">
        <v>33</v>
      </c>
      <c r="P27" s="11" t="n">
        <v>34663.36857768984</v>
      </c>
      <c r="Q27" s="11" t="n">
        <v>80914.19667141998</v>
      </c>
      <c r="R27" s="11" t="n">
        <v>309698.4444057792</v>
      </c>
      <c r="U27" s="64" t="n">
        <v>33</v>
      </c>
      <c r="V27" s="3">
        <f>J27-P27+D27</f>
        <v/>
      </c>
      <c r="W27" s="3">
        <f>K27-Q27+E27</f>
        <v/>
      </c>
      <c r="X27" s="3">
        <f>L27-R27+F27</f>
        <v/>
      </c>
      <c r="AA27" s="64" t="n">
        <v>33</v>
      </c>
      <c r="AB27" s="2">
        <f>IF(Demand!AU46&gt;Retailers_Cap!N29,(V27/Retailers!P28)/(Demand!AU46-Retailers_Cap!N29),"Inesgotável")</f>
        <v/>
      </c>
      <c r="AC27" s="2">
        <f>IF(Demand!AV46&gt;Retailers_Cap!O29,(W27/Retailers!Q28)/(Demand!AV46-Retailers_Cap!O29),"Inesgotável")</f>
        <v/>
      </c>
      <c r="AD27" s="2">
        <f>IF(Demand!AW46&gt;Retailers_Cap!P29,(X27/Retailers!R28)/(Demand!AW46-Retailers_Cap!P29),"Inesgotável")</f>
        <v/>
      </c>
      <c r="AG27" s="64" t="n">
        <v>33</v>
      </c>
      <c r="AH27" s="64">
        <f>Retailers!AJ28</f>
        <v/>
      </c>
      <c r="AI27" s="64">
        <f>Retailers!AK28</f>
        <v/>
      </c>
      <c r="AJ27" s="64">
        <f>Retailers!AL28</f>
        <v/>
      </c>
      <c r="AM27" s="64" t="n">
        <v>33</v>
      </c>
      <c r="AN27" s="2">
        <f>IF(P27&gt;0,IF(D27=0,"Big stock",AB27/AH27),"Inesgotável")</f>
        <v/>
      </c>
      <c r="AO27" s="2">
        <f>IF(Q27&gt;0,IF(E27=0,"Big stock",AC27/AI27),"Inesgotável")</f>
        <v/>
      </c>
      <c r="AP27" s="2">
        <f>IF(R27&gt;0,IF(F27=0,"Big stock",AD27/AJ27),"Inesgotável")</f>
        <v/>
      </c>
      <c r="AS27" s="64" t="n">
        <v>33</v>
      </c>
      <c r="AT27" s="2">
        <f>Retailers_Cap!BL29</f>
        <v/>
      </c>
      <c r="AU27" s="2">
        <f>Retailers_Cap!BM29</f>
        <v/>
      </c>
      <c r="AV27" s="2">
        <f>Retailers_Cap!BN29</f>
        <v/>
      </c>
      <c r="AY27" s="64" t="n">
        <v>33</v>
      </c>
      <c r="AZ27" s="2">
        <f>IF(D27=0,"no repl",AB27-AT27)</f>
        <v/>
      </c>
      <c r="BA27" s="2">
        <f>IF(E27=0,"no repl",AC27-AU27)</f>
        <v/>
      </c>
      <c r="BB27" s="2">
        <f>IF(F27=0,"no repl",AD27-AV27)</f>
        <v/>
      </c>
    </row>
    <row r="28">
      <c r="C28" s="64" t="n">
        <v>34</v>
      </c>
      <c r="D28" s="11" t="n">
        <v>0</v>
      </c>
      <c r="E28" s="11" t="n">
        <v>0</v>
      </c>
      <c r="F28" s="11" t="n">
        <v>134460.0824875102</v>
      </c>
      <c r="I28" s="64" t="n">
        <v>34</v>
      </c>
      <c r="J28" s="11" t="n">
        <v>30212.6</v>
      </c>
      <c r="K28" s="11" t="n">
        <v>24648.91</v>
      </c>
      <c r="L28" s="11" t="n">
        <v>67701.12</v>
      </c>
      <c r="O28" s="64" t="n">
        <v>34</v>
      </c>
      <c r="P28" s="11" t="n">
        <v>0</v>
      </c>
      <c r="Q28" s="11" t="n">
        <v>0</v>
      </c>
      <c r="R28" s="11" t="n">
        <v>84620.95048980696</v>
      </c>
      <c r="U28" s="64" t="n">
        <v>34</v>
      </c>
      <c r="V28" s="3">
        <f>J28-P28+D28</f>
        <v/>
      </c>
      <c r="W28" s="3">
        <f>K28-Q28+E28</f>
        <v/>
      </c>
      <c r="X28" s="3">
        <f>L28-R28+F28</f>
        <v/>
      </c>
      <c r="AA28" s="64" t="n">
        <v>34</v>
      </c>
      <c r="AB28" s="2">
        <f>IF(Demand!AU47&gt;Retailers_Cap!N30,(V28/Retailers!P29)/(Demand!AU47-Retailers_Cap!N30),"Inesgotável")</f>
        <v/>
      </c>
      <c r="AC28" s="2">
        <f>IF(Demand!AV47&gt;Retailers_Cap!O30,(W28/Retailers!Q29)/(Demand!AV47-Retailers_Cap!O30),"Inesgotável")</f>
        <v/>
      </c>
      <c r="AD28" s="2">
        <f>IF(Demand!AW47&gt;Retailers_Cap!P30,(X28/Retailers!R29)/(Demand!AW47-Retailers_Cap!P30),"Inesgotável")</f>
        <v/>
      </c>
      <c r="AG28" s="64" t="n">
        <v>34</v>
      </c>
      <c r="AH28" s="64">
        <f>Retailers!AJ29</f>
        <v/>
      </c>
      <c r="AI28" s="64">
        <f>Retailers!AK29</f>
        <v/>
      </c>
      <c r="AJ28" s="64">
        <f>Retailers!AL29</f>
        <v/>
      </c>
      <c r="AM28" s="64" t="n">
        <v>34</v>
      </c>
      <c r="AN28" s="2">
        <f>IF(P28&gt;0,IF(D28=0,"Big stock",AB28/AH28),"Inesgotável")</f>
        <v/>
      </c>
      <c r="AO28" s="2">
        <f>IF(Q28&gt;0,IF(E28=0,"Big stock",AC28/AI28),"Inesgotável")</f>
        <v/>
      </c>
      <c r="AP28" s="2">
        <f>IF(R28&gt;0,IF(F28=0,"Big stock",AD28/AJ28),"Inesgotável")</f>
        <v/>
      </c>
      <c r="AS28" s="64" t="n">
        <v>34</v>
      </c>
      <c r="AT28" s="2">
        <f>Retailers_Cap!BL30</f>
        <v/>
      </c>
      <c r="AU28" s="2">
        <f>Retailers_Cap!BM30</f>
        <v/>
      </c>
      <c r="AV28" s="2">
        <f>Retailers_Cap!BN30</f>
        <v/>
      </c>
      <c r="AY28" s="64" t="n">
        <v>34</v>
      </c>
      <c r="AZ28" s="2">
        <f>IF(D28=0,"no repl",AB28-AT28)</f>
        <v/>
      </c>
      <c r="BA28" s="2">
        <f>IF(E28=0,"no repl",AC28-AU28)</f>
        <v/>
      </c>
      <c r="BB28" s="2">
        <f>IF(F28=0,"no repl",AD28-AV28)</f>
        <v/>
      </c>
    </row>
    <row r="29">
      <c r="C29" s="64" t="n">
        <v>35</v>
      </c>
      <c r="D29" s="11" t="n">
        <v>368870.5373121736</v>
      </c>
      <c r="E29" s="11" t="n">
        <v>0</v>
      </c>
      <c r="F29" s="11" t="n">
        <v>518050.2460147262</v>
      </c>
      <c r="I29" s="64" t="n">
        <v>35</v>
      </c>
      <c r="J29" s="11" t="n">
        <v>62927.55</v>
      </c>
      <c r="K29" s="11" t="n">
        <v>10539.36</v>
      </c>
      <c r="L29" s="11" t="n">
        <v>9081.059999999999</v>
      </c>
      <c r="O29" s="64" t="n">
        <v>35</v>
      </c>
      <c r="P29" s="11" t="n">
        <v>224749.0045343625</v>
      </c>
      <c r="Q29" s="11" t="n">
        <v>0</v>
      </c>
      <c r="R29" s="11" t="n">
        <v>312613.0796999978</v>
      </c>
      <c r="U29" s="64" t="n">
        <v>35</v>
      </c>
      <c r="V29" s="3">
        <f>J29-P29+D29</f>
        <v/>
      </c>
      <c r="W29" s="3">
        <f>K29-Q29+E29</f>
        <v/>
      </c>
      <c r="X29" s="3">
        <f>L29-R29+F29</f>
        <v/>
      </c>
      <c r="AA29" s="64" t="n">
        <v>35</v>
      </c>
      <c r="AB29" s="2">
        <f>IF(Demand!AU48&gt;Retailers_Cap!N31,(V29/Retailers!P30)/(Demand!AU48-Retailers_Cap!N31),"Inesgotável")</f>
        <v/>
      </c>
      <c r="AC29" s="2">
        <f>IF(Demand!AV48&gt;Retailers_Cap!O31,(W29/Retailers!Q30)/(Demand!AV48-Retailers_Cap!O31),"Inesgotável")</f>
        <v/>
      </c>
      <c r="AD29" s="2">
        <f>IF(Demand!AW48&gt;Retailers_Cap!P31,(X29/Retailers!R30)/(Demand!AW48-Retailers_Cap!P31),"Inesgotável")</f>
        <v/>
      </c>
      <c r="AG29" s="64" t="n">
        <v>35</v>
      </c>
      <c r="AH29" s="64">
        <f>Retailers!AJ30</f>
        <v/>
      </c>
      <c r="AI29" s="64">
        <f>Retailers!AK30</f>
        <v/>
      </c>
      <c r="AJ29" s="64">
        <f>Retailers!AL30</f>
        <v/>
      </c>
      <c r="AM29" s="64" t="n">
        <v>35</v>
      </c>
      <c r="AN29" s="2">
        <f>IF(P29&gt;0,IF(D29=0,"Big stock",AB29/AH29),"Inesgotável")</f>
        <v/>
      </c>
      <c r="AO29" s="2">
        <f>IF(Q29&gt;0,IF(E29=0,"Big stock",AC29/AI29),"Inesgotável")</f>
        <v/>
      </c>
      <c r="AP29" s="2">
        <f>IF(R29&gt;0,IF(F29=0,"Big stock",AD29/AJ29),"Inesgotável")</f>
        <v/>
      </c>
      <c r="AS29" s="64" t="n">
        <v>35</v>
      </c>
      <c r="AT29" s="2">
        <f>Retailers_Cap!BL31</f>
        <v/>
      </c>
      <c r="AU29" s="2">
        <f>Retailers_Cap!BM31</f>
        <v/>
      </c>
      <c r="AV29" s="2">
        <f>Retailers_Cap!BN31</f>
        <v/>
      </c>
      <c r="AY29" s="64" t="n">
        <v>35</v>
      </c>
      <c r="AZ29" s="2">
        <f>IF(D29=0,"no repl",AB29-AT29)</f>
        <v/>
      </c>
      <c r="BA29" s="2">
        <f>IF(E29=0,"no repl",AC29-AU29)</f>
        <v/>
      </c>
      <c r="BB29" s="2">
        <f>IF(F29=0,"no repl",AD29-AV29)</f>
        <v/>
      </c>
    </row>
    <row r="30">
      <c r="C30" s="64" t="n">
        <v>36</v>
      </c>
      <c r="D30" s="11" t="n">
        <v>0</v>
      </c>
      <c r="E30" s="11" t="n">
        <v>155594.1300693718</v>
      </c>
      <c r="F30" s="11" t="n">
        <v>246981.7685458723</v>
      </c>
      <c r="I30" s="64" t="n">
        <v>36</v>
      </c>
      <c r="J30" s="11" t="n">
        <v>4986.3</v>
      </c>
      <c r="K30" s="11" t="n">
        <v>15551.91</v>
      </c>
      <c r="L30" s="11" t="n">
        <v>34518.36</v>
      </c>
      <c r="O30" s="64" t="n">
        <v>36</v>
      </c>
      <c r="P30" s="11" t="n">
        <v>0</v>
      </c>
      <c r="Q30" s="11" t="n">
        <v>96454.30361670729</v>
      </c>
      <c r="R30" s="11" t="n">
        <v>142795.2062051961</v>
      </c>
      <c r="U30" s="64" t="n">
        <v>36</v>
      </c>
      <c r="V30" s="3">
        <f>J30-P30+D30</f>
        <v/>
      </c>
      <c r="W30" s="3">
        <f>K30-Q30+E30</f>
        <v/>
      </c>
      <c r="X30" s="3">
        <f>L30-R30+F30</f>
        <v/>
      </c>
      <c r="AA30" s="64" t="n">
        <v>36</v>
      </c>
      <c r="AB30" s="2">
        <f>IF(Demand!AU49&gt;Retailers_Cap!N32,(V30/Retailers!P31)/(Demand!AU49-Retailers_Cap!N32),"Inesgotável")</f>
        <v/>
      </c>
      <c r="AC30" s="2">
        <f>IF(Demand!AV49&gt;Retailers_Cap!O32,(W30/Retailers!Q31)/(Demand!AV49-Retailers_Cap!O32),"Inesgotável")</f>
        <v/>
      </c>
      <c r="AD30" s="2">
        <f>IF(Demand!AW49&gt;Retailers_Cap!P32,(X30/Retailers!R31)/(Demand!AW49-Retailers_Cap!P32),"Inesgotável")</f>
        <v/>
      </c>
      <c r="AG30" s="64" t="n">
        <v>36</v>
      </c>
      <c r="AH30" s="64">
        <f>Retailers!AJ31</f>
        <v/>
      </c>
      <c r="AI30" s="64">
        <f>Retailers!AK31</f>
        <v/>
      </c>
      <c r="AJ30" s="64">
        <f>Retailers!AL31</f>
        <v/>
      </c>
      <c r="AM30" s="64" t="n">
        <v>36</v>
      </c>
      <c r="AN30" s="2">
        <f>IF(P30&gt;0,IF(D30=0,"Big stock",AB30/AH30),"Inesgotável")</f>
        <v/>
      </c>
      <c r="AO30" s="2">
        <f>IF(Q30&gt;0,IF(E30=0,"Big stock",AC30/AI30),"Inesgotável")</f>
        <v/>
      </c>
      <c r="AP30" s="2">
        <f>IF(R30&gt;0,IF(F30=0,"Big stock",AD30/AJ30),"Inesgotável")</f>
        <v/>
      </c>
      <c r="AS30" s="64" t="n">
        <v>36</v>
      </c>
      <c r="AT30" s="2">
        <f>Retailers_Cap!BL32</f>
        <v/>
      </c>
      <c r="AU30" s="2">
        <f>Retailers_Cap!BM32</f>
        <v/>
      </c>
      <c r="AV30" s="2">
        <f>Retailers_Cap!BN32</f>
        <v/>
      </c>
      <c r="AY30" s="64" t="n">
        <v>36</v>
      </c>
      <c r="AZ30" s="2">
        <f>IF(D30=0,"no repl",AB30-AT30)</f>
        <v/>
      </c>
      <c r="BA30" s="2">
        <f>IF(E30=0,"no repl",AC30-AU30)</f>
        <v/>
      </c>
      <c r="BB30" s="2">
        <f>IF(F30=0,"no repl",AD30-AV30)</f>
        <v/>
      </c>
    </row>
    <row r="31">
      <c r="C31" s="64" t="n">
        <v>37</v>
      </c>
      <c r="D31" s="11" t="n">
        <v>121196.0171590576</v>
      </c>
      <c r="E31" s="11" t="n">
        <v>214037.3128225546</v>
      </c>
      <c r="F31" s="11" t="n">
        <v>0</v>
      </c>
      <c r="I31" s="64" t="n">
        <v>37</v>
      </c>
      <c r="J31" s="11" t="n">
        <v>93737.49000000001</v>
      </c>
      <c r="K31" s="11" t="n">
        <v>48796.8</v>
      </c>
      <c r="L31" s="11" t="n">
        <v>25735.23</v>
      </c>
      <c r="O31" s="64" t="n">
        <v>37</v>
      </c>
      <c r="P31" s="11" t="n">
        <v>78376.14626480186</v>
      </c>
      <c r="Q31" s="11" t="n">
        <v>131982.5885605698</v>
      </c>
      <c r="R31" s="11" t="n">
        <v>0</v>
      </c>
      <c r="U31" s="64" t="n">
        <v>37</v>
      </c>
      <c r="V31" s="3">
        <f>J31-P31+D31</f>
        <v/>
      </c>
      <c r="W31" s="3">
        <f>K31-Q31+E31</f>
        <v/>
      </c>
      <c r="X31" s="3">
        <f>L31-R31+F31</f>
        <v/>
      </c>
      <c r="AA31" s="64" t="n">
        <v>37</v>
      </c>
      <c r="AB31" s="2">
        <f>IF(Demand!AU50&gt;Retailers_Cap!N33,(V31/Retailers!P32)/(Demand!AU50-Retailers_Cap!N33),"Inesgotável")</f>
        <v/>
      </c>
      <c r="AC31" s="2">
        <f>IF(Demand!AV50&gt;Retailers_Cap!O33,(W31/Retailers!Q32)/(Demand!AV50-Retailers_Cap!O33),"Inesgotável")</f>
        <v/>
      </c>
      <c r="AD31" s="2">
        <f>IF(Demand!AW50&gt;Retailers_Cap!P33,(X31/Retailers!R32)/(Demand!AW50-Retailers_Cap!P33),"Inesgotável")</f>
        <v/>
      </c>
      <c r="AG31" s="64" t="n">
        <v>37</v>
      </c>
      <c r="AH31" s="64">
        <f>Retailers!AJ32</f>
        <v/>
      </c>
      <c r="AI31" s="64">
        <f>Retailers!AK32</f>
        <v/>
      </c>
      <c r="AJ31" s="64">
        <f>Retailers!AL32</f>
        <v/>
      </c>
      <c r="AM31" s="64" t="n">
        <v>37</v>
      </c>
      <c r="AN31" s="2">
        <f>IF(P31&gt;0,IF(D31=0,"Big stock",AB31/AH31),"Inesgotável")</f>
        <v/>
      </c>
      <c r="AO31" s="2">
        <f>IF(Q31&gt;0,IF(E31=0,"Big stock",AC31/AI31),"Inesgotável")</f>
        <v/>
      </c>
      <c r="AP31" s="2">
        <f>IF(R31&gt;0,IF(F31=0,"Big stock",AD31/AJ31),"Inesgotável")</f>
        <v/>
      </c>
      <c r="AS31" s="64" t="n">
        <v>37</v>
      </c>
      <c r="AT31" s="2">
        <f>Retailers_Cap!BL33</f>
        <v/>
      </c>
      <c r="AU31" s="2">
        <f>Retailers_Cap!BM33</f>
        <v/>
      </c>
      <c r="AV31" s="2">
        <f>Retailers_Cap!BN33</f>
        <v/>
      </c>
      <c r="AY31" s="64" t="n">
        <v>37</v>
      </c>
      <c r="AZ31" s="2">
        <f>IF(D31=0,"no repl",AB31-AT31)</f>
        <v/>
      </c>
      <c r="BA31" s="2">
        <f>IF(E31=0,"no repl",AC31-AU31)</f>
        <v/>
      </c>
      <c r="BB31" s="2">
        <f>IF(F31=0,"no repl",AD31-AV31)</f>
        <v/>
      </c>
    </row>
    <row r="32">
      <c r="C32" s="64" t="n">
        <v>38</v>
      </c>
      <c r="D32" s="11" t="n">
        <v>317380.7518284593</v>
      </c>
      <c r="E32" s="11" t="n">
        <v>0</v>
      </c>
      <c r="F32" s="11" t="n">
        <v>0</v>
      </c>
      <c r="I32" s="64" t="n">
        <v>38</v>
      </c>
      <c r="J32" s="11" t="n">
        <v>131382.34</v>
      </c>
      <c r="K32" s="11" t="n">
        <v>20567.04</v>
      </c>
      <c r="L32" s="11" t="n">
        <v>50954.24</v>
      </c>
      <c r="O32" s="64" t="n">
        <v>38</v>
      </c>
      <c r="P32" s="11" t="n">
        <v>192043.636940423</v>
      </c>
      <c r="Q32" s="11" t="n">
        <v>0</v>
      </c>
      <c r="R32" s="11" t="n">
        <v>0</v>
      </c>
      <c r="U32" s="64" t="n">
        <v>38</v>
      </c>
      <c r="V32" s="3">
        <f>J32-P32+D32</f>
        <v/>
      </c>
      <c r="W32" s="3">
        <f>K32-Q32+E32</f>
        <v/>
      </c>
      <c r="X32" s="3">
        <f>L32-R32+F32</f>
        <v/>
      </c>
      <c r="AA32" s="64" t="n">
        <v>38</v>
      </c>
      <c r="AB32" s="2">
        <f>IF(Demand!AU51&gt;Retailers_Cap!N34,(V32/Retailers!P33)/(Demand!AU51-Retailers_Cap!N34),"Inesgotável")</f>
        <v/>
      </c>
      <c r="AC32" s="2">
        <f>IF(Demand!AV51&gt;Retailers_Cap!O34,(W32/Retailers!Q33)/(Demand!AV51-Retailers_Cap!O34),"Inesgotável")</f>
        <v/>
      </c>
      <c r="AD32" s="2">
        <f>IF(Demand!AW51&gt;Retailers_Cap!P34,(X32/Retailers!R33)/(Demand!AW51-Retailers_Cap!P34),"Inesgotável")</f>
        <v/>
      </c>
      <c r="AG32" s="64" t="n">
        <v>38</v>
      </c>
      <c r="AH32" s="64">
        <f>Retailers!AJ33</f>
        <v/>
      </c>
      <c r="AI32" s="64">
        <f>Retailers!AK33</f>
        <v/>
      </c>
      <c r="AJ32" s="64">
        <f>Retailers!AL33</f>
        <v/>
      </c>
      <c r="AM32" s="64" t="n">
        <v>38</v>
      </c>
      <c r="AN32" s="2">
        <f>IF(P32&gt;0,IF(D32=0,"Big stock",AB32/AH32),"Inesgotável")</f>
        <v/>
      </c>
      <c r="AO32" s="2">
        <f>IF(Q32&gt;0,IF(E32=0,"Big stock",AC32/AI32),"Inesgotável")</f>
        <v/>
      </c>
      <c r="AP32" s="2">
        <f>IF(R32&gt;0,IF(F32=0,"Big stock",AD32/AJ32),"Inesgotável")</f>
        <v/>
      </c>
      <c r="AS32" s="64" t="n">
        <v>38</v>
      </c>
      <c r="AT32" s="2">
        <f>Retailers_Cap!BL34</f>
        <v/>
      </c>
      <c r="AU32" s="2">
        <f>Retailers_Cap!BM34</f>
        <v/>
      </c>
      <c r="AV32" s="2">
        <f>Retailers_Cap!BN34</f>
        <v/>
      </c>
      <c r="AY32" s="64" t="n">
        <v>38</v>
      </c>
      <c r="AZ32" s="2">
        <f>IF(D32=0,"no repl",AB32-AT32)</f>
        <v/>
      </c>
      <c r="BA32" s="2">
        <f>IF(E32=0,"no repl",AC32-AU32)</f>
        <v/>
      </c>
      <c r="BB32" s="2">
        <f>IF(F32=0,"no repl",AD32-AV32)</f>
        <v/>
      </c>
    </row>
    <row r="33">
      <c r="C33" s="64" t="n">
        <v>39</v>
      </c>
      <c r="D33" s="11" t="n">
        <v>0</v>
      </c>
      <c r="E33" s="11" t="n">
        <v>0</v>
      </c>
      <c r="F33" s="11" t="n">
        <v>0</v>
      </c>
      <c r="I33" s="64" t="n">
        <v>39</v>
      </c>
      <c r="J33" s="11" t="n">
        <v>50969.04</v>
      </c>
      <c r="K33" s="11" t="n">
        <v>33816.64</v>
      </c>
      <c r="L33" s="11" t="n">
        <v>42735.96</v>
      </c>
      <c r="O33" s="64" t="n">
        <v>39</v>
      </c>
      <c r="P33" s="11" t="n">
        <v>0</v>
      </c>
      <c r="Q33" s="11" t="n">
        <v>0</v>
      </c>
      <c r="R33" s="11" t="n">
        <v>0</v>
      </c>
      <c r="U33" s="64" t="n">
        <v>39</v>
      </c>
      <c r="V33" s="3">
        <f>J33-P33+D33</f>
        <v/>
      </c>
      <c r="W33" s="3">
        <f>K33-Q33+E33</f>
        <v/>
      </c>
      <c r="X33" s="3">
        <f>L33-R33+F33</f>
        <v/>
      </c>
      <c r="AA33" s="64" t="n">
        <v>39</v>
      </c>
      <c r="AB33" s="2">
        <f>IF(Demand!AU52&gt;Retailers_Cap!N35,(V33/Retailers!P34)/(Demand!AU52-Retailers_Cap!N35),"Inesgotável")</f>
        <v/>
      </c>
      <c r="AC33" s="2">
        <f>IF(Demand!AV52&gt;Retailers_Cap!O35,(W33/Retailers!Q34)/(Demand!AV52-Retailers_Cap!O35),"Inesgotável")</f>
        <v/>
      </c>
      <c r="AD33" s="2">
        <f>IF(Demand!AW52&gt;Retailers_Cap!P35,(X33/Retailers!R34)/(Demand!AW52-Retailers_Cap!P35),"Inesgotável")</f>
        <v/>
      </c>
      <c r="AG33" s="64" t="n">
        <v>39</v>
      </c>
      <c r="AH33" s="64">
        <f>Retailers!AJ34</f>
        <v/>
      </c>
      <c r="AI33" s="64">
        <f>Retailers!AK34</f>
        <v/>
      </c>
      <c r="AJ33" s="64">
        <f>Retailers!AL34</f>
        <v/>
      </c>
      <c r="AM33" s="64" t="n">
        <v>39</v>
      </c>
      <c r="AN33" s="2">
        <f>IF(P33&gt;0,IF(D33=0,"Big stock",AB33/AH33),"Inesgotável")</f>
        <v/>
      </c>
      <c r="AO33" s="2">
        <f>IF(Q33&gt;0,IF(E33=0,"Big stock",AC33/AI33),"Inesgotável")</f>
        <v/>
      </c>
      <c r="AP33" s="2">
        <f>IF(R33&gt;0,IF(F33=0,"Big stock",AD33/AJ33),"Inesgotável")</f>
        <v/>
      </c>
      <c r="AS33" s="64" t="n">
        <v>39</v>
      </c>
      <c r="AT33" s="2">
        <f>Retailers_Cap!BL35</f>
        <v/>
      </c>
      <c r="AU33" s="2">
        <f>Retailers_Cap!BM35</f>
        <v/>
      </c>
      <c r="AV33" s="2">
        <f>Retailers_Cap!BN35</f>
        <v/>
      </c>
      <c r="AY33" s="64" t="n">
        <v>39</v>
      </c>
      <c r="AZ33" s="2">
        <f>IF(D33=0,"no repl",AB33-AT33)</f>
        <v/>
      </c>
      <c r="BA33" s="2">
        <f>IF(E33=0,"no repl",AC33-AU33)</f>
        <v/>
      </c>
      <c r="BB33" s="2">
        <f>IF(F33=0,"no repl",AD33-AV33)</f>
        <v/>
      </c>
    </row>
    <row r="34">
      <c r="C34" s="64" t="n">
        <v>40</v>
      </c>
      <c r="D34" s="11" t="n">
        <v>0</v>
      </c>
      <c r="E34" s="11" t="n">
        <v>0</v>
      </c>
      <c r="F34" s="11" t="n">
        <v>0</v>
      </c>
      <c r="I34" s="64" t="n">
        <v>40</v>
      </c>
      <c r="J34" s="11" t="n">
        <v>47645.88</v>
      </c>
      <c r="K34" s="11" t="n">
        <v>92975.40000000001</v>
      </c>
      <c r="L34" s="11" t="n">
        <v>71199.74000000001</v>
      </c>
      <c r="O34" s="64" t="n">
        <v>40</v>
      </c>
      <c r="P34" s="11" t="n">
        <v>0</v>
      </c>
      <c r="Q34" s="11" t="n">
        <v>0</v>
      </c>
      <c r="R34" s="11" t="n">
        <v>0</v>
      </c>
      <c r="U34" s="64" t="n">
        <v>40</v>
      </c>
      <c r="V34" s="3">
        <f>J34-P34+D34</f>
        <v/>
      </c>
      <c r="W34" s="3">
        <f>K34-Q34+E34</f>
        <v/>
      </c>
      <c r="X34" s="3">
        <f>L34-R34+F34</f>
        <v/>
      </c>
      <c r="AA34" s="64" t="n">
        <v>40</v>
      </c>
      <c r="AB34" s="2">
        <f>IF(Demand!AU53&gt;Retailers_Cap!N36,(V34/Retailers!P35)/(Demand!AU53-Retailers_Cap!N36),"Inesgotável")</f>
        <v/>
      </c>
      <c r="AC34" s="2">
        <f>IF(Demand!AV53&gt;Retailers_Cap!O36,(W34/Retailers!Q35)/(Demand!AV53-Retailers_Cap!O36),"Inesgotável")</f>
        <v/>
      </c>
      <c r="AD34" s="2">
        <f>IF(Demand!AW53&gt;Retailers_Cap!P36,(X34/Retailers!R35)/(Demand!AW53-Retailers_Cap!P36),"Inesgotável")</f>
        <v/>
      </c>
      <c r="AG34" s="64" t="n">
        <v>40</v>
      </c>
      <c r="AH34" s="64">
        <f>Retailers!AJ35</f>
        <v/>
      </c>
      <c r="AI34" s="64">
        <f>Retailers!AK35</f>
        <v/>
      </c>
      <c r="AJ34" s="64">
        <f>Retailers!AL35</f>
        <v/>
      </c>
      <c r="AM34" s="64" t="n">
        <v>40</v>
      </c>
      <c r="AN34" s="2">
        <f>IF(P34&gt;0,IF(D34=0,"Big stock",AB34/AH34),"Inesgotável")</f>
        <v/>
      </c>
      <c r="AO34" s="2">
        <f>IF(Q34&gt;0,IF(E34=0,"Big stock",AC34/AI34),"Inesgotável")</f>
        <v/>
      </c>
      <c r="AP34" s="2">
        <f>IF(R34&gt;0,IF(F34=0,"Big stock",AD34/AJ34),"Inesgotável")</f>
        <v/>
      </c>
      <c r="AS34" s="64" t="n">
        <v>40</v>
      </c>
      <c r="AT34" s="2">
        <f>Retailers_Cap!BL36</f>
        <v/>
      </c>
      <c r="AU34" s="2">
        <f>Retailers_Cap!BM36</f>
        <v/>
      </c>
      <c r="AV34" s="2">
        <f>Retailers_Cap!BN36</f>
        <v/>
      </c>
      <c r="AY34" s="64" t="n">
        <v>40</v>
      </c>
      <c r="AZ34" s="2">
        <f>IF(D34=0,"no repl",AB34-AT34)</f>
        <v/>
      </c>
      <c r="BA34" s="2">
        <f>IF(E34=0,"no repl",AC34-AU34)</f>
        <v/>
      </c>
      <c r="BB34" s="2">
        <f>IF(F34=0,"no repl",AD34-AV34)</f>
        <v/>
      </c>
    </row>
    <row r="35">
      <c r="C35" s="64" t="n">
        <v>41</v>
      </c>
      <c r="D35" s="11" t="n">
        <v>0</v>
      </c>
      <c r="E35" s="11" t="n">
        <v>174581.7761738005</v>
      </c>
      <c r="F35" s="11" t="n">
        <v>0</v>
      </c>
      <c r="I35" s="64" t="n">
        <v>41</v>
      </c>
      <c r="J35" s="11" t="n">
        <v>66290</v>
      </c>
      <c r="K35" s="11" t="n">
        <v>63800.09999999999</v>
      </c>
      <c r="L35" s="11" t="n">
        <v>100955.76</v>
      </c>
      <c r="O35" s="64" t="n">
        <v>41</v>
      </c>
      <c r="P35" s="11" t="n">
        <v>0</v>
      </c>
      <c r="Q35" s="11" t="n">
        <v>110655.3225583502</v>
      </c>
      <c r="R35" s="11" t="n">
        <v>0</v>
      </c>
      <c r="U35" s="64" t="n">
        <v>41</v>
      </c>
      <c r="V35" s="3">
        <f>J35-P35+D35</f>
        <v/>
      </c>
      <c r="W35" s="3">
        <f>K35-Q35+E35</f>
        <v/>
      </c>
      <c r="X35" s="3">
        <f>L35-R35+F35</f>
        <v/>
      </c>
      <c r="AA35" s="64" t="n">
        <v>41</v>
      </c>
      <c r="AB35" s="2">
        <f>IF(Demand!AU54&gt;Retailers_Cap!N37,(V35/Retailers!P36)/(Demand!AU54-Retailers_Cap!N37),"Inesgotável")</f>
        <v/>
      </c>
      <c r="AC35" s="2">
        <f>IF(Demand!AV54&gt;Retailers_Cap!O37,(W35/Retailers!Q36)/(Demand!AV54-Retailers_Cap!O37),"Inesgotável")</f>
        <v/>
      </c>
      <c r="AD35" s="2">
        <f>IF(Demand!AW54&gt;Retailers_Cap!P37,(X35/Retailers!R36)/(Demand!AW54-Retailers_Cap!P37),"Inesgotável")</f>
        <v/>
      </c>
      <c r="AG35" s="64" t="n">
        <v>41</v>
      </c>
      <c r="AH35" s="64">
        <f>Retailers!AJ36</f>
        <v/>
      </c>
      <c r="AI35" s="64">
        <f>Retailers!AK36</f>
        <v/>
      </c>
      <c r="AJ35" s="64">
        <f>Retailers!AL36</f>
        <v/>
      </c>
      <c r="AM35" s="64" t="n">
        <v>41</v>
      </c>
      <c r="AN35" s="2">
        <f>IF(P35&gt;0,IF(D35=0,"Big stock",AB35/AH35),"Inesgotável")</f>
        <v/>
      </c>
      <c r="AO35" s="2">
        <f>IF(Q35&gt;0,IF(E35=0,"Big stock",AC35/AI35),"Inesgotável")</f>
        <v/>
      </c>
      <c r="AP35" s="2">
        <f>IF(R35&gt;0,IF(F35=0,"Big stock",AD35/AJ35),"Inesgotável")</f>
        <v/>
      </c>
      <c r="AS35" s="64" t="n">
        <v>41</v>
      </c>
      <c r="AT35" s="2">
        <f>Retailers_Cap!BL37</f>
        <v/>
      </c>
      <c r="AU35" s="2">
        <f>Retailers_Cap!BM37</f>
        <v/>
      </c>
      <c r="AV35" s="2">
        <f>Retailers_Cap!BN37</f>
        <v/>
      </c>
      <c r="AY35" s="64" t="n">
        <v>41</v>
      </c>
      <c r="AZ35" s="2">
        <f>IF(D35=0,"no repl",AB35-AT35)</f>
        <v/>
      </c>
      <c r="BA35" s="2">
        <f>IF(E35=0,"no repl",AC35-AU35)</f>
        <v/>
      </c>
      <c r="BB35" s="2">
        <f>IF(F35=0,"no repl",AD35-AV35)</f>
        <v/>
      </c>
    </row>
    <row r="36">
      <c r="C36" s="64" t="n">
        <v>42</v>
      </c>
      <c r="D36" s="11" t="n">
        <v>0</v>
      </c>
      <c r="E36" s="11" t="n">
        <v>0</v>
      </c>
      <c r="F36" s="11" t="n">
        <v>0</v>
      </c>
      <c r="I36" s="64" t="n">
        <v>42</v>
      </c>
      <c r="J36" s="11" t="n">
        <v>37839.75</v>
      </c>
      <c r="K36" s="11" t="n">
        <v>19957.36</v>
      </c>
      <c r="L36" s="11" t="n">
        <v>24740.06</v>
      </c>
      <c r="O36" s="64" t="n">
        <v>42</v>
      </c>
      <c r="P36" s="11" t="n">
        <v>0</v>
      </c>
      <c r="Q36" s="11" t="n">
        <v>0</v>
      </c>
      <c r="R36" s="11" t="n">
        <v>0</v>
      </c>
      <c r="U36" s="64" t="n">
        <v>42</v>
      </c>
      <c r="V36" s="3">
        <f>J36-P36+D36</f>
        <v/>
      </c>
      <c r="W36" s="3">
        <f>K36-Q36+E36</f>
        <v/>
      </c>
      <c r="X36" s="3">
        <f>L36-R36+F36</f>
        <v/>
      </c>
      <c r="AA36" s="64" t="n">
        <v>42</v>
      </c>
      <c r="AB36" s="2">
        <f>IF(Demand!AU55&gt;Retailers_Cap!N38,(V36/Retailers!P37)/(Demand!AU55-Retailers_Cap!N38),"Inesgotável")</f>
        <v/>
      </c>
      <c r="AC36" s="2">
        <f>IF(Demand!AV55&gt;Retailers_Cap!O38,(W36/Retailers!Q37)/(Demand!AV55-Retailers_Cap!O38),"Inesgotável")</f>
        <v/>
      </c>
      <c r="AD36" s="2">
        <f>IF(Demand!AW55&gt;Retailers_Cap!P38,(X36/Retailers!R37)/(Demand!AW55-Retailers_Cap!P38),"Inesgotável")</f>
        <v/>
      </c>
      <c r="AG36" s="64" t="n">
        <v>42</v>
      </c>
      <c r="AH36" s="64">
        <f>Retailers!AJ37</f>
        <v/>
      </c>
      <c r="AI36" s="64">
        <f>Retailers!AK37</f>
        <v/>
      </c>
      <c r="AJ36" s="64">
        <f>Retailers!AL37</f>
        <v/>
      </c>
      <c r="AM36" s="64" t="n">
        <v>42</v>
      </c>
      <c r="AN36" s="2">
        <f>IF(P36&gt;0,IF(D36=0,"Big stock",AB36/AH36),"Inesgotável")</f>
        <v/>
      </c>
      <c r="AO36" s="2">
        <f>IF(Q36&gt;0,IF(E36=0,"Big stock",AC36/AI36),"Inesgotável")</f>
        <v/>
      </c>
      <c r="AP36" s="2">
        <f>IF(R36&gt;0,IF(F36=0,"Big stock",AD36/AJ36),"Inesgotável")</f>
        <v/>
      </c>
      <c r="AS36" s="64" t="n">
        <v>42</v>
      </c>
      <c r="AT36" s="2">
        <f>Retailers_Cap!BL38</f>
        <v/>
      </c>
      <c r="AU36" s="2">
        <f>Retailers_Cap!BM38</f>
        <v/>
      </c>
      <c r="AV36" s="2">
        <f>Retailers_Cap!BN38</f>
        <v/>
      </c>
      <c r="AY36" s="64" t="n">
        <v>42</v>
      </c>
      <c r="AZ36" s="2">
        <f>IF(D36=0,"no repl",AB36-AT36)</f>
        <v/>
      </c>
      <c r="BA36" s="2">
        <f>IF(E36=0,"no repl",AC36-AU36)</f>
        <v/>
      </c>
      <c r="BB36" s="2">
        <f>IF(F36=0,"no repl",AD36-AV36)</f>
        <v/>
      </c>
    </row>
    <row r="37">
      <c r="C37" s="64" t="n">
        <v>43</v>
      </c>
      <c r="D37" s="11" t="n">
        <v>334827.2483724409</v>
      </c>
      <c r="E37" s="11" t="n">
        <v>373717.8853275826</v>
      </c>
      <c r="F37" s="11" t="n">
        <v>145449.9760959762</v>
      </c>
      <c r="I37" s="64" t="n">
        <v>43</v>
      </c>
      <c r="J37" s="11" t="n">
        <v>38666.16</v>
      </c>
      <c r="K37" s="11" t="n">
        <v>32053.92</v>
      </c>
      <c r="L37" s="11" t="n">
        <v>47333.1</v>
      </c>
      <c r="O37" s="64" t="n">
        <v>43</v>
      </c>
      <c r="P37" s="11" t="n">
        <v>215588.3348588831</v>
      </c>
      <c r="Q37" s="11" t="n">
        <v>242314.5370398857</v>
      </c>
      <c r="R37" s="11" t="n">
        <v>89382.74459558398</v>
      </c>
      <c r="U37" s="64" t="n">
        <v>43</v>
      </c>
      <c r="V37" s="3">
        <f>J37-P37+D37</f>
        <v/>
      </c>
      <c r="W37" s="3">
        <f>K37-Q37+E37</f>
        <v/>
      </c>
      <c r="X37" s="3">
        <f>L37-R37+F37</f>
        <v/>
      </c>
      <c r="AA37" s="64" t="n">
        <v>43</v>
      </c>
      <c r="AB37" s="2">
        <f>IF(Demand!AU56&gt;Retailers_Cap!N39,(V37/Retailers!P38)/(Demand!AU56-Retailers_Cap!N39),"Inesgotável")</f>
        <v/>
      </c>
      <c r="AC37" s="2">
        <f>IF(Demand!AV56&gt;Retailers_Cap!O39,(W37/Retailers!Q38)/(Demand!AV56-Retailers_Cap!O39),"Inesgotável")</f>
        <v/>
      </c>
      <c r="AD37" s="2">
        <f>IF(Demand!AW56&gt;Retailers_Cap!P39,(X37/Retailers!R38)/(Demand!AW56-Retailers_Cap!P39),"Inesgotável")</f>
        <v/>
      </c>
      <c r="AG37" s="64" t="n">
        <v>43</v>
      </c>
      <c r="AH37" s="64">
        <f>Retailers!AJ38</f>
        <v/>
      </c>
      <c r="AI37" s="64">
        <f>Retailers!AK38</f>
        <v/>
      </c>
      <c r="AJ37" s="64">
        <f>Retailers!AL38</f>
        <v/>
      </c>
      <c r="AM37" s="64" t="n">
        <v>43</v>
      </c>
      <c r="AN37" s="2">
        <f>IF(P37&gt;0,IF(D37=0,"Big stock",AB37/AH37),"Inesgotável")</f>
        <v/>
      </c>
      <c r="AO37" s="2">
        <f>IF(Q37&gt;0,IF(E37=0,"Big stock",AC37/AI37),"Inesgotável")</f>
        <v/>
      </c>
      <c r="AP37" s="2">
        <f>IF(R37&gt;0,IF(F37=0,"Big stock",AD37/AJ37),"Inesgotável")</f>
        <v/>
      </c>
      <c r="AS37" s="64" t="n">
        <v>43</v>
      </c>
      <c r="AT37" s="2">
        <f>Retailers_Cap!BL39</f>
        <v/>
      </c>
      <c r="AU37" s="2">
        <f>Retailers_Cap!BM39</f>
        <v/>
      </c>
      <c r="AV37" s="2">
        <f>Retailers_Cap!BN39</f>
        <v/>
      </c>
      <c r="AY37" s="64" t="n">
        <v>43</v>
      </c>
      <c r="AZ37" s="2">
        <f>IF(D37=0,"no repl",AB37-AT37)</f>
        <v/>
      </c>
      <c r="BA37" s="2">
        <f>IF(E37=0,"no repl",AC37-AU37)</f>
        <v/>
      </c>
      <c r="BB37" s="2">
        <f>IF(F37=0,"no repl",AD37-AV37)</f>
        <v/>
      </c>
    </row>
    <row r="38">
      <c r="C38" s="64" t="n">
        <v>44</v>
      </c>
      <c r="D38" s="11" t="n">
        <v>0</v>
      </c>
      <c r="E38" s="11" t="n">
        <v>0</v>
      </c>
      <c r="F38" s="11" t="n">
        <v>40893.42829093405</v>
      </c>
      <c r="I38" s="64" t="n">
        <v>44</v>
      </c>
      <c r="J38" s="11" t="n">
        <v>44818.60000000001</v>
      </c>
      <c r="K38" s="11" t="n">
        <v>29722.44</v>
      </c>
      <c r="L38" s="11" t="n">
        <v>30156.33</v>
      </c>
      <c r="O38" s="64" t="n">
        <v>44</v>
      </c>
      <c r="P38" s="11" t="n">
        <v>0</v>
      </c>
      <c r="Q38" s="11" t="n">
        <v>0</v>
      </c>
      <c r="R38" s="11" t="n">
        <v>22731.14837358008</v>
      </c>
      <c r="U38" s="64" t="n">
        <v>44</v>
      </c>
      <c r="V38" s="3">
        <f>J38-P38+D38</f>
        <v/>
      </c>
      <c r="W38" s="3">
        <f>K38-Q38+E38</f>
        <v/>
      </c>
      <c r="X38" s="3">
        <f>L38-R38+F38</f>
        <v/>
      </c>
      <c r="AA38" s="64" t="n">
        <v>44</v>
      </c>
      <c r="AB38" s="2">
        <f>IF(Demand!AU57&gt;Retailers_Cap!N40,(V38/Retailers!P39)/(Demand!AU57-Retailers_Cap!N40),"Inesgotável")</f>
        <v/>
      </c>
      <c r="AC38" s="2">
        <f>IF(Demand!AV57&gt;Retailers_Cap!O40,(W38/Retailers!Q39)/(Demand!AV57-Retailers_Cap!O40),"Inesgotável")</f>
        <v/>
      </c>
      <c r="AD38" s="2">
        <f>IF(Demand!AW57&gt;Retailers_Cap!P40,(X38/Retailers!R39)/(Demand!AW57-Retailers_Cap!P40),"Inesgotável")</f>
        <v/>
      </c>
      <c r="AG38" s="64" t="n">
        <v>44</v>
      </c>
      <c r="AH38" s="64">
        <f>Retailers!AJ39</f>
        <v/>
      </c>
      <c r="AI38" s="64">
        <f>Retailers!AK39</f>
        <v/>
      </c>
      <c r="AJ38" s="64">
        <f>Retailers!AL39</f>
        <v/>
      </c>
      <c r="AM38" s="64" t="n">
        <v>44</v>
      </c>
      <c r="AN38" s="2">
        <f>IF(P38&gt;0,IF(D38=0,"Big stock",AB38/AH38),"Inesgotável")</f>
        <v/>
      </c>
      <c r="AO38" s="2">
        <f>IF(Q38&gt;0,IF(E38=0,"Big stock",AC38/AI38),"Inesgotável")</f>
        <v/>
      </c>
      <c r="AP38" s="2">
        <f>IF(R38&gt;0,IF(F38=0,"Big stock",AD38/AJ38),"Inesgotável")</f>
        <v/>
      </c>
      <c r="AS38" s="64" t="n">
        <v>44</v>
      </c>
      <c r="AT38" s="2">
        <f>Retailers_Cap!BL40</f>
        <v/>
      </c>
      <c r="AU38" s="2">
        <f>Retailers_Cap!BM40</f>
        <v/>
      </c>
      <c r="AV38" s="2">
        <f>Retailers_Cap!BN40</f>
        <v/>
      </c>
      <c r="AY38" s="64" t="n">
        <v>44</v>
      </c>
      <c r="AZ38" s="2">
        <f>IF(D38=0,"no repl",AB38-AT38)</f>
        <v/>
      </c>
      <c r="BA38" s="2">
        <f>IF(E38=0,"no repl",AC38-AU38)</f>
        <v/>
      </c>
      <c r="BB38" s="2">
        <f>IF(F38=0,"no repl",AD38-AV38)</f>
        <v/>
      </c>
    </row>
    <row r="39">
      <c r="C39" s="64" t="n">
        <v>45</v>
      </c>
      <c r="D39" s="11" t="n">
        <v>0</v>
      </c>
      <c r="E39" s="11" t="n">
        <v>0</v>
      </c>
      <c r="F39" s="11" t="n">
        <v>109661.4317442422</v>
      </c>
      <c r="I39" s="64" t="n">
        <v>45</v>
      </c>
      <c r="J39" s="11" t="n">
        <v>21417.82</v>
      </c>
      <c r="K39" s="11" t="n">
        <v>13311.75</v>
      </c>
      <c r="L39" s="11" t="n">
        <v>21527.1</v>
      </c>
      <c r="O39" s="64" t="n">
        <v>45</v>
      </c>
      <c r="P39" s="11" t="n">
        <v>0</v>
      </c>
      <c r="Q39" s="11" t="n">
        <v>0</v>
      </c>
      <c r="R39" s="11" t="n">
        <v>65190.01748389675</v>
      </c>
      <c r="U39" s="64" t="n">
        <v>45</v>
      </c>
      <c r="V39" s="3">
        <f>J39-P39+D39</f>
        <v/>
      </c>
      <c r="W39" s="3">
        <f>K39-Q39+E39</f>
        <v/>
      </c>
      <c r="X39" s="3">
        <f>L39-R39+F39</f>
        <v/>
      </c>
      <c r="AA39" s="64" t="n">
        <v>45</v>
      </c>
      <c r="AB39" s="2">
        <f>IF(Demand!AU58&gt;Retailers_Cap!N41,(V39/Retailers!P40)/(Demand!AU58-Retailers_Cap!N41),"Inesgotável")</f>
        <v/>
      </c>
      <c r="AC39" s="2">
        <f>IF(Demand!AV58&gt;Retailers_Cap!O41,(W39/Retailers!Q40)/(Demand!AV58-Retailers_Cap!O41),"Inesgotável")</f>
        <v/>
      </c>
      <c r="AD39" s="2">
        <f>IF(Demand!AW58&gt;Retailers_Cap!P41,(X39/Retailers!R40)/(Demand!AW58-Retailers_Cap!P41),"Inesgotável")</f>
        <v/>
      </c>
      <c r="AG39" s="64" t="n">
        <v>45</v>
      </c>
      <c r="AH39" s="64">
        <f>Retailers!AJ40</f>
        <v/>
      </c>
      <c r="AI39" s="64">
        <f>Retailers!AK40</f>
        <v/>
      </c>
      <c r="AJ39" s="64">
        <f>Retailers!AL40</f>
        <v/>
      </c>
      <c r="AM39" s="64" t="n">
        <v>45</v>
      </c>
      <c r="AN39" s="2">
        <f>IF(P39&gt;0,IF(D39=0,"Big stock",AB39/AH39),"Inesgotável")</f>
        <v/>
      </c>
      <c r="AO39" s="2">
        <f>IF(Q39&gt;0,IF(E39=0,"Big stock",AC39/AI39),"Inesgotável")</f>
        <v/>
      </c>
      <c r="AP39" s="2">
        <f>IF(R39&gt;0,IF(F39=0,"Big stock",AD39/AJ39),"Inesgotável")</f>
        <v/>
      </c>
      <c r="AS39" s="64" t="n">
        <v>45</v>
      </c>
      <c r="AT39" s="2">
        <f>Retailers_Cap!BL41</f>
        <v/>
      </c>
      <c r="AU39" s="2">
        <f>Retailers_Cap!BM41</f>
        <v/>
      </c>
      <c r="AV39" s="2">
        <f>Retailers_Cap!BN41</f>
        <v/>
      </c>
      <c r="AY39" s="64" t="n">
        <v>45</v>
      </c>
      <c r="AZ39" s="2">
        <f>IF(D39=0,"no repl",AB39-AT39)</f>
        <v/>
      </c>
      <c r="BA39" s="2">
        <f>IF(E39=0,"no repl",AC39-AU39)</f>
        <v/>
      </c>
      <c r="BB39" s="2">
        <f>IF(F39=0,"no repl",AD39-AV39)</f>
        <v/>
      </c>
    </row>
    <row r="40">
      <c r="C40" s="64" t="n">
        <v>46</v>
      </c>
      <c r="D40" s="11" t="n">
        <v>0</v>
      </c>
      <c r="E40" s="11" t="n">
        <v>234162.2109705527</v>
      </c>
      <c r="F40" s="11" t="n">
        <v>431727.0853727862</v>
      </c>
      <c r="I40" s="64" t="n">
        <v>46</v>
      </c>
      <c r="J40" s="11" t="n">
        <v>27545.37</v>
      </c>
      <c r="K40" s="11" t="n">
        <v>43527.64000000001</v>
      </c>
      <c r="L40" s="11" t="n">
        <v>51992.2</v>
      </c>
      <c r="O40" s="64" t="n">
        <v>46</v>
      </c>
      <c r="P40" s="11" t="n">
        <v>0</v>
      </c>
      <c r="Q40" s="11" t="n">
        <v>138932.9745651166</v>
      </c>
      <c r="R40" s="11" t="n">
        <v>243105.8451596727</v>
      </c>
      <c r="U40" s="64" t="n">
        <v>46</v>
      </c>
      <c r="V40" s="3">
        <f>J40-P40+D40</f>
        <v/>
      </c>
      <c r="W40" s="3">
        <f>K40-Q40+E40</f>
        <v/>
      </c>
      <c r="X40" s="3">
        <f>L40-R40+F40</f>
        <v/>
      </c>
      <c r="AA40" s="64" t="n">
        <v>46</v>
      </c>
      <c r="AB40" s="2">
        <f>IF(Demand!AU59&gt;Retailers_Cap!N42,(V40/Retailers!P41)/(Demand!AU59-Retailers_Cap!N42),"Inesgotável")</f>
        <v/>
      </c>
      <c r="AC40" s="2">
        <f>IF(Demand!AV59&gt;Retailers_Cap!O42,(W40/Retailers!Q41)/(Demand!AV59-Retailers_Cap!O42),"Inesgotável")</f>
        <v/>
      </c>
      <c r="AD40" s="2">
        <f>IF(Demand!AW59&gt;Retailers_Cap!P42,(X40/Retailers!R41)/(Demand!AW59-Retailers_Cap!P42),"Inesgotável")</f>
        <v/>
      </c>
      <c r="AG40" s="64" t="n">
        <v>46</v>
      </c>
      <c r="AH40" s="64">
        <f>Retailers!AJ41</f>
        <v/>
      </c>
      <c r="AI40" s="64">
        <f>Retailers!AK41</f>
        <v/>
      </c>
      <c r="AJ40" s="64">
        <f>Retailers!AL41</f>
        <v/>
      </c>
      <c r="AM40" s="64" t="n">
        <v>46</v>
      </c>
      <c r="AN40" s="2">
        <f>IF(P40&gt;0,IF(D40=0,"Big stock",AB40/AH40),"Inesgotável")</f>
        <v/>
      </c>
      <c r="AO40" s="2">
        <f>IF(Q40&gt;0,IF(E40=0,"Big stock",AC40/AI40),"Inesgotável")</f>
        <v/>
      </c>
      <c r="AP40" s="2">
        <f>IF(R40&gt;0,IF(F40=0,"Big stock",AD40/AJ40),"Inesgotável")</f>
        <v/>
      </c>
      <c r="AS40" s="64" t="n">
        <v>46</v>
      </c>
      <c r="AT40" s="2">
        <f>Retailers_Cap!BL42</f>
        <v/>
      </c>
      <c r="AU40" s="2">
        <f>Retailers_Cap!BM42</f>
        <v/>
      </c>
      <c r="AV40" s="2">
        <f>Retailers_Cap!BN42</f>
        <v/>
      </c>
      <c r="AY40" s="64" t="n">
        <v>46</v>
      </c>
      <c r="AZ40" s="2">
        <f>IF(D40=0,"no repl",AB40-AT40)</f>
        <v/>
      </c>
      <c r="BA40" s="2">
        <f>IF(E40=0,"no repl",AC40-AU40)</f>
        <v/>
      </c>
      <c r="BB40" s="2">
        <f>IF(F40=0,"no repl",AD40-AV40)</f>
        <v/>
      </c>
    </row>
    <row r="41">
      <c r="C41" s="64" t="n">
        <v>47</v>
      </c>
      <c r="D41" s="11" t="n">
        <v>108872.0903182844</v>
      </c>
      <c r="E41" s="11" t="n">
        <v>102143.2970343603</v>
      </c>
      <c r="F41" s="11" t="n">
        <v>0</v>
      </c>
      <c r="I41" s="64" t="n">
        <v>47</v>
      </c>
      <c r="J41" s="11" t="n">
        <v>29167.73</v>
      </c>
      <c r="K41" s="11" t="n">
        <v>71788.64</v>
      </c>
      <c r="L41" s="11" t="n">
        <v>41205.6</v>
      </c>
      <c r="O41" s="64" t="n">
        <v>47</v>
      </c>
      <c r="P41" s="11" t="n">
        <v>67697.07968049693</v>
      </c>
      <c r="Q41" s="11" t="n">
        <v>62617.10616475396</v>
      </c>
      <c r="R41" s="11" t="n">
        <v>0</v>
      </c>
      <c r="U41" s="64" t="n">
        <v>47</v>
      </c>
      <c r="V41" s="3">
        <f>J41-P41+D41</f>
        <v/>
      </c>
      <c r="W41" s="3">
        <f>K41-Q41+E41</f>
        <v/>
      </c>
      <c r="X41" s="3">
        <f>L41-R41+F41</f>
        <v/>
      </c>
      <c r="AA41" s="64" t="n">
        <v>47</v>
      </c>
      <c r="AB41" s="2">
        <f>IF(Demand!AU60&gt;Retailers_Cap!N43,(V41/Retailers!P42)/(Demand!AU60-Retailers_Cap!N43),"Inesgotável")</f>
        <v/>
      </c>
      <c r="AC41" s="2">
        <f>IF(Demand!AV60&gt;Retailers_Cap!O43,(W41/Retailers!Q42)/(Demand!AV60-Retailers_Cap!O43),"Inesgotável")</f>
        <v/>
      </c>
      <c r="AD41" s="2">
        <f>IF(Demand!AW60&gt;Retailers_Cap!P43,(X41/Retailers!R42)/(Demand!AW60-Retailers_Cap!P43),"Inesgotável")</f>
        <v/>
      </c>
      <c r="AG41" s="64" t="n">
        <v>47</v>
      </c>
      <c r="AH41" s="64">
        <f>Retailers!AJ42</f>
        <v/>
      </c>
      <c r="AI41" s="64">
        <f>Retailers!AK42</f>
        <v/>
      </c>
      <c r="AJ41" s="64">
        <f>Retailers!AL42</f>
        <v/>
      </c>
      <c r="AM41" s="64" t="n">
        <v>47</v>
      </c>
      <c r="AN41" s="2">
        <f>IF(P41&gt;0,IF(D41=0,"Big stock",AB41/AH41),"Inesgotável")</f>
        <v/>
      </c>
      <c r="AO41" s="2">
        <f>IF(Q41&gt;0,IF(E41=0,"Big stock",AC41/AI41),"Inesgotável")</f>
        <v/>
      </c>
      <c r="AP41" s="2">
        <f>IF(R41&gt;0,IF(F41=0,"Big stock",AD41/AJ41),"Inesgotável")</f>
        <v/>
      </c>
      <c r="AS41" s="64" t="n">
        <v>47</v>
      </c>
      <c r="AT41" s="2">
        <f>Retailers_Cap!BL43</f>
        <v/>
      </c>
      <c r="AU41" s="2">
        <f>Retailers_Cap!BM43</f>
        <v/>
      </c>
      <c r="AV41" s="2">
        <f>Retailers_Cap!BN43</f>
        <v/>
      </c>
      <c r="AY41" s="64" t="n">
        <v>47</v>
      </c>
      <c r="AZ41" s="2">
        <f>IF(D41=0,"no repl",AB41-AT41)</f>
        <v/>
      </c>
      <c r="BA41" s="2">
        <f>IF(E41=0,"no repl",AC41-AU41)</f>
        <v/>
      </c>
      <c r="BB41" s="2">
        <f>IF(F41=0,"no repl",AD41-AV41)</f>
        <v/>
      </c>
    </row>
    <row r="42">
      <c r="C42" s="64" t="n">
        <v>48</v>
      </c>
      <c r="D42" s="11" t="n">
        <v>23720.65763693503</v>
      </c>
      <c r="E42" s="11" t="n">
        <v>74984.17590402835</v>
      </c>
      <c r="F42" s="11" t="n">
        <v>0</v>
      </c>
      <c r="I42" s="64" t="n">
        <v>48</v>
      </c>
      <c r="J42" s="11" t="n">
        <v>13735.06</v>
      </c>
      <c r="K42" s="11" t="n">
        <v>39912.57</v>
      </c>
      <c r="L42" s="11" t="n">
        <v>14354.24</v>
      </c>
      <c r="O42" s="64" t="n">
        <v>48</v>
      </c>
      <c r="P42" s="11" t="n">
        <v>14766.50467607124</v>
      </c>
      <c r="Q42" s="11" t="n">
        <v>46419.65018839709</v>
      </c>
      <c r="R42" s="11" t="n">
        <v>0</v>
      </c>
      <c r="U42" s="64" t="n">
        <v>48</v>
      </c>
      <c r="V42" s="3">
        <f>J42-P42+D42</f>
        <v/>
      </c>
      <c r="W42" s="3">
        <f>K42-Q42+E42</f>
        <v/>
      </c>
      <c r="X42" s="3">
        <f>L42-R42+F42</f>
        <v/>
      </c>
      <c r="AA42" s="64" t="n">
        <v>48</v>
      </c>
      <c r="AB42" s="2">
        <f>IF(Demand!AU61&gt;Retailers_Cap!N44,(V42/Retailers!P43)/(Demand!AU61-Retailers_Cap!N44),"Inesgotável")</f>
        <v/>
      </c>
      <c r="AC42" s="2">
        <f>IF(Demand!AV61&gt;Retailers_Cap!O44,(W42/Retailers!Q43)/(Demand!AV61-Retailers_Cap!O44),"Inesgotável")</f>
        <v/>
      </c>
      <c r="AD42" s="2">
        <f>IF(Demand!AW61&gt;Retailers_Cap!P44,(X42/Retailers!R43)/(Demand!AW61-Retailers_Cap!P44),"Inesgotável")</f>
        <v/>
      </c>
      <c r="AG42" s="64" t="n">
        <v>48</v>
      </c>
      <c r="AH42" s="64">
        <f>Retailers!AJ43</f>
        <v/>
      </c>
      <c r="AI42" s="64">
        <f>Retailers!AK43</f>
        <v/>
      </c>
      <c r="AJ42" s="64">
        <f>Retailers!AL43</f>
        <v/>
      </c>
      <c r="AM42" s="64" t="n">
        <v>48</v>
      </c>
      <c r="AN42" s="2">
        <f>IF(P42&gt;0,IF(D42=0,"Big stock",AB42/AH42),"Inesgotável")</f>
        <v/>
      </c>
      <c r="AO42" s="2">
        <f>IF(Q42&gt;0,IF(E42=0,"Big stock",AC42/AI42),"Inesgotável")</f>
        <v/>
      </c>
      <c r="AP42" s="2">
        <f>IF(R42&gt;0,IF(F42=0,"Big stock",AD42/AJ42),"Inesgotável")</f>
        <v/>
      </c>
      <c r="AS42" s="64" t="n">
        <v>48</v>
      </c>
      <c r="AT42" s="2">
        <f>Retailers_Cap!BL44</f>
        <v/>
      </c>
      <c r="AU42" s="2">
        <f>Retailers_Cap!BM44</f>
        <v/>
      </c>
      <c r="AV42" s="2">
        <f>Retailers_Cap!BN44</f>
        <v/>
      </c>
      <c r="AY42" s="64" t="n">
        <v>48</v>
      </c>
      <c r="AZ42" s="2">
        <f>IF(D42=0,"no repl",AB42-AT42)</f>
        <v/>
      </c>
      <c r="BA42" s="2">
        <f>IF(E42=0,"no repl",AC42-AU42)</f>
        <v/>
      </c>
      <c r="BB42" s="2">
        <f>IF(F42=0,"no repl",AD42-AV42)</f>
        <v/>
      </c>
    </row>
    <row r="43">
      <c r="C43" s="64" t="n">
        <v>49</v>
      </c>
      <c r="D43" s="11" t="n">
        <v>328792.3406399324</v>
      </c>
      <c r="E43" s="11" t="n">
        <v>0</v>
      </c>
      <c r="F43" s="11" t="n">
        <v>163678.1407784552</v>
      </c>
      <c r="I43" s="64" t="n">
        <v>49</v>
      </c>
      <c r="J43" s="11" t="n">
        <v>21948.16</v>
      </c>
      <c r="K43" s="11" t="n">
        <v>57672</v>
      </c>
      <c r="L43" s="11" t="n">
        <v>90423.39999999999</v>
      </c>
      <c r="O43" s="64" t="n">
        <v>49</v>
      </c>
      <c r="P43" s="11" t="n">
        <v>193834.4042712213</v>
      </c>
      <c r="Q43" s="11" t="n">
        <v>20616.08134814863</v>
      </c>
      <c r="R43" s="11" t="n">
        <v>93203.61945966636</v>
      </c>
      <c r="U43" s="64" t="n">
        <v>49</v>
      </c>
      <c r="V43" s="3">
        <f>J43-P43+D43</f>
        <v/>
      </c>
      <c r="W43" s="3">
        <f>K43-Q43+E43</f>
        <v/>
      </c>
      <c r="X43" s="3">
        <f>L43-R43+F43</f>
        <v/>
      </c>
      <c r="AA43" s="64" t="n">
        <v>49</v>
      </c>
      <c r="AB43" s="2">
        <f>IF(Demand!AU62&gt;Retailers_Cap!N45,(V43/Retailers!P44)/(Demand!AU62-Retailers_Cap!N45),"Inesgotável")</f>
        <v/>
      </c>
      <c r="AC43" s="2">
        <f>IF(Demand!AV62&gt;Retailers_Cap!O45,(W43/Retailers!Q44)/(Demand!AV62-Retailers_Cap!O45),"Inesgotável")</f>
        <v/>
      </c>
      <c r="AD43" s="2">
        <f>IF(Demand!AW62&gt;Retailers_Cap!P45,(X43/Retailers!R44)/(Demand!AW62-Retailers_Cap!P45),"Inesgotável")</f>
        <v/>
      </c>
      <c r="AG43" s="64" t="n">
        <v>49</v>
      </c>
      <c r="AH43" s="64">
        <f>Retailers!AJ44</f>
        <v/>
      </c>
      <c r="AI43" s="64">
        <f>Retailers!AK44</f>
        <v/>
      </c>
      <c r="AJ43" s="64">
        <f>Retailers!AL44</f>
        <v/>
      </c>
      <c r="AM43" s="64" t="n">
        <v>49</v>
      </c>
      <c r="AN43" s="2">
        <f>IF(P43&gt;0,IF(D43=0,"Big stock",AB43/AH43),"Inesgotável")</f>
        <v/>
      </c>
      <c r="AO43" s="2">
        <f>IF(Q43&gt;0,IF(E43=0,"Big stock",AC43/AI43),"Inesgotável")</f>
        <v/>
      </c>
      <c r="AP43" s="2">
        <f>IF(R43&gt;0,IF(F43=0,"Big stock",AD43/AJ43),"Inesgotável")</f>
        <v/>
      </c>
      <c r="AS43" s="64" t="n">
        <v>49</v>
      </c>
      <c r="AT43" s="2">
        <f>Retailers_Cap!BL45</f>
        <v/>
      </c>
      <c r="AU43" s="2">
        <f>Retailers_Cap!BM45</f>
        <v/>
      </c>
      <c r="AV43" s="2">
        <f>Retailers_Cap!BN45</f>
        <v/>
      </c>
      <c r="AY43" s="64" t="n">
        <v>49</v>
      </c>
      <c r="AZ43" s="2">
        <f>IF(D43=0,"no repl",AB43-AT43)</f>
        <v/>
      </c>
      <c r="BA43" s="2">
        <f>IF(E43=0,"no repl",AC43-AU43)</f>
        <v/>
      </c>
      <c r="BB43" s="2">
        <f>IF(F43=0,"no repl",AD43-AV43)</f>
        <v/>
      </c>
    </row>
    <row r="44">
      <c r="C44" s="64" t="n">
        <v>50</v>
      </c>
      <c r="D44" s="11" t="n">
        <v>0</v>
      </c>
      <c r="E44" s="11" t="n">
        <v>0</v>
      </c>
      <c r="F44" s="11" t="n">
        <v>382017.3009502721</v>
      </c>
      <c r="I44" s="64" t="n">
        <v>50</v>
      </c>
      <c r="J44" s="11" t="n">
        <v>20016.99</v>
      </c>
      <c r="K44" s="11" t="n">
        <v>91736.00999999999</v>
      </c>
      <c r="L44" s="11" t="n">
        <v>39034.44</v>
      </c>
      <c r="O44" s="64" t="n">
        <v>50</v>
      </c>
      <c r="P44" s="11" t="n">
        <v>0</v>
      </c>
      <c r="Q44" s="11" t="n">
        <v>34413.46717173214</v>
      </c>
      <c r="R44" s="11" t="n">
        <v>236514.4582649686</v>
      </c>
      <c r="U44" s="64" t="n">
        <v>50</v>
      </c>
      <c r="V44" s="3">
        <f>J44-P44+D44</f>
        <v/>
      </c>
      <c r="W44" s="3">
        <f>K44-Q44+E44</f>
        <v/>
      </c>
      <c r="X44" s="3">
        <f>L44-R44+F44</f>
        <v/>
      </c>
      <c r="AA44" s="64" t="n">
        <v>50</v>
      </c>
      <c r="AB44" s="2">
        <f>IF(Demand!AU63&gt;Retailers_Cap!N46,(V44/Retailers!P45)/(Demand!AU63-Retailers_Cap!N46),"Inesgotável")</f>
        <v/>
      </c>
      <c r="AC44" s="2">
        <f>IF(Demand!AV63&gt;Retailers_Cap!O46,(W44/Retailers!Q45)/(Demand!AV63-Retailers_Cap!O46),"Inesgotável")</f>
        <v/>
      </c>
      <c r="AD44" s="2">
        <f>IF(Demand!AW63&gt;Retailers_Cap!P46,(X44/Retailers!R45)/(Demand!AW63-Retailers_Cap!P46),"Inesgotável")</f>
        <v/>
      </c>
      <c r="AG44" s="64" t="n">
        <v>50</v>
      </c>
      <c r="AH44" s="64">
        <f>Retailers!AJ45</f>
        <v/>
      </c>
      <c r="AI44" s="64">
        <f>Retailers!AK45</f>
        <v/>
      </c>
      <c r="AJ44" s="64">
        <f>Retailers!AL45</f>
        <v/>
      </c>
      <c r="AM44" s="64" t="n">
        <v>50</v>
      </c>
      <c r="AN44" s="2">
        <f>IF(P44&gt;0,IF(D44=0,"Big stock",AB44/AH44),"Inesgotável")</f>
        <v/>
      </c>
      <c r="AO44" s="2">
        <f>IF(Q44&gt;0,IF(E44=0,"Big stock",AC44/AI44),"Inesgotável")</f>
        <v/>
      </c>
      <c r="AP44" s="2">
        <f>IF(R44&gt;0,IF(F44=0,"Big stock",AD44/AJ44),"Inesgotável")</f>
        <v/>
      </c>
      <c r="AS44" s="64" t="n">
        <v>50</v>
      </c>
      <c r="AT44" s="2">
        <f>Retailers_Cap!BL46</f>
        <v/>
      </c>
      <c r="AU44" s="2">
        <f>Retailers_Cap!BM46</f>
        <v/>
      </c>
      <c r="AV44" s="2">
        <f>Retailers_Cap!BN46</f>
        <v/>
      </c>
      <c r="AY44" s="64" t="n">
        <v>50</v>
      </c>
      <c r="AZ44" s="2">
        <f>IF(D44=0,"no repl",AB44-AT44)</f>
        <v/>
      </c>
      <c r="BA44" s="2">
        <f>IF(E44=0,"no repl",AC44-AU44)</f>
        <v/>
      </c>
      <c r="BB44" s="2">
        <f>IF(F44=0,"no repl",AD44-AV44)</f>
        <v/>
      </c>
    </row>
    <row r="45">
      <c r="C45" s="64" t="n">
        <v>51</v>
      </c>
      <c r="D45" s="11" t="n">
        <v>0</v>
      </c>
      <c r="E45" s="11" t="n">
        <v>181605.5703695839</v>
      </c>
      <c r="F45" s="11" t="n">
        <v>0</v>
      </c>
      <c r="I45" s="64" t="n">
        <v>51</v>
      </c>
      <c r="J45" s="11" t="n">
        <v>19275.9</v>
      </c>
      <c r="K45" s="11" t="n">
        <v>9899</v>
      </c>
      <c r="L45" s="11" t="n">
        <v>32733.78</v>
      </c>
      <c r="O45" s="64" t="n">
        <v>51</v>
      </c>
      <c r="P45" s="11" t="n">
        <v>0</v>
      </c>
      <c r="Q45" s="11" t="n">
        <v>112997.8063266351</v>
      </c>
      <c r="R45" s="11" t="n">
        <v>0</v>
      </c>
      <c r="U45" s="64" t="n">
        <v>51</v>
      </c>
      <c r="V45" s="3">
        <f>J45-P45+D45</f>
        <v/>
      </c>
      <c r="W45" s="3">
        <f>K45-Q45+E45</f>
        <v/>
      </c>
      <c r="X45" s="3">
        <f>L45-R45+F45</f>
        <v/>
      </c>
      <c r="AA45" s="64" t="n">
        <v>51</v>
      </c>
      <c r="AB45" s="2">
        <f>IF(Demand!AU64&gt;Retailers_Cap!N47,(V45/Retailers!P46)/(Demand!AU64-Retailers_Cap!N47),"Inesgotável")</f>
        <v/>
      </c>
      <c r="AC45" s="2">
        <f>IF(Demand!AV64&gt;Retailers_Cap!O47,(W45/Retailers!Q46)/(Demand!AV64-Retailers_Cap!O47),"Inesgotável")</f>
        <v/>
      </c>
      <c r="AD45" s="2">
        <f>IF(Demand!AW64&gt;Retailers_Cap!P47,(X45/Retailers!R46)/(Demand!AW64-Retailers_Cap!P47),"Inesgotável")</f>
        <v/>
      </c>
      <c r="AG45" s="64" t="n">
        <v>51</v>
      </c>
      <c r="AH45" s="64">
        <f>Retailers!AJ46</f>
        <v/>
      </c>
      <c r="AI45" s="64">
        <f>Retailers!AK46</f>
        <v/>
      </c>
      <c r="AJ45" s="64">
        <f>Retailers!AL46</f>
        <v/>
      </c>
      <c r="AM45" s="64" t="n">
        <v>51</v>
      </c>
      <c r="AN45" s="2">
        <f>IF(P45&gt;0,IF(D45=0,"Big stock",AB45/AH45),"Inesgotável")</f>
        <v/>
      </c>
      <c r="AO45" s="2">
        <f>IF(Q45&gt;0,IF(E45=0,"Big stock",AC45/AI45),"Inesgotável")</f>
        <v/>
      </c>
      <c r="AP45" s="2">
        <f>IF(R45&gt;0,IF(F45=0,"Big stock",AD45/AJ45),"Inesgotável")</f>
        <v/>
      </c>
      <c r="AS45" s="64" t="n">
        <v>51</v>
      </c>
      <c r="AT45" s="2">
        <f>Retailers_Cap!BL47</f>
        <v/>
      </c>
      <c r="AU45" s="2">
        <f>Retailers_Cap!BM47</f>
        <v/>
      </c>
      <c r="AV45" s="2">
        <f>Retailers_Cap!BN47</f>
        <v/>
      </c>
      <c r="AY45" s="64" t="n">
        <v>51</v>
      </c>
      <c r="AZ45" s="2">
        <f>IF(D45=0,"no repl",AB45-AT45)</f>
        <v/>
      </c>
      <c r="BA45" s="2">
        <f>IF(E45=0,"no repl",AC45-AU45)</f>
        <v/>
      </c>
      <c r="BB45" s="2">
        <f>IF(F45=0,"no repl",AD45-AV45)</f>
        <v/>
      </c>
    </row>
    <row r="46">
      <c r="C46" s="64" t="n">
        <v>52</v>
      </c>
      <c r="D46" s="11" t="n">
        <v>172886.4008335434</v>
      </c>
      <c r="E46" s="11" t="n">
        <v>312461.7491585938</v>
      </c>
      <c r="F46" s="11" t="n">
        <v>0</v>
      </c>
      <c r="I46" s="64" t="n">
        <v>52</v>
      </c>
      <c r="J46" s="11" t="n">
        <v>22354.06</v>
      </c>
      <c r="K46" s="11" t="n">
        <v>66063.92</v>
      </c>
      <c r="L46" s="11" t="n">
        <v>17768.88</v>
      </c>
      <c r="O46" s="64" t="n">
        <v>52</v>
      </c>
      <c r="P46" s="11" t="n">
        <v>103745.4935860155</v>
      </c>
      <c r="Q46" s="11" t="n">
        <v>189593.4405773048</v>
      </c>
      <c r="R46" s="11" t="n">
        <v>0</v>
      </c>
      <c r="U46" s="64" t="n">
        <v>52</v>
      </c>
      <c r="V46" s="3">
        <f>J46-P46+D46</f>
        <v/>
      </c>
      <c r="W46" s="3">
        <f>K46-Q46+E46</f>
        <v/>
      </c>
      <c r="X46" s="3">
        <f>L46-R46+F46</f>
        <v/>
      </c>
      <c r="AA46" s="64" t="n">
        <v>52</v>
      </c>
      <c r="AB46" s="2">
        <f>IF(Demand!AU65&gt;Retailers_Cap!N48,(V46/Retailers!P47)/(Demand!AU65-Retailers_Cap!N48),"Inesgotável")</f>
        <v/>
      </c>
      <c r="AC46" s="2">
        <f>IF(Demand!AV65&gt;Retailers_Cap!O48,(W46/Retailers!Q47)/(Demand!AV65-Retailers_Cap!O48),"Inesgotável")</f>
        <v/>
      </c>
      <c r="AD46" s="2">
        <f>IF(Demand!AW65&gt;Retailers_Cap!P48,(X46/Retailers!R47)/(Demand!AW65-Retailers_Cap!P48),"Inesgotável")</f>
        <v/>
      </c>
      <c r="AG46" s="64" t="n">
        <v>52</v>
      </c>
      <c r="AH46" s="64">
        <f>Retailers!AJ47</f>
        <v/>
      </c>
      <c r="AI46" s="64">
        <f>Retailers!AK47</f>
        <v/>
      </c>
      <c r="AJ46" s="64">
        <f>Retailers!AL47</f>
        <v/>
      </c>
      <c r="AM46" s="64" t="n">
        <v>52</v>
      </c>
      <c r="AN46" s="2">
        <f>IF(P46&gt;0,IF(D46=0,"Big stock",AB46/AH46),"Inesgotável")</f>
        <v/>
      </c>
      <c r="AO46" s="2">
        <f>IF(Q46&gt;0,IF(E46=0,"Big stock",AC46/AI46),"Inesgotável")</f>
        <v/>
      </c>
      <c r="AP46" s="2">
        <f>IF(R46&gt;0,IF(F46=0,"Big stock",AD46/AJ46),"Inesgotável")</f>
        <v/>
      </c>
      <c r="AS46" s="64" t="n">
        <v>52</v>
      </c>
      <c r="AT46" s="2">
        <f>Retailers_Cap!BL48</f>
        <v/>
      </c>
      <c r="AU46" s="2">
        <f>Retailers_Cap!BM48</f>
        <v/>
      </c>
      <c r="AV46" s="2">
        <f>Retailers_Cap!BN48</f>
        <v/>
      </c>
      <c r="AY46" s="64" t="n">
        <v>52</v>
      </c>
      <c r="AZ46" s="2">
        <f>IF(D46=0,"no repl",AB46-AT46)</f>
        <v/>
      </c>
      <c r="BA46" s="2">
        <f>IF(E46=0,"no repl",AC46-AU46)</f>
        <v/>
      </c>
      <c r="BB46" s="2">
        <f>IF(F46=0,"no repl",AD46-AV46)</f>
        <v/>
      </c>
    </row>
    <row r="47">
      <c r="C47" s="64" t="n">
        <v>53</v>
      </c>
      <c r="D47" s="11" t="n">
        <v>0</v>
      </c>
      <c r="E47" s="11" t="n">
        <v>0</v>
      </c>
      <c r="F47" s="11" t="n">
        <v>0</v>
      </c>
      <c r="I47" s="64" t="n">
        <v>53</v>
      </c>
      <c r="J47" s="11" t="n">
        <v>16483.21</v>
      </c>
      <c r="K47" s="11" t="n">
        <v>60753.84</v>
      </c>
      <c r="L47" s="11" t="n">
        <v>17386.56</v>
      </c>
      <c r="O47" s="64" t="n">
        <v>53</v>
      </c>
      <c r="P47" s="11" t="n">
        <v>0</v>
      </c>
      <c r="Q47" s="11" t="n">
        <v>0</v>
      </c>
      <c r="R47" s="11" t="n">
        <v>0</v>
      </c>
      <c r="U47" s="64" t="n">
        <v>53</v>
      </c>
      <c r="V47" s="3">
        <f>J47-P47+D47</f>
        <v/>
      </c>
      <c r="W47" s="3">
        <f>K47-Q47+E47</f>
        <v/>
      </c>
      <c r="X47" s="3">
        <f>L47-R47+F47</f>
        <v/>
      </c>
      <c r="AA47" s="64" t="n">
        <v>53</v>
      </c>
      <c r="AB47" s="2">
        <f>IF(Demand!AU66&gt;Retailers_Cap!N49,(V47/Retailers!P48)/(Demand!AU66-Retailers_Cap!N49),"Inesgotável")</f>
        <v/>
      </c>
      <c r="AC47" s="2">
        <f>IF(Demand!AV66&gt;Retailers_Cap!O49,(W47/Retailers!Q48)/(Demand!AV66-Retailers_Cap!O49),"Inesgotável")</f>
        <v/>
      </c>
      <c r="AD47" s="2">
        <f>IF(Demand!AW66&gt;Retailers_Cap!P49,(X47/Retailers!R48)/(Demand!AW66-Retailers_Cap!P49),"Inesgotável")</f>
        <v/>
      </c>
      <c r="AG47" s="64" t="n">
        <v>53</v>
      </c>
      <c r="AH47" s="64">
        <f>Retailers!AJ48</f>
        <v/>
      </c>
      <c r="AI47" s="64">
        <f>Retailers!AK48</f>
        <v/>
      </c>
      <c r="AJ47" s="64">
        <f>Retailers!AL48</f>
        <v/>
      </c>
      <c r="AM47" s="64" t="n">
        <v>53</v>
      </c>
      <c r="AN47" s="2">
        <f>IF(P47&gt;0,IF(D47=0,"Big stock",AB47/AH47),"Inesgotável")</f>
        <v/>
      </c>
      <c r="AO47" s="2">
        <f>IF(Q47&gt;0,IF(E47=0,"Big stock",AC47/AI47),"Inesgotável")</f>
        <v/>
      </c>
      <c r="AP47" s="2">
        <f>IF(R47&gt;0,IF(F47=0,"Big stock",AD47/AJ47),"Inesgotável")</f>
        <v/>
      </c>
      <c r="AS47" s="64" t="n">
        <v>53</v>
      </c>
      <c r="AT47" s="2">
        <f>Retailers_Cap!BL49</f>
        <v/>
      </c>
      <c r="AU47" s="2">
        <f>Retailers_Cap!BM49</f>
        <v/>
      </c>
      <c r="AV47" s="2">
        <f>Retailers_Cap!BN49</f>
        <v/>
      </c>
      <c r="AY47" s="64" t="n">
        <v>53</v>
      </c>
      <c r="AZ47" s="2">
        <f>IF(D47=0,"no repl",AB47-AT47)</f>
        <v/>
      </c>
      <c r="BA47" s="2">
        <f>IF(E47=0,"no repl",AC47-AU47)</f>
        <v/>
      </c>
      <c r="BB47" s="2">
        <f>IF(F47=0,"no repl",AD47-AV47)</f>
        <v/>
      </c>
    </row>
    <row r="48">
      <c r="C48" s="64" t="n">
        <v>54</v>
      </c>
      <c r="D48" s="11" t="n">
        <v>238716.120441592</v>
      </c>
      <c r="E48" s="11" t="n">
        <v>0</v>
      </c>
      <c r="F48" s="11" t="n">
        <v>0</v>
      </c>
      <c r="I48" s="64" t="n">
        <v>54</v>
      </c>
      <c r="J48" s="11" t="n">
        <v>15368.37</v>
      </c>
      <c r="K48" s="11" t="n">
        <v>43964.06</v>
      </c>
      <c r="L48" s="11" t="n">
        <v>37752.66</v>
      </c>
      <c r="O48" s="64" t="n">
        <v>54</v>
      </c>
      <c r="P48" s="11" t="n">
        <v>140123.8181815731</v>
      </c>
      <c r="Q48" s="11" t="n">
        <v>0</v>
      </c>
      <c r="R48" s="11" t="n">
        <v>0</v>
      </c>
      <c r="U48" s="64" t="n">
        <v>54</v>
      </c>
      <c r="V48" s="3">
        <f>J48-P48+D48</f>
        <v/>
      </c>
      <c r="W48" s="3">
        <f>K48-Q48+E48</f>
        <v/>
      </c>
      <c r="X48" s="3">
        <f>L48-R48+F48</f>
        <v/>
      </c>
      <c r="AA48" s="64" t="n">
        <v>54</v>
      </c>
      <c r="AB48" s="2">
        <f>IF(Demand!AU67&gt;Retailers_Cap!N50,(V48/Retailers!P49)/(Demand!AU67-Retailers_Cap!N50),"Inesgotável")</f>
        <v/>
      </c>
      <c r="AC48" s="2">
        <f>IF(Demand!AV67&gt;Retailers_Cap!O50,(W48/Retailers!Q49)/(Demand!AV67-Retailers_Cap!O50),"Inesgotável")</f>
        <v/>
      </c>
      <c r="AD48" s="2">
        <f>IF(Demand!AW67&gt;Retailers_Cap!P50,(X48/Retailers!R49)/(Demand!AW67-Retailers_Cap!P50),"Inesgotável")</f>
        <v/>
      </c>
      <c r="AG48" s="64" t="n">
        <v>54</v>
      </c>
      <c r="AH48" s="64">
        <f>Retailers!AJ49</f>
        <v/>
      </c>
      <c r="AI48" s="64">
        <f>Retailers!AK49</f>
        <v/>
      </c>
      <c r="AJ48" s="64">
        <f>Retailers!AL49</f>
        <v/>
      </c>
      <c r="AM48" s="64" t="n">
        <v>54</v>
      </c>
      <c r="AN48" s="2">
        <f>IF(P48&gt;0,IF(D48=0,"Big stock",AB48/AH48),"Inesgotável")</f>
        <v/>
      </c>
      <c r="AO48" s="2">
        <f>IF(Q48&gt;0,IF(E48=0,"Big stock",AC48/AI48),"Inesgotável")</f>
        <v/>
      </c>
      <c r="AP48" s="2">
        <f>IF(R48&gt;0,IF(F48=0,"Big stock",AD48/AJ48),"Inesgotável")</f>
        <v/>
      </c>
      <c r="AS48" s="64" t="n">
        <v>54</v>
      </c>
      <c r="AT48" s="2">
        <f>Retailers_Cap!BL50</f>
        <v/>
      </c>
      <c r="AU48" s="2">
        <f>Retailers_Cap!BM50</f>
        <v/>
      </c>
      <c r="AV48" s="2">
        <f>Retailers_Cap!BN50</f>
        <v/>
      </c>
      <c r="AY48" s="64" t="n">
        <v>54</v>
      </c>
      <c r="AZ48" s="2">
        <f>IF(D48=0,"no repl",AB48-AT48)</f>
        <v/>
      </c>
      <c r="BA48" s="2">
        <f>IF(E48=0,"no repl",AC48-AU48)</f>
        <v/>
      </c>
      <c r="BB48" s="2">
        <f>IF(F48=0,"no repl",AD48-AV48)</f>
        <v/>
      </c>
    </row>
    <row r="49">
      <c r="C49" s="64" t="n">
        <v>55</v>
      </c>
      <c r="D49" s="11" t="n">
        <v>0</v>
      </c>
      <c r="E49" s="11" t="n">
        <v>0</v>
      </c>
      <c r="F49" s="11" t="n">
        <v>0</v>
      </c>
      <c r="I49" s="64" t="n">
        <v>55</v>
      </c>
      <c r="J49" s="11" t="n">
        <v>26727.61</v>
      </c>
      <c r="K49" s="11" t="n">
        <v>57768.39</v>
      </c>
      <c r="L49" s="11" t="n">
        <v>50297.64999999999</v>
      </c>
      <c r="O49" s="64" t="n">
        <v>55</v>
      </c>
      <c r="P49" s="11" t="n">
        <v>13030.99392515989</v>
      </c>
      <c r="Q49" s="11" t="n">
        <v>0</v>
      </c>
      <c r="R49" s="11" t="n">
        <v>0</v>
      </c>
      <c r="U49" s="64" t="n">
        <v>55</v>
      </c>
      <c r="V49" s="3">
        <f>J49-P49+D49</f>
        <v/>
      </c>
      <c r="W49" s="3">
        <f>K49-Q49+E49</f>
        <v/>
      </c>
      <c r="X49" s="3">
        <f>L49-R49+F49</f>
        <v/>
      </c>
      <c r="AA49" s="64" t="n">
        <v>55</v>
      </c>
      <c r="AB49" s="2">
        <f>IF(Demand!AU68&gt;Retailers_Cap!N51,(V49/Retailers!P50)/(Demand!AU68-Retailers_Cap!N51),"Inesgotável")</f>
        <v/>
      </c>
      <c r="AC49" s="2">
        <f>IF(Demand!AV68&gt;Retailers_Cap!O51,(W49/Retailers!Q50)/(Demand!AV68-Retailers_Cap!O51),"Inesgotável")</f>
        <v/>
      </c>
      <c r="AD49" s="2">
        <f>IF(Demand!AW68&gt;Retailers_Cap!P51,(X49/Retailers!R50)/(Demand!AW68-Retailers_Cap!P51),"Inesgotável")</f>
        <v/>
      </c>
      <c r="AG49" s="64" t="n">
        <v>55</v>
      </c>
      <c r="AH49" s="64">
        <f>Retailers!AJ50</f>
        <v/>
      </c>
      <c r="AI49" s="64">
        <f>Retailers!AK50</f>
        <v/>
      </c>
      <c r="AJ49" s="64">
        <f>Retailers!AL50</f>
        <v/>
      </c>
      <c r="AM49" s="64" t="n">
        <v>55</v>
      </c>
      <c r="AN49" s="2">
        <f>IF(P49&gt;0,IF(D49=0,"Big stock",AB49/AH49),"Inesgotável")</f>
        <v/>
      </c>
      <c r="AO49" s="2">
        <f>IF(Q49&gt;0,IF(E49=0,"Big stock",AC49/AI49),"Inesgotável")</f>
        <v/>
      </c>
      <c r="AP49" s="2">
        <f>IF(R49&gt;0,IF(F49=0,"Big stock",AD49/AJ49),"Inesgotável")</f>
        <v/>
      </c>
      <c r="AS49" s="64" t="n">
        <v>55</v>
      </c>
      <c r="AT49" s="2">
        <f>Retailers_Cap!BL51</f>
        <v/>
      </c>
      <c r="AU49" s="2">
        <f>Retailers_Cap!BM51</f>
        <v/>
      </c>
      <c r="AV49" s="2">
        <f>Retailers_Cap!BN51</f>
        <v/>
      </c>
      <c r="AY49" s="64" t="n">
        <v>55</v>
      </c>
      <c r="AZ49" s="2">
        <f>IF(D49=0,"no repl",AB49-AT49)</f>
        <v/>
      </c>
      <c r="BA49" s="2">
        <f>IF(E49=0,"no repl",AC49-AU49)</f>
        <v/>
      </c>
      <c r="BB49" s="2">
        <f>IF(F49=0,"no repl",AD49-AV49)</f>
        <v/>
      </c>
    </row>
    <row r="50">
      <c r="C50" s="64" t="n">
        <v>56</v>
      </c>
      <c r="D50" s="11" t="n">
        <v>0</v>
      </c>
      <c r="E50" s="11" t="n">
        <v>0</v>
      </c>
      <c r="F50" s="11" t="n">
        <v>278647.3967225775</v>
      </c>
      <c r="I50" s="64" t="n">
        <v>56</v>
      </c>
      <c r="J50" s="11" t="n">
        <v>58123.24000000001</v>
      </c>
      <c r="K50" s="11" t="n">
        <v>3563.3</v>
      </c>
      <c r="L50" s="11" t="n">
        <v>53819.28</v>
      </c>
      <c r="O50" s="64" t="n">
        <v>56</v>
      </c>
      <c r="P50" s="11" t="n">
        <v>0</v>
      </c>
      <c r="Q50" s="11" t="n">
        <v>0</v>
      </c>
      <c r="R50" s="11" t="n">
        <v>178334.3732687854</v>
      </c>
      <c r="U50" s="64" t="n">
        <v>56</v>
      </c>
      <c r="V50" s="3">
        <f>J50-P50+D50</f>
        <v/>
      </c>
      <c r="W50" s="3">
        <f>K50-Q50+E50</f>
        <v/>
      </c>
      <c r="X50" s="3">
        <f>L50-R50+F50</f>
        <v/>
      </c>
      <c r="AA50" s="64" t="n">
        <v>56</v>
      </c>
      <c r="AB50" s="2">
        <f>IF(Demand!AU69&gt;Retailers_Cap!N52,(V50/Retailers!P51)/(Demand!AU69-Retailers_Cap!N52),"Inesgotável")</f>
        <v/>
      </c>
      <c r="AC50" s="2">
        <f>IF(Demand!AV69&gt;Retailers_Cap!O52,(W50/Retailers!Q51)/(Demand!AV69-Retailers_Cap!O52),"Inesgotável")</f>
        <v/>
      </c>
      <c r="AD50" s="2">
        <f>IF(Demand!AW69&gt;Retailers_Cap!P52,(X50/Retailers!R51)/(Demand!AW69-Retailers_Cap!P52),"Inesgotável")</f>
        <v/>
      </c>
      <c r="AG50" s="64" t="n">
        <v>56</v>
      </c>
      <c r="AH50" s="64">
        <f>Retailers!AJ51</f>
        <v/>
      </c>
      <c r="AI50" s="64">
        <f>Retailers!AK51</f>
        <v/>
      </c>
      <c r="AJ50" s="64">
        <f>Retailers!AL51</f>
        <v/>
      </c>
      <c r="AM50" s="64" t="n">
        <v>56</v>
      </c>
      <c r="AN50" s="2">
        <f>IF(P50&gt;0,IF(D50=0,"Big stock",AB50/AH50),"Inesgotável")</f>
        <v/>
      </c>
      <c r="AO50" s="2">
        <f>IF(Q50&gt;0,IF(E50=0,"Big stock",AC50/AI50),"Inesgotável")</f>
        <v/>
      </c>
      <c r="AP50" s="2">
        <f>IF(R50&gt;0,IF(F50=0,"Big stock",AD50/AJ50),"Inesgotável")</f>
        <v/>
      </c>
      <c r="AS50" s="64" t="n">
        <v>56</v>
      </c>
      <c r="AT50" s="2">
        <f>Retailers_Cap!BL52</f>
        <v/>
      </c>
      <c r="AU50" s="2">
        <f>Retailers_Cap!BM52</f>
        <v/>
      </c>
      <c r="AV50" s="2">
        <f>Retailers_Cap!BN52</f>
        <v/>
      </c>
      <c r="AY50" s="64" t="n">
        <v>56</v>
      </c>
      <c r="AZ50" s="2">
        <f>IF(D50=0,"no repl",AB50-AT50)</f>
        <v/>
      </c>
      <c r="BA50" s="2">
        <f>IF(E50=0,"no repl",AC50-AU50)</f>
        <v/>
      </c>
      <c r="BB50" s="2">
        <f>IF(F50=0,"no repl",AD50-AV50)</f>
        <v/>
      </c>
    </row>
    <row r="51">
      <c r="C51" s="64" t="n">
        <v>57</v>
      </c>
      <c r="D51" s="11" t="n">
        <v>180295.8031152215</v>
      </c>
      <c r="E51" s="11" t="n">
        <v>788707.7148634425</v>
      </c>
      <c r="F51" s="11" t="n">
        <v>134010.0204796287</v>
      </c>
      <c r="I51" s="64" t="n">
        <v>57</v>
      </c>
      <c r="J51" s="11" t="n">
        <v>105476.64</v>
      </c>
      <c r="K51" s="11" t="n">
        <v>102218.05</v>
      </c>
      <c r="L51" s="11" t="n">
        <v>120425.94</v>
      </c>
      <c r="O51" s="64" t="n">
        <v>57</v>
      </c>
      <c r="P51" s="11" t="n">
        <v>108258.8791902504</v>
      </c>
      <c r="Q51" s="11" t="n">
        <v>455450.3435657445</v>
      </c>
      <c r="R51" s="11" t="n">
        <v>87357.12927528343</v>
      </c>
      <c r="U51" s="64" t="n">
        <v>57</v>
      </c>
      <c r="V51" s="3">
        <f>J51-P51+D51</f>
        <v/>
      </c>
      <c r="W51" s="3">
        <f>K51-Q51+E51</f>
        <v/>
      </c>
      <c r="X51" s="3">
        <f>L51-R51+F51</f>
        <v/>
      </c>
      <c r="AA51" s="64" t="n">
        <v>57</v>
      </c>
      <c r="AB51" s="2">
        <f>IF(Demand!AU70&gt;Retailers_Cap!N53,(V51/Retailers!P52)/(Demand!AU70-Retailers_Cap!N53),"Inesgotável")</f>
        <v/>
      </c>
      <c r="AC51" s="2">
        <f>IF(Demand!AV70&gt;Retailers_Cap!O53,(W51/Retailers!Q52)/(Demand!AV70-Retailers_Cap!O53),"Inesgotável")</f>
        <v/>
      </c>
      <c r="AD51" s="2">
        <f>IF(Demand!AW70&gt;Retailers_Cap!P53,(X51/Retailers!R52)/(Demand!AW70-Retailers_Cap!P53),"Inesgotável")</f>
        <v/>
      </c>
      <c r="AG51" s="64" t="n">
        <v>57</v>
      </c>
      <c r="AH51" s="64">
        <f>Retailers!AJ52</f>
        <v/>
      </c>
      <c r="AI51" s="64">
        <f>Retailers!AK52</f>
        <v/>
      </c>
      <c r="AJ51" s="64">
        <f>Retailers!AL52</f>
        <v/>
      </c>
      <c r="AM51" s="64" t="n">
        <v>57</v>
      </c>
      <c r="AN51" s="2">
        <f>IF(P51&gt;0,IF(D51=0,"Big stock",AB51/AH51),"Inesgotável")</f>
        <v/>
      </c>
      <c r="AO51" s="2">
        <f>IF(Q51&gt;0,IF(E51=0,"Big stock",AC51/AI51),"Inesgotável")</f>
        <v/>
      </c>
      <c r="AP51" s="2">
        <f>IF(R51&gt;0,IF(F51=0,"Big stock",AD51/AJ51),"Inesgotável")</f>
        <v/>
      </c>
      <c r="AS51" s="64" t="n">
        <v>57</v>
      </c>
      <c r="AT51" s="2">
        <f>Retailers_Cap!BL53</f>
        <v/>
      </c>
      <c r="AU51" s="2">
        <f>Retailers_Cap!BM53</f>
        <v/>
      </c>
      <c r="AV51" s="2">
        <f>Retailers_Cap!BN53</f>
        <v/>
      </c>
      <c r="AY51" s="64" t="n">
        <v>57</v>
      </c>
      <c r="AZ51" s="2">
        <f>IF(D51=0,"no repl",AB51-AT51)</f>
        <v/>
      </c>
      <c r="BA51" s="2">
        <f>IF(E51=0,"no repl",AC51-AU51)</f>
        <v/>
      </c>
      <c r="BB51" s="2">
        <f>IF(F51=0,"no repl",AD51-AV51)</f>
        <v/>
      </c>
    </row>
    <row r="52">
      <c r="C52" s="64" t="n">
        <v>58</v>
      </c>
      <c r="D52" s="11" t="n">
        <v>0</v>
      </c>
      <c r="E52" s="11" t="n">
        <v>60645.91869526918</v>
      </c>
      <c r="F52" s="11" t="n">
        <v>189630.5089734918</v>
      </c>
      <c r="I52" s="64" t="n">
        <v>58</v>
      </c>
      <c r="J52" s="11" t="n">
        <v>49556.52</v>
      </c>
      <c r="K52" s="11" t="n">
        <v>17215.8</v>
      </c>
      <c r="L52" s="11" t="n">
        <v>33275.6</v>
      </c>
      <c r="O52" s="64" t="n">
        <v>58</v>
      </c>
      <c r="P52" s="11" t="n">
        <v>15594.47002085635</v>
      </c>
      <c r="Q52" s="11" t="n">
        <v>37762.54363467285</v>
      </c>
      <c r="R52" s="11" t="n">
        <v>118870.5634883654</v>
      </c>
      <c r="U52" s="64" t="n">
        <v>58</v>
      </c>
      <c r="V52" s="3">
        <f>J52-P52+D52</f>
        <v/>
      </c>
      <c r="W52" s="3">
        <f>K52-Q52+E52</f>
        <v/>
      </c>
      <c r="X52" s="3">
        <f>L52-R52+F52</f>
        <v/>
      </c>
      <c r="AA52" s="64" t="n">
        <v>58</v>
      </c>
      <c r="AB52" s="2">
        <f>IF(Demand!AU71&gt;Retailers_Cap!N54,(V52/Retailers!P53)/(Demand!AU71-Retailers_Cap!N54),"Inesgotável")</f>
        <v/>
      </c>
      <c r="AC52" s="2">
        <f>IF(Demand!AV71&gt;Retailers_Cap!O54,(W52/Retailers!Q53)/(Demand!AV71-Retailers_Cap!O54),"Inesgotável")</f>
        <v/>
      </c>
      <c r="AD52" s="2">
        <f>IF(Demand!AW71&gt;Retailers_Cap!P54,(X52/Retailers!R53)/(Demand!AW71-Retailers_Cap!P54),"Inesgotável")</f>
        <v/>
      </c>
      <c r="AG52" s="64" t="n">
        <v>58</v>
      </c>
      <c r="AH52" s="64">
        <f>Retailers!AJ53</f>
        <v/>
      </c>
      <c r="AI52" s="64">
        <f>Retailers!AK53</f>
        <v/>
      </c>
      <c r="AJ52" s="64">
        <f>Retailers!AL53</f>
        <v/>
      </c>
      <c r="AM52" s="64" t="n">
        <v>58</v>
      </c>
      <c r="AN52" s="2">
        <f>IF(P52&gt;0,IF(D52=0,"Big stock",AB52/AH52),"Inesgotável")</f>
        <v/>
      </c>
      <c r="AO52" s="2">
        <f>IF(Q52&gt;0,IF(E52=0,"Big stock",AC52/AI52),"Inesgotável")</f>
        <v/>
      </c>
      <c r="AP52" s="2">
        <f>IF(R52&gt;0,IF(F52=0,"Big stock",AD52/AJ52),"Inesgotável")</f>
        <v/>
      </c>
      <c r="AS52" s="64" t="n">
        <v>58</v>
      </c>
      <c r="AT52" s="2">
        <f>Retailers_Cap!BL54</f>
        <v/>
      </c>
      <c r="AU52" s="2">
        <f>Retailers_Cap!BM54</f>
        <v/>
      </c>
      <c r="AV52" s="2">
        <f>Retailers_Cap!BN54</f>
        <v/>
      </c>
      <c r="AY52" s="64" t="n">
        <v>58</v>
      </c>
      <c r="AZ52" s="2">
        <f>IF(D52=0,"no repl",AB52-AT52)</f>
        <v/>
      </c>
      <c r="BA52" s="2">
        <f>IF(E52=0,"no repl",AC52-AU52)</f>
        <v/>
      </c>
      <c r="BB52" s="2">
        <f>IF(F52=0,"no repl",AD52-AV52)</f>
        <v/>
      </c>
    </row>
    <row r="53">
      <c r="C53" s="64" t="n">
        <v>59</v>
      </c>
      <c r="D53" s="11" t="n">
        <v>0</v>
      </c>
      <c r="E53" s="11" t="n">
        <v>0</v>
      </c>
      <c r="F53" s="11" t="n">
        <v>0</v>
      </c>
      <c r="I53" s="64" t="n">
        <v>59</v>
      </c>
      <c r="J53" s="11" t="n">
        <v>55527.68</v>
      </c>
      <c r="K53" s="11" t="n">
        <v>169197.6</v>
      </c>
      <c r="L53" s="11" t="n">
        <v>92927.52</v>
      </c>
      <c r="O53" s="64" t="n">
        <v>59</v>
      </c>
      <c r="P53" s="11" t="n">
        <v>0</v>
      </c>
      <c r="Q53" s="11" t="n">
        <v>0</v>
      </c>
      <c r="R53" s="11" t="n">
        <v>0</v>
      </c>
      <c r="U53" s="64" t="n">
        <v>59</v>
      </c>
      <c r="V53" s="3">
        <f>J53-P53+D53</f>
        <v/>
      </c>
      <c r="W53" s="3">
        <f>K53-Q53+E53</f>
        <v/>
      </c>
      <c r="X53" s="3">
        <f>L53-R53+F53</f>
        <v/>
      </c>
      <c r="AA53" s="64" t="n">
        <v>59</v>
      </c>
      <c r="AB53" s="2">
        <f>IF(Demand!AU72&gt;Retailers_Cap!N55,(V53/Retailers!P54)/(Demand!AU72-Retailers_Cap!N55),"Inesgotável")</f>
        <v/>
      </c>
      <c r="AC53" s="2">
        <f>IF(Demand!AV72&gt;Retailers_Cap!O55,(W53/Retailers!Q54)/(Demand!AV72-Retailers_Cap!O55),"Inesgotável")</f>
        <v/>
      </c>
      <c r="AD53" s="2">
        <f>IF(Demand!AW72&gt;Retailers_Cap!P55,(X53/Retailers!R54)/(Demand!AW72-Retailers_Cap!P55),"Inesgotável")</f>
        <v/>
      </c>
      <c r="AG53" s="64" t="n">
        <v>59</v>
      </c>
      <c r="AH53" s="64">
        <f>Retailers!AJ54</f>
        <v/>
      </c>
      <c r="AI53" s="64">
        <f>Retailers!AK54</f>
        <v/>
      </c>
      <c r="AJ53" s="64">
        <f>Retailers!AL54</f>
        <v/>
      </c>
      <c r="AM53" s="64" t="n">
        <v>59</v>
      </c>
      <c r="AN53" s="2">
        <f>IF(P53&gt;0,IF(D53=0,"Big stock",AB53/AH53),"Inesgotável")</f>
        <v/>
      </c>
      <c r="AO53" s="2">
        <f>IF(Q53&gt;0,IF(E53=0,"Big stock",AC53/AI53),"Inesgotável")</f>
        <v/>
      </c>
      <c r="AP53" s="2">
        <f>IF(R53&gt;0,IF(F53=0,"Big stock",AD53/AJ53),"Inesgotável")</f>
        <v/>
      </c>
      <c r="AS53" s="64" t="n">
        <v>59</v>
      </c>
      <c r="AT53" s="2">
        <f>Retailers_Cap!BL55</f>
        <v/>
      </c>
      <c r="AU53" s="2">
        <f>Retailers_Cap!BM55</f>
        <v/>
      </c>
      <c r="AV53" s="2">
        <f>Retailers_Cap!BN55</f>
        <v/>
      </c>
      <c r="AY53" s="64" t="n">
        <v>59</v>
      </c>
      <c r="AZ53" s="2">
        <f>IF(D53=0,"no repl",AB53-AT53)</f>
        <v/>
      </c>
      <c r="BA53" s="2">
        <f>IF(E53=0,"no repl",AC53-AU53)</f>
        <v/>
      </c>
      <c r="BB53" s="2">
        <f>IF(F53=0,"no repl",AD53-AV53)</f>
        <v/>
      </c>
    </row>
    <row r="54">
      <c r="C54" s="64" t="n">
        <v>60</v>
      </c>
      <c r="D54" s="11" t="n">
        <v>0</v>
      </c>
      <c r="E54" s="11" t="n">
        <v>0</v>
      </c>
      <c r="F54" s="11" t="n">
        <v>0</v>
      </c>
      <c r="I54" s="64" t="n">
        <v>60</v>
      </c>
      <c r="J54" s="11" t="n">
        <v>120088.37</v>
      </c>
      <c r="K54" s="11" t="n">
        <v>14043.15</v>
      </c>
      <c r="L54" s="11" t="n">
        <v>55359.72</v>
      </c>
      <c r="O54" s="64" t="n">
        <v>60</v>
      </c>
      <c r="P54" s="11" t="n">
        <v>0</v>
      </c>
      <c r="Q54" s="11" t="n">
        <v>0</v>
      </c>
      <c r="R54" s="11" t="n">
        <v>0</v>
      </c>
      <c r="U54" s="64" t="n">
        <v>60</v>
      </c>
      <c r="V54" s="3">
        <f>J54-P54+D54</f>
        <v/>
      </c>
      <c r="W54" s="3">
        <f>K54-Q54+E54</f>
        <v/>
      </c>
      <c r="X54" s="3">
        <f>L54-R54+F54</f>
        <v/>
      </c>
      <c r="AA54" s="64" t="n">
        <v>60</v>
      </c>
      <c r="AB54" s="2">
        <f>IF(Demand!AU73&gt;Retailers_Cap!N56,(V54/Retailers!P55)/(Demand!AU73-Retailers_Cap!N56),"Inesgotável")</f>
        <v/>
      </c>
      <c r="AC54" s="2">
        <f>IF(Demand!AV73&gt;Retailers_Cap!O56,(W54/Retailers!Q55)/(Demand!AV73-Retailers_Cap!O56),"Inesgotável")</f>
        <v/>
      </c>
      <c r="AD54" s="2">
        <f>IF(Demand!AW73&gt;Retailers_Cap!P56,(X54/Retailers!R55)/(Demand!AW73-Retailers_Cap!P56),"Inesgotável")</f>
        <v/>
      </c>
      <c r="AG54" s="64" t="n">
        <v>60</v>
      </c>
      <c r="AH54" s="64">
        <f>Retailers!AJ55</f>
        <v/>
      </c>
      <c r="AI54" s="64">
        <f>Retailers!AK55</f>
        <v/>
      </c>
      <c r="AJ54" s="64">
        <f>Retailers!AL55</f>
        <v/>
      </c>
      <c r="AM54" s="64" t="n">
        <v>60</v>
      </c>
      <c r="AN54" s="2">
        <f>IF(P54&gt;0,IF(D54=0,"Big stock",AB54/AH54),"Inesgotável")</f>
        <v/>
      </c>
      <c r="AO54" s="2">
        <f>IF(Q54&gt;0,IF(E54=0,"Big stock",AC54/AI54),"Inesgotável")</f>
        <v/>
      </c>
      <c r="AP54" s="2">
        <f>IF(R54&gt;0,IF(F54=0,"Big stock",AD54/AJ54),"Inesgotável")</f>
        <v/>
      </c>
      <c r="AS54" s="64" t="n">
        <v>60</v>
      </c>
      <c r="AT54" s="2">
        <f>Retailers_Cap!BL56</f>
        <v/>
      </c>
      <c r="AU54" s="2">
        <f>Retailers_Cap!BM56</f>
        <v/>
      </c>
      <c r="AV54" s="2">
        <f>Retailers_Cap!BN56</f>
        <v/>
      </c>
      <c r="AY54" s="64" t="n">
        <v>60</v>
      </c>
      <c r="AZ54" s="2">
        <f>IF(D54=0,"no repl",AB54-AT54)</f>
        <v/>
      </c>
      <c r="BA54" s="2">
        <f>IF(E54=0,"no repl",AC54-AU54)</f>
        <v/>
      </c>
      <c r="BB54" s="2">
        <f>IF(F54=0,"no repl",AD54-AV54)</f>
        <v/>
      </c>
    </row>
    <row r="55">
      <c r="C55" s="64" t="n">
        <v>61</v>
      </c>
      <c r="D55" s="11" t="n">
        <v>71318.24154005006</v>
      </c>
      <c r="E55" s="11" t="n">
        <v>220809.6381812631</v>
      </c>
      <c r="F55" s="11" t="n">
        <v>385103.8513309601</v>
      </c>
      <c r="I55" s="64" t="n">
        <v>61</v>
      </c>
      <c r="J55" s="11" t="n">
        <v>36580.96</v>
      </c>
      <c r="K55" s="11" t="n">
        <v>69516.75999999999</v>
      </c>
      <c r="L55" s="11" t="n">
        <v>60281.48</v>
      </c>
      <c r="O55" s="64" t="n">
        <v>61</v>
      </c>
      <c r="P55" s="11" t="n">
        <v>42493.98922430946</v>
      </c>
      <c r="Q55" s="11" t="n">
        <v>130819.9712521208</v>
      </c>
      <c r="R55" s="11" t="n">
        <v>230549.5269538582</v>
      </c>
      <c r="U55" s="64" t="n">
        <v>61</v>
      </c>
      <c r="V55" s="3">
        <f>J55-P55+D55</f>
        <v/>
      </c>
      <c r="W55" s="3">
        <f>K55-Q55+E55</f>
        <v/>
      </c>
      <c r="X55" s="3">
        <f>L55-R55+F55</f>
        <v/>
      </c>
      <c r="AA55" s="64" t="n">
        <v>61</v>
      </c>
      <c r="AB55" s="2">
        <f>IF(Demand!AU74&gt;Retailers_Cap!N57,(V55/Retailers!P56)/(Demand!AU74-Retailers_Cap!N57),"Inesgotável")</f>
        <v/>
      </c>
      <c r="AC55" s="2">
        <f>IF(Demand!AV74&gt;Retailers_Cap!O57,(W55/Retailers!Q56)/(Demand!AV74-Retailers_Cap!O57),"Inesgotável")</f>
        <v/>
      </c>
      <c r="AD55" s="2">
        <f>IF(Demand!AW74&gt;Retailers_Cap!P57,(X55/Retailers!R56)/(Demand!AW74-Retailers_Cap!P57),"Inesgotável")</f>
        <v/>
      </c>
      <c r="AG55" s="64" t="n">
        <v>61</v>
      </c>
      <c r="AH55" s="64">
        <f>Retailers!AJ56</f>
        <v/>
      </c>
      <c r="AI55" s="64">
        <f>Retailers!AK56</f>
        <v/>
      </c>
      <c r="AJ55" s="64">
        <f>Retailers!AL56</f>
        <v/>
      </c>
      <c r="AM55" s="64" t="n">
        <v>61</v>
      </c>
      <c r="AN55" s="2">
        <f>IF(P55&gt;0,IF(D55=0,"Big stock",AB55/AH55),"Inesgotável")</f>
        <v/>
      </c>
      <c r="AO55" s="2">
        <f>IF(Q55&gt;0,IF(E55=0,"Big stock",AC55/AI55),"Inesgotável")</f>
        <v/>
      </c>
      <c r="AP55" s="2">
        <f>IF(R55&gt;0,IF(F55=0,"Big stock",AD55/AJ55),"Inesgotável")</f>
        <v/>
      </c>
      <c r="AS55" s="64" t="n">
        <v>61</v>
      </c>
      <c r="AT55" s="2">
        <f>Retailers_Cap!BL57</f>
        <v/>
      </c>
      <c r="AU55" s="2">
        <f>Retailers_Cap!BM57</f>
        <v/>
      </c>
      <c r="AV55" s="2">
        <f>Retailers_Cap!BN57</f>
        <v/>
      </c>
      <c r="AY55" s="64" t="n">
        <v>61</v>
      </c>
      <c r="AZ55" s="2">
        <f>IF(D55=0,"no repl",AB55-AT55)</f>
        <v/>
      </c>
      <c r="BA55" s="2">
        <f>IF(E55=0,"no repl",AC55-AU55)</f>
        <v/>
      </c>
      <c r="BB55" s="2">
        <f>IF(F55=0,"no repl",AD55-AV55)</f>
        <v/>
      </c>
    </row>
    <row r="56">
      <c r="C56" s="64" t="n">
        <v>62</v>
      </c>
      <c r="D56" s="11" t="n">
        <v>0</v>
      </c>
      <c r="E56" s="11" t="n">
        <v>0</v>
      </c>
      <c r="F56" s="11" t="n">
        <v>0</v>
      </c>
      <c r="I56" s="64" t="n">
        <v>62</v>
      </c>
      <c r="J56" s="11" t="n">
        <v>27845.04</v>
      </c>
      <c r="K56" s="11" t="n">
        <v>20386.74</v>
      </c>
      <c r="L56" s="11" t="n">
        <v>22229.09</v>
      </c>
      <c r="O56" s="64" t="n">
        <v>62</v>
      </c>
      <c r="P56" s="11" t="n">
        <v>0</v>
      </c>
      <c r="Q56" s="11" t="n">
        <v>0</v>
      </c>
      <c r="R56" s="11" t="n">
        <v>0</v>
      </c>
      <c r="U56" s="64" t="n">
        <v>62</v>
      </c>
      <c r="V56" s="3">
        <f>J56-P56+D56</f>
        <v/>
      </c>
      <c r="W56" s="3">
        <f>K56-Q56+E56</f>
        <v/>
      </c>
      <c r="X56" s="3">
        <f>L56-R56+F56</f>
        <v/>
      </c>
      <c r="AA56" s="64" t="n">
        <v>62</v>
      </c>
      <c r="AB56" s="2">
        <f>IF(Demand!AU75&gt;Retailers_Cap!N58,(V56/Retailers!P57)/(Demand!AU75-Retailers_Cap!N58),"Inesgotável")</f>
        <v/>
      </c>
      <c r="AC56" s="2">
        <f>IF(Demand!AV75&gt;Retailers_Cap!O58,(W56/Retailers!Q57)/(Demand!AV75-Retailers_Cap!O58),"Inesgotável")</f>
        <v/>
      </c>
      <c r="AD56" s="2">
        <f>IF(Demand!AW75&gt;Retailers_Cap!P58,(X56/Retailers!R57)/(Demand!AW75-Retailers_Cap!P58),"Inesgotável")</f>
        <v/>
      </c>
      <c r="AG56" s="64" t="n">
        <v>62</v>
      </c>
      <c r="AH56" s="64">
        <f>Retailers!AJ57</f>
        <v/>
      </c>
      <c r="AI56" s="64">
        <f>Retailers!AK57</f>
        <v/>
      </c>
      <c r="AJ56" s="64">
        <f>Retailers!AL57</f>
        <v/>
      </c>
      <c r="AM56" s="64" t="n">
        <v>62</v>
      </c>
      <c r="AN56" s="2">
        <f>IF(P56&gt;0,IF(D56=0,"Big stock",AB56/AH56),"Inesgotável")</f>
        <v/>
      </c>
      <c r="AO56" s="2">
        <f>IF(Q56&gt;0,IF(E56=0,"Big stock",AC56/AI56),"Inesgotável")</f>
        <v/>
      </c>
      <c r="AP56" s="2">
        <f>IF(R56&gt;0,IF(F56=0,"Big stock",AD56/AJ56),"Inesgotável")</f>
        <v/>
      </c>
      <c r="AS56" s="64" t="n">
        <v>62</v>
      </c>
      <c r="AT56" s="2">
        <f>Retailers_Cap!BL58</f>
        <v/>
      </c>
      <c r="AU56" s="2">
        <f>Retailers_Cap!BM58</f>
        <v/>
      </c>
      <c r="AV56" s="2">
        <f>Retailers_Cap!BN58</f>
        <v/>
      </c>
      <c r="AY56" s="64" t="n">
        <v>62</v>
      </c>
      <c r="AZ56" s="2">
        <f>IF(D56=0,"no repl",AB56-AT56)</f>
        <v/>
      </c>
      <c r="BA56" s="2">
        <f>IF(E56=0,"no repl",AC56-AU56)</f>
        <v/>
      </c>
      <c r="BB56" s="2">
        <f>IF(F56=0,"no repl",AD56-AV56)</f>
        <v/>
      </c>
    </row>
    <row r="57">
      <c r="C57" s="64" t="n">
        <v>63</v>
      </c>
      <c r="D57" s="11" t="n">
        <v>0</v>
      </c>
      <c r="E57" s="11" t="n">
        <v>0</v>
      </c>
      <c r="F57" s="11" t="n">
        <v>0</v>
      </c>
      <c r="I57" s="64" t="n">
        <v>63</v>
      </c>
      <c r="J57" s="11" t="n">
        <v>41552.28</v>
      </c>
      <c r="K57" s="11" t="n">
        <v>22448.58</v>
      </c>
      <c r="L57" s="11" t="n">
        <v>37847.3</v>
      </c>
      <c r="O57" s="64" t="n">
        <v>63</v>
      </c>
      <c r="P57" s="11" t="n">
        <v>0</v>
      </c>
      <c r="Q57" s="11" t="n">
        <v>0</v>
      </c>
      <c r="R57" s="11" t="n">
        <v>0</v>
      </c>
      <c r="U57" s="64" t="n">
        <v>63</v>
      </c>
      <c r="V57" s="3">
        <f>J57-P57+D57</f>
        <v/>
      </c>
      <c r="W57" s="3">
        <f>K57-Q57+E57</f>
        <v/>
      </c>
      <c r="X57" s="3">
        <f>L57-R57+F57</f>
        <v/>
      </c>
      <c r="AA57" s="64" t="n">
        <v>63</v>
      </c>
      <c r="AB57" s="2">
        <f>IF(Demand!AU76&gt;Retailers_Cap!N59,(V57/Retailers!P58)/(Demand!AU76-Retailers_Cap!N59),"Inesgotável")</f>
        <v/>
      </c>
      <c r="AC57" s="2">
        <f>IF(Demand!AV76&gt;Retailers_Cap!O59,(W57/Retailers!Q58)/(Demand!AV76-Retailers_Cap!O59),"Inesgotável")</f>
        <v/>
      </c>
      <c r="AD57" s="2">
        <f>IF(Demand!AW76&gt;Retailers_Cap!P59,(X57/Retailers!R58)/(Demand!AW76-Retailers_Cap!P59),"Inesgotável")</f>
        <v/>
      </c>
      <c r="AG57" s="64" t="n">
        <v>63</v>
      </c>
      <c r="AH57" s="64">
        <f>Retailers!AJ58</f>
        <v/>
      </c>
      <c r="AI57" s="64">
        <f>Retailers!AK58</f>
        <v/>
      </c>
      <c r="AJ57" s="64">
        <f>Retailers!AL58</f>
        <v/>
      </c>
      <c r="AM57" s="64" t="n">
        <v>63</v>
      </c>
      <c r="AN57" s="2">
        <f>IF(P57&gt;0,IF(D57=0,"Big stock",AB57/AH57),"Inesgotável")</f>
        <v/>
      </c>
      <c r="AO57" s="2">
        <f>IF(Q57&gt;0,IF(E57=0,"Big stock",AC57/AI57),"Inesgotável")</f>
        <v/>
      </c>
      <c r="AP57" s="2">
        <f>IF(R57&gt;0,IF(F57=0,"Big stock",AD57/AJ57),"Inesgotável")</f>
        <v/>
      </c>
      <c r="AS57" s="64" t="n">
        <v>63</v>
      </c>
      <c r="AT57" s="2">
        <f>Retailers_Cap!BL59</f>
        <v/>
      </c>
      <c r="AU57" s="2">
        <f>Retailers_Cap!BM59</f>
        <v/>
      </c>
      <c r="AV57" s="2">
        <f>Retailers_Cap!BN59</f>
        <v/>
      </c>
      <c r="AY57" s="64" t="n">
        <v>63</v>
      </c>
      <c r="AZ57" s="2">
        <f>IF(D57=0,"no repl",AB57-AT57)</f>
        <v/>
      </c>
      <c r="BA57" s="2">
        <f>IF(E57=0,"no repl",AC57-AU57)</f>
        <v/>
      </c>
      <c r="BB57" s="2">
        <f>IF(F57=0,"no repl",AD57-AV57)</f>
        <v/>
      </c>
    </row>
    <row r="58">
      <c r="C58" s="64" t="n">
        <v>64</v>
      </c>
      <c r="D58" s="11" t="n">
        <v>0</v>
      </c>
      <c r="E58" s="11" t="n">
        <v>300702.4280163263</v>
      </c>
      <c r="F58" s="11" t="n">
        <v>0</v>
      </c>
      <c r="I58" s="64" t="n">
        <v>64</v>
      </c>
      <c r="J58" s="11" t="n">
        <v>28614.42</v>
      </c>
      <c r="K58" s="11" t="n">
        <v>39070.38</v>
      </c>
      <c r="L58" s="11" t="n">
        <v>26459.07</v>
      </c>
      <c r="O58" s="64" t="n">
        <v>64</v>
      </c>
      <c r="P58" s="11" t="n">
        <v>0</v>
      </c>
      <c r="Q58" s="11" t="n">
        <v>191450.9435405609</v>
      </c>
      <c r="R58" s="11" t="n">
        <v>0</v>
      </c>
      <c r="U58" s="64" t="n">
        <v>64</v>
      </c>
      <c r="V58" s="3">
        <f>J58-P58+D58</f>
        <v/>
      </c>
      <c r="W58" s="3">
        <f>K58-Q58+E58</f>
        <v/>
      </c>
      <c r="X58" s="3">
        <f>L58-R58+F58</f>
        <v/>
      </c>
      <c r="AA58" s="64" t="n">
        <v>64</v>
      </c>
      <c r="AB58" s="2">
        <f>IF(Demand!AU77&gt;Retailers_Cap!N60,(V58/Retailers!P59)/(Demand!AU77-Retailers_Cap!N60),"Inesgotável")</f>
        <v/>
      </c>
      <c r="AC58" s="2">
        <f>IF(Demand!AV77&gt;Retailers_Cap!O60,(W58/Retailers!Q59)/(Demand!AV77-Retailers_Cap!O60),"Inesgotável")</f>
        <v/>
      </c>
      <c r="AD58" s="2">
        <f>IF(Demand!AW77&gt;Retailers_Cap!P60,(X58/Retailers!R59)/(Demand!AW77-Retailers_Cap!P60),"Inesgotável")</f>
        <v/>
      </c>
      <c r="AG58" s="64" t="n">
        <v>64</v>
      </c>
      <c r="AH58" s="64">
        <f>Retailers!AJ59</f>
        <v/>
      </c>
      <c r="AI58" s="64">
        <f>Retailers!AK59</f>
        <v/>
      </c>
      <c r="AJ58" s="64">
        <f>Retailers!AL59</f>
        <v/>
      </c>
      <c r="AM58" s="64" t="n">
        <v>64</v>
      </c>
      <c r="AN58" s="2">
        <f>IF(P58&gt;0,IF(D58=0,"Big stock",AB58/AH58),"Inesgotável")</f>
        <v/>
      </c>
      <c r="AO58" s="2">
        <f>IF(Q58&gt;0,IF(E58=0,"Big stock",AC58/AI58),"Inesgotável")</f>
        <v/>
      </c>
      <c r="AP58" s="2">
        <f>IF(R58&gt;0,IF(F58=0,"Big stock",AD58/AJ58),"Inesgotável")</f>
        <v/>
      </c>
      <c r="AS58" s="64" t="n">
        <v>64</v>
      </c>
      <c r="AT58" s="2">
        <f>Retailers_Cap!BL60</f>
        <v/>
      </c>
      <c r="AU58" s="2">
        <f>Retailers_Cap!BM60</f>
        <v/>
      </c>
      <c r="AV58" s="2">
        <f>Retailers_Cap!BN60</f>
        <v/>
      </c>
      <c r="AY58" s="64" t="n">
        <v>64</v>
      </c>
      <c r="AZ58" s="2">
        <f>IF(D58=0,"no repl",AB58-AT58)</f>
        <v/>
      </c>
      <c r="BA58" s="2">
        <f>IF(E58=0,"no repl",AC58-AU58)</f>
        <v/>
      </c>
      <c r="BB58" s="2">
        <f>IF(F58=0,"no repl",AD58-AV58)</f>
        <v/>
      </c>
    </row>
    <row r="59">
      <c r="C59" s="64" t="n">
        <v>65</v>
      </c>
      <c r="D59" s="11" t="n">
        <v>0</v>
      </c>
      <c r="E59" s="11" t="n">
        <v>0</v>
      </c>
      <c r="F59" s="11" t="n">
        <v>0</v>
      </c>
      <c r="I59" s="64" t="n">
        <v>65</v>
      </c>
      <c r="J59" s="11" t="n">
        <v>36850.34</v>
      </c>
      <c r="K59" s="11" t="n">
        <v>42017.2</v>
      </c>
      <c r="L59" s="11" t="n">
        <v>49686.21</v>
      </c>
      <c r="O59" s="64" t="n">
        <v>65</v>
      </c>
      <c r="P59" s="11" t="n">
        <v>0</v>
      </c>
      <c r="Q59" s="11" t="n">
        <v>0</v>
      </c>
      <c r="R59" s="11" t="n">
        <v>0</v>
      </c>
      <c r="U59" s="64" t="n">
        <v>65</v>
      </c>
      <c r="V59" s="3">
        <f>J59-P59+D59</f>
        <v/>
      </c>
      <c r="W59" s="3">
        <f>K59-Q59+E59</f>
        <v/>
      </c>
      <c r="X59" s="3">
        <f>L59-R59+F59</f>
        <v/>
      </c>
      <c r="AA59" s="64" t="n">
        <v>65</v>
      </c>
      <c r="AB59" s="2">
        <f>IF(Demand!AU78&gt;Retailers_Cap!N61,(V59/Retailers!P60)/(Demand!AU78-Retailers_Cap!N61),"Inesgotável")</f>
        <v/>
      </c>
      <c r="AC59" s="2">
        <f>IF(Demand!AV78&gt;Retailers_Cap!O61,(W59/Retailers!Q60)/(Demand!AV78-Retailers_Cap!O61),"Inesgotável")</f>
        <v/>
      </c>
      <c r="AD59" s="2">
        <f>IF(Demand!AW78&gt;Retailers_Cap!P61,(X59/Retailers!R60)/(Demand!AW78-Retailers_Cap!P61),"Inesgotável")</f>
        <v/>
      </c>
      <c r="AG59" s="64" t="n">
        <v>65</v>
      </c>
      <c r="AH59" s="64">
        <f>Retailers!AJ60</f>
        <v/>
      </c>
      <c r="AI59" s="64">
        <f>Retailers!AK60</f>
        <v/>
      </c>
      <c r="AJ59" s="64">
        <f>Retailers!AL60</f>
        <v/>
      </c>
      <c r="AM59" s="64" t="n">
        <v>65</v>
      </c>
      <c r="AN59" s="2">
        <f>IF(P59&gt;0,IF(D59=0,"Big stock",AB59/AH59),"Inesgotável")</f>
        <v/>
      </c>
      <c r="AO59" s="2">
        <f>IF(Q59&gt;0,IF(E59=0,"Big stock",AC59/AI59),"Inesgotável")</f>
        <v/>
      </c>
      <c r="AP59" s="2">
        <f>IF(R59&gt;0,IF(F59=0,"Big stock",AD59/AJ59),"Inesgotável")</f>
        <v/>
      </c>
      <c r="AS59" s="64" t="n">
        <v>65</v>
      </c>
      <c r="AT59" s="2">
        <f>Retailers_Cap!BL61</f>
        <v/>
      </c>
      <c r="AU59" s="2">
        <f>Retailers_Cap!BM61</f>
        <v/>
      </c>
      <c r="AV59" s="2">
        <f>Retailers_Cap!BN61</f>
        <v/>
      </c>
      <c r="AY59" s="64" t="n">
        <v>65</v>
      </c>
      <c r="AZ59" s="2">
        <f>IF(D59=0,"no repl",AB59-AT59)</f>
        <v/>
      </c>
      <c r="BA59" s="2">
        <f>IF(E59=0,"no repl",AC59-AU59)</f>
        <v/>
      </c>
      <c r="BB59" s="2">
        <f>IF(F59=0,"no repl",AD59-AV59)</f>
        <v/>
      </c>
    </row>
    <row r="60">
      <c r="C60" s="64" t="n">
        <v>66</v>
      </c>
      <c r="D60" s="11" t="n">
        <v>0</v>
      </c>
      <c r="E60" s="11" t="n">
        <v>0</v>
      </c>
      <c r="F60" s="11" t="n">
        <v>107808.134814019</v>
      </c>
      <c r="I60" s="64" t="n">
        <v>66</v>
      </c>
      <c r="J60" s="11" t="n">
        <v>63524.64</v>
      </c>
      <c r="K60" s="11" t="n">
        <v>58941</v>
      </c>
      <c r="L60" s="11" t="n">
        <v>6984.45</v>
      </c>
      <c r="O60" s="64" t="n">
        <v>66</v>
      </c>
      <c r="P60" s="11" t="n">
        <v>0</v>
      </c>
      <c r="Q60" s="11" t="n">
        <v>0</v>
      </c>
      <c r="R60" s="11" t="n">
        <v>63864.73901285006</v>
      </c>
      <c r="U60" s="64" t="n">
        <v>66</v>
      </c>
      <c r="V60" s="3">
        <f>J60-P60+D60</f>
        <v/>
      </c>
      <c r="W60" s="3">
        <f>K60-Q60+E60</f>
        <v/>
      </c>
      <c r="X60" s="3">
        <f>L60-R60+F60</f>
        <v/>
      </c>
      <c r="AA60" s="64" t="n">
        <v>66</v>
      </c>
      <c r="AB60" s="2">
        <f>IF(Demand!AU79&gt;Retailers_Cap!N62,(V60/Retailers!P61)/(Demand!AU79-Retailers_Cap!N62),"Inesgotável")</f>
        <v/>
      </c>
      <c r="AC60" s="2">
        <f>IF(Demand!AV79&gt;Retailers_Cap!O62,(W60/Retailers!Q61)/(Demand!AV79-Retailers_Cap!O62),"Inesgotável")</f>
        <v/>
      </c>
      <c r="AD60" s="2">
        <f>IF(Demand!AW79&gt;Retailers_Cap!P62,(X60/Retailers!R61)/(Demand!AW79-Retailers_Cap!P62),"Inesgotável")</f>
        <v/>
      </c>
      <c r="AG60" s="64" t="n">
        <v>66</v>
      </c>
      <c r="AH60" s="64">
        <f>Retailers!AJ61</f>
        <v/>
      </c>
      <c r="AI60" s="64">
        <f>Retailers!AK61</f>
        <v/>
      </c>
      <c r="AJ60" s="64">
        <f>Retailers!AL61</f>
        <v/>
      </c>
      <c r="AM60" s="64" t="n">
        <v>66</v>
      </c>
      <c r="AN60" s="2">
        <f>IF(P60&gt;0,IF(D60=0,"Big stock",AB60/AH60),"Inesgotável")</f>
        <v/>
      </c>
      <c r="AO60" s="2">
        <f>IF(Q60&gt;0,IF(E60=0,"Big stock",AC60/AI60),"Inesgotável")</f>
        <v/>
      </c>
      <c r="AP60" s="2">
        <f>IF(R60&gt;0,IF(F60=0,"Big stock",AD60/AJ60),"Inesgotável")</f>
        <v/>
      </c>
      <c r="AS60" s="64" t="n">
        <v>66</v>
      </c>
      <c r="AT60" s="2">
        <f>Retailers_Cap!BL62</f>
        <v/>
      </c>
      <c r="AU60" s="2">
        <f>Retailers_Cap!BM62</f>
        <v/>
      </c>
      <c r="AV60" s="2">
        <f>Retailers_Cap!BN62</f>
        <v/>
      </c>
      <c r="AY60" s="64" t="n">
        <v>66</v>
      </c>
      <c r="AZ60" s="2">
        <f>IF(D60=0,"no repl",AB60-AT60)</f>
        <v/>
      </c>
      <c r="BA60" s="2">
        <f>IF(E60=0,"no repl",AC60-AU60)</f>
        <v/>
      </c>
      <c r="BB60" s="2">
        <f>IF(F60=0,"no repl",AD60-AV60)</f>
        <v/>
      </c>
    </row>
    <row r="61">
      <c r="C61" s="64" t="n">
        <v>67</v>
      </c>
      <c r="D61" s="11" t="n">
        <v>0</v>
      </c>
      <c r="E61" s="11" t="n">
        <v>0</v>
      </c>
      <c r="F61" s="11" t="n">
        <v>0</v>
      </c>
      <c r="I61" s="64" t="n">
        <v>67</v>
      </c>
      <c r="J61" s="11" t="n">
        <v>17750.25</v>
      </c>
      <c r="K61" s="11" t="n">
        <v>46152.12</v>
      </c>
      <c r="L61" s="11" t="n">
        <v>16481.04</v>
      </c>
      <c r="O61" s="64" t="n">
        <v>67</v>
      </c>
      <c r="P61" s="11" t="n">
        <v>0</v>
      </c>
      <c r="Q61" s="11" t="n">
        <v>0</v>
      </c>
      <c r="R61" s="11" t="n">
        <v>0</v>
      </c>
      <c r="U61" s="64" t="n">
        <v>67</v>
      </c>
      <c r="V61" s="3">
        <f>J61-P61+D61</f>
        <v/>
      </c>
      <c r="W61" s="3">
        <f>K61-Q61+E61</f>
        <v/>
      </c>
      <c r="X61" s="3">
        <f>L61-R61+F61</f>
        <v/>
      </c>
      <c r="AA61" s="64" t="n">
        <v>67</v>
      </c>
      <c r="AB61" s="2">
        <f>IF(Demand!AU80&gt;Retailers_Cap!N63,(V61/Retailers!P62)/(Demand!AU80-Retailers_Cap!N63),"Inesgotável")</f>
        <v/>
      </c>
      <c r="AC61" s="2">
        <f>IF(Demand!AV80&gt;Retailers_Cap!O63,(W61/Retailers!Q62)/(Demand!AV80-Retailers_Cap!O63),"Inesgotável")</f>
        <v/>
      </c>
      <c r="AD61" s="2">
        <f>IF(Demand!AW80&gt;Retailers_Cap!P63,(X61/Retailers!R62)/(Demand!AW80-Retailers_Cap!P63),"Inesgotável")</f>
        <v/>
      </c>
      <c r="AG61" s="64" t="n">
        <v>67</v>
      </c>
      <c r="AH61" s="64">
        <f>Retailers!AJ62</f>
        <v/>
      </c>
      <c r="AI61" s="64">
        <f>Retailers!AK62</f>
        <v/>
      </c>
      <c r="AJ61" s="64">
        <f>Retailers!AL62</f>
        <v/>
      </c>
      <c r="AM61" s="64" t="n">
        <v>67</v>
      </c>
      <c r="AN61" s="2">
        <f>IF(P61&gt;0,IF(D61=0,"Big stock",AB61/AH61),"Inesgotável")</f>
        <v/>
      </c>
      <c r="AO61" s="2">
        <f>IF(Q61&gt;0,IF(E61=0,"Big stock",AC61/AI61),"Inesgotável")</f>
        <v/>
      </c>
      <c r="AP61" s="2">
        <f>IF(R61&gt;0,IF(F61=0,"Big stock",AD61/AJ61),"Inesgotável")</f>
        <v/>
      </c>
      <c r="AS61" s="64" t="n">
        <v>67</v>
      </c>
      <c r="AT61" s="2">
        <f>Retailers_Cap!BL63</f>
        <v/>
      </c>
      <c r="AU61" s="2">
        <f>Retailers_Cap!BM63</f>
        <v/>
      </c>
      <c r="AV61" s="2">
        <f>Retailers_Cap!BN63</f>
        <v/>
      </c>
      <c r="AY61" s="64" t="n">
        <v>67</v>
      </c>
      <c r="AZ61" s="2">
        <f>IF(D61=0,"no repl",AB61-AT61)</f>
        <v/>
      </c>
      <c r="BA61" s="2">
        <f>IF(E61=0,"no repl",AC61-AU61)</f>
        <v/>
      </c>
      <c r="BB61" s="2">
        <f>IF(F61=0,"no repl",AD61-AV61)</f>
        <v/>
      </c>
    </row>
    <row r="62">
      <c r="C62" s="64" t="n">
        <v>68</v>
      </c>
      <c r="D62" s="11" t="n">
        <v>0</v>
      </c>
      <c r="E62" s="11" t="n">
        <v>0</v>
      </c>
      <c r="F62" s="11" t="n">
        <v>237393.388721143</v>
      </c>
      <c r="I62" s="64" t="n">
        <v>68</v>
      </c>
      <c r="J62" s="11" t="n">
        <v>9823.02</v>
      </c>
      <c r="K62" s="11" t="n">
        <v>60018.6</v>
      </c>
      <c r="L62" s="11" t="n">
        <v>18989.04</v>
      </c>
      <c r="O62" s="64" t="n">
        <v>68</v>
      </c>
      <c r="P62" s="11" t="n">
        <v>0</v>
      </c>
      <c r="Q62" s="11" t="n">
        <v>0</v>
      </c>
      <c r="R62" s="11" t="n">
        <v>139756.4846426167</v>
      </c>
      <c r="U62" s="64" t="n">
        <v>68</v>
      </c>
      <c r="V62" s="3">
        <f>J62-P62+D62</f>
        <v/>
      </c>
      <c r="W62" s="3">
        <f>K62-Q62+E62</f>
        <v/>
      </c>
      <c r="X62" s="3">
        <f>L62-R62+F62</f>
        <v/>
      </c>
      <c r="AA62" s="64" t="n">
        <v>68</v>
      </c>
      <c r="AB62" s="2">
        <f>IF(Demand!AU81&gt;Retailers_Cap!N64,(V62/Retailers!P63)/(Demand!AU81-Retailers_Cap!N64),"Inesgotável")</f>
        <v/>
      </c>
      <c r="AC62" s="2">
        <f>IF(Demand!AV81&gt;Retailers_Cap!O64,(W62/Retailers!Q63)/(Demand!AV81-Retailers_Cap!O64),"Inesgotável")</f>
        <v/>
      </c>
      <c r="AD62" s="2">
        <f>IF(Demand!AW81&gt;Retailers_Cap!P64,(X62/Retailers!R63)/(Demand!AW81-Retailers_Cap!P64),"Inesgotável")</f>
        <v/>
      </c>
      <c r="AG62" s="64" t="n">
        <v>68</v>
      </c>
      <c r="AH62" s="64">
        <f>Retailers!AJ63</f>
        <v/>
      </c>
      <c r="AI62" s="64">
        <f>Retailers!AK63</f>
        <v/>
      </c>
      <c r="AJ62" s="64">
        <f>Retailers!AL63</f>
        <v/>
      </c>
      <c r="AM62" s="64" t="n">
        <v>68</v>
      </c>
      <c r="AN62" s="2">
        <f>IF(P62&gt;0,IF(D62=0,"Big stock",AB62/AH62),"Inesgotável")</f>
        <v/>
      </c>
      <c r="AO62" s="2">
        <f>IF(Q62&gt;0,IF(E62=0,"Big stock",AC62/AI62),"Inesgotável")</f>
        <v/>
      </c>
      <c r="AP62" s="2">
        <f>IF(R62&gt;0,IF(F62=0,"Big stock",AD62/AJ62),"Inesgotável")</f>
        <v/>
      </c>
      <c r="AS62" s="64" t="n">
        <v>68</v>
      </c>
      <c r="AT62" s="2">
        <f>Retailers_Cap!BL64</f>
        <v/>
      </c>
      <c r="AU62" s="2">
        <f>Retailers_Cap!BM64</f>
        <v/>
      </c>
      <c r="AV62" s="2">
        <f>Retailers_Cap!BN64</f>
        <v/>
      </c>
      <c r="AY62" s="64" t="n">
        <v>68</v>
      </c>
      <c r="AZ62" s="2">
        <f>IF(D62=0,"no repl",AB62-AT62)</f>
        <v/>
      </c>
      <c r="BA62" s="2">
        <f>IF(E62=0,"no repl",AC62-AU62)</f>
        <v/>
      </c>
      <c r="BB62" s="2">
        <f>IF(F62=0,"no repl",AD62-AV62)</f>
        <v/>
      </c>
    </row>
    <row r="63">
      <c r="C63" s="64" t="n">
        <v>69</v>
      </c>
      <c r="D63" s="11" t="n">
        <v>152907.2540257253</v>
      </c>
      <c r="E63" s="11" t="n">
        <v>0</v>
      </c>
      <c r="F63" s="11" t="n">
        <v>42191.79556759012</v>
      </c>
      <c r="I63" s="64" t="n">
        <v>69</v>
      </c>
      <c r="J63" s="11" t="n">
        <v>36903.04</v>
      </c>
      <c r="K63" s="11" t="n">
        <v>59587.64</v>
      </c>
      <c r="L63" s="11" t="n">
        <v>26541.84</v>
      </c>
      <c r="O63" s="64" t="n">
        <v>69</v>
      </c>
      <c r="P63" s="11" t="n">
        <v>93571.14940001935</v>
      </c>
      <c r="Q63" s="11" t="n">
        <v>0</v>
      </c>
      <c r="R63" s="11" t="n">
        <v>24792.94578717702</v>
      </c>
      <c r="U63" s="64" t="n">
        <v>69</v>
      </c>
      <c r="V63" s="3">
        <f>J63-P63+D63</f>
        <v/>
      </c>
      <c r="W63" s="3">
        <f>K63-Q63+E63</f>
        <v/>
      </c>
      <c r="X63" s="3">
        <f>L63-R63+F63</f>
        <v/>
      </c>
      <c r="AA63" s="64" t="n">
        <v>69</v>
      </c>
      <c r="AB63" s="2">
        <f>IF(Demand!AU82&gt;Retailers_Cap!N65,(V63/Retailers!P64)/(Demand!AU82-Retailers_Cap!N65),"Inesgotável")</f>
        <v/>
      </c>
      <c r="AC63" s="2">
        <f>IF(Demand!AV82&gt;Retailers_Cap!O65,(W63/Retailers!Q64)/(Demand!AV82-Retailers_Cap!O65),"Inesgotável")</f>
        <v/>
      </c>
      <c r="AD63" s="2">
        <f>IF(Demand!AW82&gt;Retailers_Cap!P65,(X63/Retailers!R64)/(Demand!AW82-Retailers_Cap!P65),"Inesgotável")</f>
        <v/>
      </c>
      <c r="AG63" s="64" t="n">
        <v>69</v>
      </c>
      <c r="AH63" s="64">
        <f>Retailers!AJ64</f>
        <v/>
      </c>
      <c r="AI63" s="64">
        <f>Retailers!AK64</f>
        <v/>
      </c>
      <c r="AJ63" s="64">
        <f>Retailers!AL64</f>
        <v/>
      </c>
      <c r="AM63" s="64" t="n">
        <v>69</v>
      </c>
      <c r="AN63" s="2">
        <f>IF(P63&gt;0,IF(D63=0,"Big stock",AB63/AH63),"Inesgotável")</f>
        <v/>
      </c>
      <c r="AO63" s="2">
        <f>IF(Q63&gt;0,IF(E63=0,"Big stock",AC63/AI63),"Inesgotável")</f>
        <v/>
      </c>
      <c r="AP63" s="2">
        <f>IF(R63&gt;0,IF(F63=0,"Big stock",AD63/AJ63),"Inesgotável")</f>
        <v/>
      </c>
      <c r="AS63" s="64" t="n">
        <v>69</v>
      </c>
      <c r="AT63" s="2">
        <f>Retailers_Cap!BL65</f>
        <v/>
      </c>
      <c r="AU63" s="2">
        <f>Retailers_Cap!BM65</f>
        <v/>
      </c>
      <c r="AV63" s="2">
        <f>Retailers_Cap!BN65</f>
        <v/>
      </c>
      <c r="AY63" s="64" t="n">
        <v>69</v>
      </c>
      <c r="AZ63" s="2">
        <f>IF(D63=0,"no repl",AB63-AT63)</f>
        <v/>
      </c>
      <c r="BA63" s="2">
        <f>IF(E63=0,"no repl",AC63-AU63)</f>
        <v/>
      </c>
      <c r="BB63" s="2">
        <f>IF(F63=0,"no repl",AD63-AV63)</f>
        <v/>
      </c>
    </row>
    <row r="64">
      <c r="C64" s="64" t="n">
        <v>70</v>
      </c>
      <c r="D64" s="11" t="n">
        <v>0</v>
      </c>
      <c r="E64" s="11" t="n">
        <v>0</v>
      </c>
      <c r="F64" s="11" t="n">
        <v>0</v>
      </c>
      <c r="I64" s="64" t="n">
        <v>70</v>
      </c>
      <c r="J64" s="11" t="n">
        <v>73819.67999999999</v>
      </c>
      <c r="K64" s="11" t="n">
        <v>40277.76</v>
      </c>
      <c r="L64" s="11" t="n">
        <v>750.88</v>
      </c>
      <c r="O64" s="64" t="n">
        <v>70</v>
      </c>
      <c r="P64" s="11" t="n">
        <v>0</v>
      </c>
      <c r="Q64" s="11" t="n">
        <v>17265.15303130439</v>
      </c>
      <c r="R64" s="11" t="n">
        <v>0</v>
      </c>
      <c r="U64" s="64" t="n">
        <v>70</v>
      </c>
      <c r="V64" s="3">
        <f>J64-P64+D64</f>
        <v/>
      </c>
      <c r="W64" s="3">
        <f>K64-Q64+E64</f>
        <v/>
      </c>
      <c r="X64" s="3">
        <f>L64-R64+F64</f>
        <v/>
      </c>
      <c r="AA64" s="64" t="n">
        <v>70</v>
      </c>
      <c r="AB64" s="2">
        <f>IF(Demand!AU83&gt;Retailers_Cap!N66,(V64/Retailers!P65)/(Demand!AU83-Retailers_Cap!N66),"Inesgotável")</f>
        <v/>
      </c>
      <c r="AC64" s="2">
        <f>IF(Demand!AV83&gt;Retailers_Cap!O66,(W64/Retailers!Q65)/(Demand!AV83-Retailers_Cap!O66),"Inesgotável")</f>
        <v/>
      </c>
      <c r="AD64" s="2">
        <f>IF(Demand!AW83&gt;Retailers_Cap!P66,(X64/Retailers!R65)/(Demand!AW83-Retailers_Cap!P66),"Inesgotável")</f>
        <v/>
      </c>
      <c r="AG64" s="64" t="n">
        <v>70</v>
      </c>
      <c r="AH64" s="64">
        <f>Retailers!AJ65</f>
        <v/>
      </c>
      <c r="AI64" s="64">
        <f>Retailers!AK65</f>
        <v/>
      </c>
      <c r="AJ64" s="64">
        <f>Retailers!AL65</f>
        <v/>
      </c>
      <c r="AM64" s="64" t="n">
        <v>70</v>
      </c>
      <c r="AN64" s="2">
        <f>IF(P64&gt;0,IF(D64=0,"Big stock",AB64/AH64),"Inesgotável")</f>
        <v/>
      </c>
      <c r="AO64" s="2">
        <f>IF(Q64&gt;0,IF(E64=0,"Big stock",AC64/AI64),"Inesgotável")</f>
        <v/>
      </c>
      <c r="AP64" s="2">
        <f>IF(R64&gt;0,IF(F64=0,"Big stock",AD64/AJ64),"Inesgotável")</f>
        <v/>
      </c>
      <c r="AS64" s="64" t="n">
        <v>70</v>
      </c>
      <c r="AT64" s="2">
        <f>Retailers_Cap!BL66</f>
        <v/>
      </c>
      <c r="AU64" s="2">
        <f>Retailers_Cap!BM66</f>
        <v/>
      </c>
      <c r="AV64" s="2">
        <f>Retailers_Cap!BN66</f>
        <v/>
      </c>
      <c r="AY64" s="64" t="n">
        <v>70</v>
      </c>
      <c r="AZ64" s="2">
        <f>IF(D64=0,"no repl",AB64-AT64)</f>
        <v/>
      </c>
      <c r="BA64" s="2">
        <f>IF(E64=0,"no repl",AC64-AU64)</f>
        <v/>
      </c>
      <c r="BB64" s="2">
        <f>IF(F64=0,"no repl",AD64-AV64)</f>
        <v/>
      </c>
    </row>
    <row r="65">
      <c r="C65" s="64" t="n">
        <v>71</v>
      </c>
      <c r="D65" s="11" t="n">
        <v>0</v>
      </c>
      <c r="E65" s="11" t="n">
        <v>194519.4703050022</v>
      </c>
      <c r="F65" s="11" t="n">
        <v>74758.95487092798</v>
      </c>
      <c r="I65" s="64" t="n">
        <v>71</v>
      </c>
      <c r="J65" s="11" t="n">
        <v>47838</v>
      </c>
      <c r="K65" s="11" t="n">
        <v>42268.8</v>
      </c>
      <c r="L65" s="11" t="n">
        <v>82439.02</v>
      </c>
      <c r="O65" s="64" t="n">
        <v>71</v>
      </c>
      <c r="P65" s="11" t="n">
        <v>0</v>
      </c>
      <c r="Q65" s="11" t="n">
        <v>119755.6542113061</v>
      </c>
      <c r="R65" s="11" t="n">
        <v>44918.72555168101</v>
      </c>
      <c r="U65" s="64" t="n">
        <v>71</v>
      </c>
      <c r="V65" s="3">
        <f>J65-P65+D65</f>
        <v/>
      </c>
      <c r="W65" s="3">
        <f>K65-Q65+E65</f>
        <v/>
      </c>
      <c r="X65" s="3">
        <f>L65-R65+F65</f>
        <v/>
      </c>
      <c r="AA65" s="64" t="n">
        <v>71</v>
      </c>
      <c r="AB65" s="2">
        <f>IF(Demand!AU84&gt;Retailers_Cap!N67,(V65/Retailers!P66)/(Demand!AU84-Retailers_Cap!N67),"Inesgotável")</f>
        <v/>
      </c>
      <c r="AC65" s="2">
        <f>IF(Demand!AV84&gt;Retailers_Cap!O67,(W65/Retailers!Q66)/(Demand!AV84-Retailers_Cap!O67),"Inesgotável")</f>
        <v/>
      </c>
      <c r="AD65" s="2">
        <f>IF(Demand!AW84&gt;Retailers_Cap!P67,(X65/Retailers!R66)/(Demand!AW84-Retailers_Cap!P67),"Inesgotável")</f>
        <v/>
      </c>
      <c r="AG65" s="64" t="n">
        <v>71</v>
      </c>
      <c r="AH65" s="64">
        <f>Retailers!AJ66</f>
        <v/>
      </c>
      <c r="AI65" s="64">
        <f>Retailers!AK66</f>
        <v/>
      </c>
      <c r="AJ65" s="64">
        <f>Retailers!AL66</f>
        <v/>
      </c>
      <c r="AM65" s="64" t="n">
        <v>71</v>
      </c>
      <c r="AN65" s="2">
        <f>IF(P65&gt;0,IF(D65=0,"Big stock",AB65/AH65),"Inesgotável")</f>
        <v/>
      </c>
      <c r="AO65" s="2">
        <f>IF(Q65&gt;0,IF(E65=0,"Big stock",AC65/AI65),"Inesgotável")</f>
        <v/>
      </c>
      <c r="AP65" s="2">
        <f>IF(R65&gt;0,IF(F65=0,"Big stock",AD65/AJ65),"Inesgotável")</f>
        <v/>
      </c>
      <c r="AS65" s="64" t="n">
        <v>71</v>
      </c>
      <c r="AT65" s="2">
        <f>Retailers_Cap!BL67</f>
        <v/>
      </c>
      <c r="AU65" s="2">
        <f>Retailers_Cap!BM67</f>
        <v/>
      </c>
      <c r="AV65" s="2">
        <f>Retailers_Cap!BN67</f>
        <v/>
      </c>
      <c r="AY65" s="64" t="n">
        <v>71</v>
      </c>
      <c r="AZ65" s="2">
        <f>IF(D65=0,"no repl",AB65-AT65)</f>
        <v/>
      </c>
      <c r="BA65" s="2">
        <f>IF(E65=0,"no repl",AC65-AU65)</f>
        <v/>
      </c>
      <c r="BB65" s="2">
        <f>IF(F65=0,"no repl",AD65-AV65)</f>
        <v/>
      </c>
    </row>
    <row r="66">
      <c r="C66" s="64" t="n">
        <v>72</v>
      </c>
      <c r="D66" s="11" t="n">
        <v>0</v>
      </c>
      <c r="E66" s="11" t="n">
        <v>0</v>
      </c>
      <c r="F66" s="11" t="n">
        <v>355611.5645071776</v>
      </c>
      <c r="I66" s="64" t="n">
        <v>72</v>
      </c>
      <c r="J66" s="11" t="n">
        <v>26418.75</v>
      </c>
      <c r="K66" s="11" t="n">
        <v>36727.99</v>
      </c>
      <c r="L66" s="11" t="n">
        <v>31099.14</v>
      </c>
      <c r="O66" s="64" t="n">
        <v>72</v>
      </c>
      <c r="P66" s="11" t="n">
        <v>0</v>
      </c>
      <c r="Q66" s="11" t="n">
        <v>0</v>
      </c>
      <c r="R66" s="11" t="n">
        <v>210862.5190205105</v>
      </c>
      <c r="U66" s="64" t="n">
        <v>72</v>
      </c>
      <c r="V66" s="3">
        <f>J66-P66+D66</f>
        <v/>
      </c>
      <c r="W66" s="3">
        <f>K66-Q66+E66</f>
        <v/>
      </c>
      <c r="X66" s="3">
        <f>L66-R66+F66</f>
        <v/>
      </c>
      <c r="AA66" s="64" t="n">
        <v>72</v>
      </c>
      <c r="AB66" s="2">
        <f>IF(Demand!AU85&gt;Retailers_Cap!N68,(V66/Retailers!P67)/(Demand!AU85-Retailers_Cap!N68),"Inesgotável")</f>
        <v/>
      </c>
      <c r="AC66" s="2">
        <f>IF(Demand!AV85&gt;Retailers_Cap!O68,(W66/Retailers!Q67)/(Demand!AV85-Retailers_Cap!O68),"Inesgotável")</f>
        <v/>
      </c>
      <c r="AD66" s="2">
        <f>IF(Demand!AW85&gt;Retailers_Cap!P68,(X66/Retailers!R67)/(Demand!AW85-Retailers_Cap!P68),"Inesgotável")</f>
        <v/>
      </c>
      <c r="AG66" s="64" t="n">
        <v>72</v>
      </c>
      <c r="AH66" s="64">
        <f>Retailers!AJ67</f>
        <v/>
      </c>
      <c r="AI66" s="64">
        <f>Retailers!AK67</f>
        <v/>
      </c>
      <c r="AJ66" s="64">
        <f>Retailers!AL67</f>
        <v/>
      </c>
      <c r="AM66" s="64" t="n">
        <v>72</v>
      </c>
      <c r="AN66" s="2">
        <f>IF(P66&gt;0,IF(D66=0,"Big stock",AB66/AH66),"Inesgotável")</f>
        <v/>
      </c>
      <c r="AO66" s="2">
        <f>IF(Q66&gt;0,IF(E66=0,"Big stock",AC66/AI66),"Inesgotável")</f>
        <v/>
      </c>
      <c r="AP66" s="2">
        <f>IF(R66&gt;0,IF(F66=0,"Big stock",AD66/AJ66),"Inesgotável")</f>
        <v/>
      </c>
      <c r="AS66" s="64" t="n">
        <v>72</v>
      </c>
      <c r="AT66" s="2">
        <f>Retailers_Cap!BL68</f>
        <v/>
      </c>
      <c r="AU66" s="2">
        <f>Retailers_Cap!BM68</f>
        <v/>
      </c>
      <c r="AV66" s="2">
        <f>Retailers_Cap!BN68</f>
        <v/>
      </c>
      <c r="AY66" s="64" t="n">
        <v>72</v>
      </c>
      <c r="AZ66" s="2">
        <f>IF(D66=0,"no repl",AB66-AT66)</f>
        <v/>
      </c>
      <c r="BA66" s="2">
        <f>IF(E66=0,"no repl",AC66-AU66)</f>
        <v/>
      </c>
      <c r="BB66" s="2">
        <f>IF(F66=0,"no repl",AD66-AV66)</f>
        <v/>
      </c>
    </row>
    <row r="67">
      <c r="C67" s="64" t="n">
        <v>73</v>
      </c>
      <c r="D67" s="11" t="n">
        <v>175019.4465786637</v>
      </c>
      <c r="E67" s="11" t="n">
        <v>0</v>
      </c>
      <c r="F67" s="11" t="n">
        <v>0</v>
      </c>
      <c r="I67" s="64" t="n">
        <v>73</v>
      </c>
      <c r="J67" s="11" t="n">
        <v>29817.97</v>
      </c>
      <c r="K67" s="11" t="n">
        <v>67024.8</v>
      </c>
      <c r="L67" s="11" t="n">
        <v>17863.44</v>
      </c>
      <c r="O67" s="64" t="n">
        <v>73</v>
      </c>
      <c r="P67" s="11" t="n">
        <v>105092.6273472727</v>
      </c>
      <c r="Q67" s="11" t="n">
        <v>0</v>
      </c>
      <c r="R67" s="11" t="n">
        <v>0</v>
      </c>
      <c r="U67" s="64" t="n">
        <v>73</v>
      </c>
      <c r="V67" s="3">
        <f>J67-P67+D67</f>
        <v/>
      </c>
      <c r="W67" s="3">
        <f>K67-Q67+E67</f>
        <v/>
      </c>
      <c r="X67" s="3">
        <f>L67-R67+F67</f>
        <v/>
      </c>
      <c r="AA67" s="64" t="n">
        <v>73</v>
      </c>
      <c r="AB67" s="2">
        <f>IF(Demand!AU86&gt;Retailers_Cap!N69,(V67/Retailers!P68)/(Demand!AU86-Retailers_Cap!N69),"Inesgotável")</f>
        <v/>
      </c>
      <c r="AC67" s="2">
        <f>IF(Demand!AV86&gt;Retailers_Cap!O69,(W67/Retailers!Q68)/(Demand!AV86-Retailers_Cap!O69),"Inesgotável")</f>
        <v/>
      </c>
      <c r="AD67" s="2">
        <f>IF(Demand!AW86&gt;Retailers_Cap!P69,(X67/Retailers!R68)/(Demand!AW86-Retailers_Cap!P69),"Inesgotável")</f>
        <v/>
      </c>
      <c r="AG67" s="64" t="n">
        <v>73</v>
      </c>
      <c r="AH67" s="64">
        <f>Retailers!AJ68</f>
        <v/>
      </c>
      <c r="AI67" s="64">
        <f>Retailers!AK68</f>
        <v/>
      </c>
      <c r="AJ67" s="64">
        <f>Retailers!AL68</f>
        <v/>
      </c>
      <c r="AM67" s="64" t="n">
        <v>73</v>
      </c>
      <c r="AN67" s="2">
        <f>IF(P67&gt;0,IF(D67=0,"Big stock",AB67/AH67),"Inesgotável")</f>
        <v/>
      </c>
      <c r="AO67" s="2">
        <f>IF(Q67&gt;0,IF(E67=0,"Big stock",AC67/AI67),"Inesgotável")</f>
        <v/>
      </c>
      <c r="AP67" s="2">
        <f>IF(R67&gt;0,IF(F67=0,"Big stock",AD67/AJ67),"Inesgotável")</f>
        <v/>
      </c>
      <c r="AS67" s="64" t="n">
        <v>73</v>
      </c>
      <c r="AT67" s="2">
        <f>Retailers_Cap!BL69</f>
        <v/>
      </c>
      <c r="AU67" s="2">
        <f>Retailers_Cap!BM69</f>
        <v/>
      </c>
      <c r="AV67" s="2">
        <f>Retailers_Cap!BN69</f>
        <v/>
      </c>
      <c r="AY67" s="64" t="n">
        <v>73</v>
      </c>
      <c r="AZ67" s="2">
        <f>IF(D67=0,"no repl",AB67-AT67)</f>
        <v/>
      </c>
      <c r="BA67" s="2">
        <f>IF(E67=0,"no repl",AC67-AU67)</f>
        <v/>
      </c>
      <c r="BB67" s="2">
        <f>IF(F67=0,"no repl",AD67-AV67)</f>
        <v/>
      </c>
    </row>
    <row r="68">
      <c r="C68" s="64" t="n">
        <v>74</v>
      </c>
      <c r="D68" s="11" t="n">
        <v>0</v>
      </c>
      <c r="E68" s="11" t="n">
        <v>90241.76236150839</v>
      </c>
      <c r="F68" s="11" t="n">
        <v>276359.4570257853</v>
      </c>
      <c r="I68" s="64" t="n">
        <v>74</v>
      </c>
      <c r="J68" s="11" t="n">
        <v>23338.24</v>
      </c>
      <c r="K68" s="11" t="n">
        <v>42952.8</v>
      </c>
      <c r="L68" s="11" t="n">
        <v>33008.52</v>
      </c>
      <c r="O68" s="64" t="n">
        <v>74</v>
      </c>
      <c r="P68" s="11" t="n">
        <v>0</v>
      </c>
      <c r="Q68" s="11" t="n">
        <v>54359.63927298508</v>
      </c>
      <c r="R68" s="11" t="n">
        <v>180079.6729902923</v>
      </c>
      <c r="U68" s="64" t="n">
        <v>74</v>
      </c>
      <c r="V68" s="3">
        <f>J68-P68+D68</f>
        <v/>
      </c>
      <c r="W68" s="3">
        <f>K68-Q68+E68</f>
        <v/>
      </c>
      <c r="X68" s="3">
        <f>L68-R68+F68</f>
        <v/>
      </c>
      <c r="AA68" s="64" t="n">
        <v>74</v>
      </c>
      <c r="AB68" s="2">
        <f>IF(Demand!AU87&gt;Retailers_Cap!N70,(V68/Retailers!P69)/(Demand!AU87-Retailers_Cap!N70),"Inesgotável")</f>
        <v/>
      </c>
      <c r="AC68" s="2">
        <f>IF(Demand!AV87&gt;Retailers_Cap!O70,(W68/Retailers!Q69)/(Demand!AV87-Retailers_Cap!O70),"Inesgotável")</f>
        <v/>
      </c>
      <c r="AD68" s="2">
        <f>IF(Demand!AW87&gt;Retailers_Cap!P70,(X68/Retailers!R69)/(Demand!AW87-Retailers_Cap!P70),"Inesgotável")</f>
        <v/>
      </c>
      <c r="AG68" s="64" t="n">
        <v>74</v>
      </c>
      <c r="AH68" s="64">
        <f>Retailers!AJ69</f>
        <v/>
      </c>
      <c r="AI68" s="64">
        <f>Retailers!AK69</f>
        <v/>
      </c>
      <c r="AJ68" s="64">
        <f>Retailers!AL69</f>
        <v/>
      </c>
      <c r="AM68" s="64" t="n">
        <v>74</v>
      </c>
      <c r="AN68" s="2">
        <f>IF(P68&gt;0,IF(D68=0,"Big stock",AB68/AH68),"Inesgotável")</f>
        <v/>
      </c>
      <c r="AO68" s="2">
        <f>IF(Q68&gt;0,IF(E68=0,"Big stock",AC68/AI68),"Inesgotável")</f>
        <v/>
      </c>
      <c r="AP68" s="2">
        <f>IF(R68&gt;0,IF(F68=0,"Big stock",AD68/AJ68),"Inesgotável")</f>
        <v/>
      </c>
      <c r="AS68" s="64" t="n">
        <v>74</v>
      </c>
      <c r="AT68" s="2">
        <f>Retailers_Cap!BL70</f>
        <v/>
      </c>
      <c r="AU68" s="2">
        <f>Retailers_Cap!BM70</f>
        <v/>
      </c>
      <c r="AV68" s="2">
        <f>Retailers_Cap!BN70</f>
        <v/>
      </c>
      <c r="AY68" s="64" t="n">
        <v>74</v>
      </c>
      <c r="AZ68" s="2">
        <f>IF(D68=0,"no repl",AB68-AT68)</f>
        <v/>
      </c>
      <c r="BA68" s="2">
        <f>IF(E68=0,"no repl",AC68-AU68)</f>
        <v/>
      </c>
      <c r="BB68" s="2">
        <f>IF(F68=0,"no repl",AD68-AV68)</f>
        <v/>
      </c>
    </row>
    <row r="69">
      <c r="C69" s="64" t="n">
        <v>75</v>
      </c>
      <c r="D69" s="11" t="n">
        <v>57060.36056293226</v>
      </c>
      <c r="E69" s="11" t="n">
        <v>0</v>
      </c>
      <c r="F69" s="11" t="n">
        <v>277146.2974247444</v>
      </c>
      <c r="I69" s="64" t="n">
        <v>75</v>
      </c>
      <c r="J69" s="11" t="n">
        <v>18090</v>
      </c>
      <c r="K69" s="11" t="n">
        <v>21413.67</v>
      </c>
      <c r="L69" s="11" t="n">
        <v>10116.75</v>
      </c>
      <c r="O69" s="64" t="n">
        <v>75</v>
      </c>
      <c r="P69" s="11" t="n">
        <v>33932.91437994264</v>
      </c>
      <c r="Q69" s="11" t="n">
        <v>0</v>
      </c>
      <c r="R69" s="11" t="n">
        <v>182544.8067406948</v>
      </c>
      <c r="U69" s="64" t="n">
        <v>75</v>
      </c>
      <c r="V69" s="3">
        <f>J69-P69+D69</f>
        <v/>
      </c>
      <c r="W69" s="3">
        <f>K69-Q69+E69</f>
        <v/>
      </c>
      <c r="X69" s="3">
        <f>L69-R69+F69</f>
        <v/>
      </c>
      <c r="AA69" s="64" t="n">
        <v>75</v>
      </c>
      <c r="AB69" s="2">
        <f>IF(Demand!AU88&gt;Retailers_Cap!N71,(V69/Retailers!P70)/(Demand!AU88-Retailers_Cap!N71),"Inesgotável")</f>
        <v/>
      </c>
      <c r="AC69" s="2">
        <f>IF(Demand!AV88&gt;Retailers_Cap!O71,(W69/Retailers!Q70)/(Demand!AV88-Retailers_Cap!O71),"Inesgotável")</f>
        <v/>
      </c>
      <c r="AD69" s="2">
        <f>IF(Demand!AW88&gt;Retailers_Cap!P71,(X69/Retailers!R70)/(Demand!AW88-Retailers_Cap!P71),"Inesgotável")</f>
        <v/>
      </c>
      <c r="AG69" s="64" t="n">
        <v>75</v>
      </c>
      <c r="AH69" s="64">
        <f>Retailers!AJ70</f>
        <v/>
      </c>
      <c r="AI69" s="64">
        <f>Retailers!AK70</f>
        <v/>
      </c>
      <c r="AJ69" s="64">
        <f>Retailers!AL70</f>
        <v/>
      </c>
      <c r="AM69" s="64" t="n">
        <v>75</v>
      </c>
      <c r="AN69" s="2">
        <f>IF(P69&gt;0,IF(D69=0,"Big stock",AB69/AH69),"Inesgotável")</f>
        <v/>
      </c>
      <c r="AO69" s="2">
        <f>IF(Q69&gt;0,IF(E69=0,"Big stock",AC69/AI69),"Inesgotável")</f>
        <v/>
      </c>
      <c r="AP69" s="2">
        <f>IF(R69&gt;0,IF(F69=0,"Big stock",AD69/AJ69),"Inesgotável")</f>
        <v/>
      </c>
      <c r="AS69" s="64" t="n">
        <v>75</v>
      </c>
      <c r="AT69" s="2">
        <f>Retailers_Cap!BL71</f>
        <v/>
      </c>
      <c r="AU69" s="2">
        <f>Retailers_Cap!BM71</f>
        <v/>
      </c>
      <c r="AV69" s="2">
        <f>Retailers_Cap!BN71</f>
        <v/>
      </c>
      <c r="AY69" s="64" t="n">
        <v>75</v>
      </c>
      <c r="AZ69" s="2">
        <f>IF(D69=0,"no repl",AB69-AT69)</f>
        <v/>
      </c>
      <c r="BA69" s="2">
        <f>IF(E69=0,"no repl",AC69-AU69)</f>
        <v/>
      </c>
      <c r="BB69" s="2">
        <f>IF(F69=0,"no repl",AD69-AV69)</f>
        <v/>
      </c>
    </row>
    <row r="70">
      <c r="C70" s="64" t="n">
        <v>76</v>
      </c>
      <c r="D70" s="11" t="n">
        <v>36367.7813429848</v>
      </c>
      <c r="E70" s="11" t="n">
        <v>0</v>
      </c>
      <c r="F70" s="11" t="n">
        <v>1015130.061779262</v>
      </c>
      <c r="I70" s="64" t="n">
        <v>76</v>
      </c>
      <c r="J70" s="11" t="n">
        <v>38687.08</v>
      </c>
      <c r="K70" s="11" t="n">
        <v>4076.1</v>
      </c>
      <c r="L70" s="11" t="n">
        <v>62188.01</v>
      </c>
      <c r="O70" s="64" t="n">
        <v>76</v>
      </c>
      <c r="P70" s="11" t="n">
        <v>22402.00137093831</v>
      </c>
      <c r="Q70" s="11" t="n">
        <v>0</v>
      </c>
      <c r="R70" s="11" t="n">
        <v>634233.2989133688</v>
      </c>
      <c r="U70" s="64" t="n">
        <v>76</v>
      </c>
      <c r="V70" s="3">
        <f>J70-P70+D70</f>
        <v/>
      </c>
      <c r="W70" s="3">
        <f>K70-Q70+E70</f>
        <v/>
      </c>
      <c r="X70" s="3">
        <f>L70-R70+F70</f>
        <v/>
      </c>
      <c r="AA70" s="64" t="n">
        <v>76</v>
      </c>
      <c r="AB70" s="2">
        <f>IF(Demand!AU89&gt;Retailers_Cap!N72,(V70/Retailers!P71)/(Demand!AU89-Retailers_Cap!N72),"Inesgotável")</f>
        <v/>
      </c>
      <c r="AC70" s="2">
        <f>IF(Demand!AV89&gt;Retailers_Cap!O72,(W70/Retailers!Q71)/(Demand!AV89-Retailers_Cap!O72),"Inesgotável")</f>
        <v/>
      </c>
      <c r="AD70" s="2">
        <f>IF(Demand!AW89&gt;Retailers_Cap!P72,(X70/Retailers!R71)/(Demand!AW89-Retailers_Cap!P72),"Inesgotável")</f>
        <v/>
      </c>
      <c r="AG70" s="64" t="n">
        <v>76</v>
      </c>
      <c r="AH70" s="64">
        <f>Retailers!AJ71</f>
        <v/>
      </c>
      <c r="AI70" s="64">
        <f>Retailers!AK71</f>
        <v/>
      </c>
      <c r="AJ70" s="64">
        <f>Retailers!AL71</f>
        <v/>
      </c>
      <c r="AM70" s="64" t="n">
        <v>76</v>
      </c>
      <c r="AN70" s="2">
        <f>IF(P70&gt;0,IF(D70=0,"Big stock",AB70/AH70),"Inesgotável")</f>
        <v/>
      </c>
      <c r="AO70" s="2">
        <f>IF(Q70&gt;0,IF(E70=0,"Big stock",AC70/AI70),"Inesgotável")</f>
        <v/>
      </c>
      <c r="AP70" s="2">
        <f>IF(R70&gt;0,IF(F70=0,"Big stock",AD70/AJ70),"Inesgotável")</f>
        <v/>
      </c>
      <c r="AS70" s="64" t="n">
        <v>76</v>
      </c>
      <c r="AT70" s="2">
        <f>Retailers_Cap!BL72</f>
        <v/>
      </c>
      <c r="AU70" s="2">
        <f>Retailers_Cap!BM72</f>
        <v/>
      </c>
      <c r="AV70" s="2">
        <f>Retailers_Cap!BN72</f>
        <v/>
      </c>
      <c r="AY70" s="64" t="n">
        <v>76</v>
      </c>
      <c r="AZ70" s="2">
        <f>IF(D70=0,"no repl",AB70-AT70)</f>
        <v/>
      </c>
      <c r="BA70" s="2">
        <f>IF(E70=0,"no repl",AC70-AU70)</f>
        <v/>
      </c>
      <c r="BB70" s="2">
        <f>IF(F70=0,"no repl",AD70-AV70)</f>
        <v/>
      </c>
    </row>
    <row r="71">
      <c r="C71" s="64" t="n">
        <v>77</v>
      </c>
      <c r="D71" s="11" t="n">
        <v>0</v>
      </c>
      <c r="E71" s="11" t="n">
        <v>0</v>
      </c>
      <c r="F71" s="11" t="n">
        <v>0</v>
      </c>
      <c r="I71" s="64" t="n">
        <v>77</v>
      </c>
      <c r="J71" s="11" t="n">
        <v>130234.45</v>
      </c>
      <c r="K71" s="11" t="n">
        <v>62984.35</v>
      </c>
      <c r="L71" s="11" t="n">
        <v>33255.6</v>
      </c>
      <c r="O71" s="64" t="n">
        <v>77</v>
      </c>
      <c r="P71" s="11" t="n">
        <v>0</v>
      </c>
      <c r="Q71" s="11" t="n">
        <v>26316.68181781874</v>
      </c>
      <c r="R71" s="11" t="n">
        <v>0</v>
      </c>
      <c r="U71" s="64" t="n">
        <v>77</v>
      </c>
      <c r="V71" s="3">
        <f>J71-P71+D71</f>
        <v/>
      </c>
      <c r="W71" s="3">
        <f>K71-Q71+E71</f>
        <v/>
      </c>
      <c r="X71" s="3">
        <f>L71-R71+F71</f>
        <v/>
      </c>
      <c r="AA71" s="64" t="n">
        <v>77</v>
      </c>
      <c r="AB71" s="2">
        <f>IF(Demand!AU90&gt;Retailers_Cap!N73,(V71/Retailers!P72)/(Demand!AU90-Retailers_Cap!N73),"Inesgotável")</f>
        <v/>
      </c>
      <c r="AC71" s="2">
        <f>IF(Demand!AV90&gt;Retailers_Cap!O73,(W71/Retailers!Q72)/(Demand!AV90-Retailers_Cap!O73),"Inesgotável")</f>
        <v/>
      </c>
      <c r="AD71" s="2">
        <f>IF(Demand!AW90&gt;Retailers_Cap!P73,(X71/Retailers!R72)/(Demand!AW90-Retailers_Cap!P73),"Inesgotável")</f>
        <v/>
      </c>
      <c r="AG71" s="64" t="n">
        <v>77</v>
      </c>
      <c r="AH71" s="64">
        <f>Retailers!AJ72</f>
        <v/>
      </c>
      <c r="AI71" s="64">
        <f>Retailers!AK72</f>
        <v/>
      </c>
      <c r="AJ71" s="64">
        <f>Retailers!AL72</f>
        <v/>
      </c>
      <c r="AM71" s="64" t="n">
        <v>77</v>
      </c>
      <c r="AN71" s="2">
        <f>IF(P71&gt;0,IF(D71=0,"Big stock",AB71/AH71),"Inesgotável")</f>
        <v/>
      </c>
      <c r="AO71" s="2">
        <f>IF(Q71&gt;0,IF(E71=0,"Big stock",AC71/AI71),"Inesgotável")</f>
        <v/>
      </c>
      <c r="AP71" s="2">
        <f>IF(R71&gt;0,IF(F71=0,"Big stock",AD71/AJ71),"Inesgotável")</f>
        <v/>
      </c>
      <c r="AS71" s="64" t="n">
        <v>77</v>
      </c>
      <c r="AT71" s="2">
        <f>Retailers_Cap!BL73</f>
        <v/>
      </c>
      <c r="AU71" s="2">
        <f>Retailers_Cap!BM73</f>
        <v/>
      </c>
      <c r="AV71" s="2">
        <f>Retailers_Cap!BN73</f>
        <v/>
      </c>
      <c r="AY71" s="64" t="n">
        <v>77</v>
      </c>
      <c r="AZ71" s="2">
        <f>IF(D71=0,"no repl",AB71-AT71)</f>
        <v/>
      </c>
      <c r="BA71" s="2">
        <f>IF(E71=0,"no repl",AC71-AU71)</f>
        <v/>
      </c>
      <c r="BB71" s="2">
        <f>IF(F71=0,"no repl",AD71-AV71)</f>
        <v/>
      </c>
    </row>
    <row r="72">
      <c r="C72" s="64" t="n">
        <v>78</v>
      </c>
      <c r="D72" s="11" t="n">
        <v>0</v>
      </c>
      <c r="E72" s="11" t="n">
        <v>342306.6692217094</v>
      </c>
      <c r="F72" s="11" t="n">
        <v>100009.6646218242</v>
      </c>
      <c r="I72" s="64" t="n">
        <v>78</v>
      </c>
      <c r="J72" s="11" t="n">
        <v>28127.55</v>
      </c>
      <c r="K72" s="11" t="n">
        <v>34124.1</v>
      </c>
      <c r="L72" s="11" t="n">
        <v>29643.14</v>
      </c>
      <c r="O72" s="64" t="n">
        <v>78</v>
      </c>
      <c r="P72" s="11" t="n">
        <v>0</v>
      </c>
      <c r="Q72" s="11" t="n">
        <v>204327.5528658181</v>
      </c>
      <c r="R72" s="11" t="n">
        <v>65340.50515329918</v>
      </c>
      <c r="U72" s="64" t="n">
        <v>78</v>
      </c>
      <c r="V72" s="3">
        <f>J72-P72+D72</f>
        <v/>
      </c>
      <c r="W72" s="3">
        <f>K72-Q72+E72</f>
        <v/>
      </c>
      <c r="X72" s="3">
        <f>L72-R72+F72</f>
        <v/>
      </c>
      <c r="AA72" s="64" t="n">
        <v>78</v>
      </c>
      <c r="AB72" s="2">
        <f>IF(Demand!AU91&gt;Retailers_Cap!N74,(V72/Retailers!P73)/(Demand!AU91-Retailers_Cap!N74),"Inesgotável")</f>
        <v/>
      </c>
      <c r="AC72" s="2">
        <f>IF(Demand!AV91&gt;Retailers_Cap!O74,(W72/Retailers!Q73)/(Demand!AV91-Retailers_Cap!O74),"Inesgotável")</f>
        <v/>
      </c>
      <c r="AD72" s="2">
        <f>IF(Demand!AW91&gt;Retailers_Cap!P74,(X72/Retailers!R73)/(Demand!AW91-Retailers_Cap!P74),"Inesgotável")</f>
        <v/>
      </c>
      <c r="AG72" s="64" t="n">
        <v>78</v>
      </c>
      <c r="AH72" s="64">
        <f>Retailers!AJ73</f>
        <v/>
      </c>
      <c r="AI72" s="64">
        <f>Retailers!AK73</f>
        <v/>
      </c>
      <c r="AJ72" s="64">
        <f>Retailers!AL73</f>
        <v/>
      </c>
      <c r="AM72" s="64" t="n">
        <v>78</v>
      </c>
      <c r="AN72" s="2">
        <f>IF(P72&gt;0,IF(D72=0,"Big stock",AB72/AH72),"Inesgotável")</f>
        <v/>
      </c>
      <c r="AO72" s="2">
        <f>IF(Q72&gt;0,IF(E72=0,"Big stock",AC72/AI72),"Inesgotável")</f>
        <v/>
      </c>
      <c r="AP72" s="2">
        <f>IF(R72&gt;0,IF(F72=0,"Big stock",AD72/AJ72),"Inesgotável")</f>
        <v/>
      </c>
      <c r="AS72" s="64" t="n">
        <v>78</v>
      </c>
      <c r="AT72" s="2">
        <f>Retailers_Cap!BL74</f>
        <v/>
      </c>
      <c r="AU72" s="2">
        <f>Retailers_Cap!BM74</f>
        <v/>
      </c>
      <c r="AV72" s="2">
        <f>Retailers_Cap!BN74</f>
        <v/>
      </c>
      <c r="AY72" s="64" t="n">
        <v>78</v>
      </c>
      <c r="AZ72" s="2">
        <f>IF(D72=0,"no repl",AB72-AT72)</f>
        <v/>
      </c>
      <c r="BA72" s="2">
        <f>IF(E72=0,"no repl",AC72-AU72)</f>
        <v/>
      </c>
      <c r="BB72" s="2">
        <f>IF(F72=0,"no repl",AD72-AV72)</f>
        <v/>
      </c>
    </row>
    <row r="73">
      <c r="C73" s="64" t="n">
        <v>79</v>
      </c>
      <c r="D73" s="11" t="n">
        <v>0</v>
      </c>
      <c r="E73" s="11" t="n">
        <v>231174.6200864296</v>
      </c>
      <c r="F73" s="11" t="n">
        <v>0</v>
      </c>
      <c r="I73" s="64" t="n">
        <v>79</v>
      </c>
      <c r="J73" s="11" t="n">
        <v>87318.42</v>
      </c>
      <c r="K73" s="11" t="n">
        <v>41928.3</v>
      </c>
      <c r="L73" s="11" t="n">
        <v>107362.35</v>
      </c>
      <c r="O73" s="64" t="n">
        <v>79</v>
      </c>
      <c r="P73" s="11" t="n">
        <v>0</v>
      </c>
      <c r="Q73" s="11" t="n">
        <v>137208.7554625503</v>
      </c>
      <c r="R73" s="11" t="n">
        <v>0</v>
      </c>
      <c r="U73" s="64" t="n">
        <v>79</v>
      </c>
      <c r="V73" s="3">
        <f>J73-P73+D73</f>
        <v/>
      </c>
      <c r="W73" s="3">
        <f>K73-Q73+E73</f>
        <v/>
      </c>
      <c r="X73" s="3">
        <f>L73-R73+F73</f>
        <v/>
      </c>
      <c r="AA73" s="64" t="n">
        <v>79</v>
      </c>
      <c r="AB73" s="2">
        <f>IF(Demand!AU92&gt;Retailers_Cap!N75,(V73/Retailers!P74)/(Demand!AU92-Retailers_Cap!N75),"Inesgotável")</f>
        <v/>
      </c>
      <c r="AC73" s="2">
        <f>IF(Demand!AV92&gt;Retailers_Cap!O75,(W73/Retailers!Q74)/(Demand!AV92-Retailers_Cap!O75),"Inesgotável")</f>
        <v/>
      </c>
      <c r="AD73" s="2">
        <f>IF(Demand!AW92&gt;Retailers_Cap!P75,(X73/Retailers!R74)/(Demand!AW92-Retailers_Cap!P75),"Inesgotável")</f>
        <v/>
      </c>
      <c r="AG73" s="64" t="n">
        <v>79</v>
      </c>
      <c r="AH73" s="64">
        <f>Retailers!AJ74</f>
        <v/>
      </c>
      <c r="AI73" s="64">
        <f>Retailers!AK74</f>
        <v/>
      </c>
      <c r="AJ73" s="64">
        <f>Retailers!AL74</f>
        <v/>
      </c>
      <c r="AM73" s="64" t="n">
        <v>79</v>
      </c>
      <c r="AN73" s="2">
        <f>IF(P73&gt;0,IF(D73=0,"Big stock",AB73/AH73),"Inesgotável")</f>
        <v/>
      </c>
      <c r="AO73" s="2">
        <f>IF(Q73&gt;0,IF(E73=0,"Big stock",AC73/AI73),"Inesgotável")</f>
        <v/>
      </c>
      <c r="AP73" s="2">
        <f>IF(R73&gt;0,IF(F73=0,"Big stock",AD73/AJ73),"Inesgotável")</f>
        <v/>
      </c>
      <c r="AS73" s="64" t="n">
        <v>79</v>
      </c>
      <c r="AT73" s="2">
        <f>Retailers_Cap!BL75</f>
        <v/>
      </c>
      <c r="AU73" s="2">
        <f>Retailers_Cap!BM75</f>
        <v/>
      </c>
      <c r="AV73" s="2">
        <f>Retailers_Cap!BN75</f>
        <v/>
      </c>
      <c r="AY73" s="64" t="n">
        <v>79</v>
      </c>
      <c r="AZ73" s="2">
        <f>IF(D73=0,"no repl",AB73-AT73)</f>
        <v/>
      </c>
      <c r="BA73" s="2">
        <f>IF(E73=0,"no repl",AC73-AU73)</f>
        <v/>
      </c>
      <c r="BB73" s="2">
        <f>IF(F73=0,"no repl",AD73-AV73)</f>
        <v/>
      </c>
    </row>
    <row r="74">
      <c r="C74" s="64" t="n">
        <v>80</v>
      </c>
      <c r="D74" s="11" t="n">
        <v>0</v>
      </c>
      <c r="E74" s="11" t="n">
        <v>0</v>
      </c>
      <c r="F74" s="11" t="n">
        <v>222287.6453324261</v>
      </c>
      <c r="I74" s="64" t="n">
        <v>80</v>
      </c>
      <c r="J74" s="11" t="n">
        <v>49843.07999999999</v>
      </c>
      <c r="K74" s="11" t="n">
        <v>50927.58</v>
      </c>
      <c r="L74" s="11" t="n">
        <v>38262.77</v>
      </c>
      <c r="O74" s="64" t="n">
        <v>80</v>
      </c>
      <c r="P74" s="11" t="n">
        <v>0</v>
      </c>
      <c r="Q74" s="11" t="n">
        <v>0</v>
      </c>
      <c r="R74" s="11" t="n">
        <v>128542.1303931724</v>
      </c>
      <c r="U74" s="64" t="n">
        <v>80</v>
      </c>
      <c r="V74" s="3">
        <f>J74-P74+D74</f>
        <v/>
      </c>
      <c r="W74" s="3">
        <f>K74-Q74+E74</f>
        <v/>
      </c>
      <c r="X74" s="3">
        <f>L74-R74+F74</f>
        <v/>
      </c>
      <c r="AA74" s="64" t="n">
        <v>80</v>
      </c>
      <c r="AB74" s="2">
        <f>IF(Demand!AU93&gt;Retailers_Cap!N76,(V74/Retailers!P75)/(Demand!AU93-Retailers_Cap!N76),"Inesgotável")</f>
        <v/>
      </c>
      <c r="AC74" s="2">
        <f>IF(Demand!AV93&gt;Retailers_Cap!O76,(W74/Retailers!Q75)/(Demand!AV93-Retailers_Cap!O76),"Inesgotável")</f>
        <v/>
      </c>
      <c r="AD74" s="2">
        <f>IF(Demand!AW93&gt;Retailers_Cap!P76,(X74/Retailers!R75)/(Demand!AW93-Retailers_Cap!P76),"Inesgotável")</f>
        <v/>
      </c>
      <c r="AG74" s="64" t="n">
        <v>80</v>
      </c>
      <c r="AH74" s="64">
        <f>Retailers!AJ75</f>
        <v/>
      </c>
      <c r="AI74" s="64">
        <f>Retailers!AK75</f>
        <v/>
      </c>
      <c r="AJ74" s="64">
        <f>Retailers!AL75</f>
        <v/>
      </c>
      <c r="AM74" s="64" t="n">
        <v>80</v>
      </c>
      <c r="AN74" s="2">
        <f>IF(P74&gt;0,IF(D74=0,"Big stock",AB74/AH74),"Inesgotável")</f>
        <v/>
      </c>
      <c r="AO74" s="2">
        <f>IF(Q74&gt;0,IF(E74=0,"Big stock",AC74/AI74),"Inesgotável")</f>
        <v/>
      </c>
      <c r="AP74" s="2">
        <f>IF(R74&gt;0,IF(F74=0,"Big stock",AD74/AJ74),"Inesgotável")</f>
        <v/>
      </c>
      <c r="AS74" s="64" t="n">
        <v>80</v>
      </c>
      <c r="AT74" s="2">
        <f>Retailers_Cap!BL76</f>
        <v/>
      </c>
      <c r="AU74" s="2">
        <f>Retailers_Cap!BM76</f>
        <v/>
      </c>
      <c r="AV74" s="2">
        <f>Retailers_Cap!BN76</f>
        <v/>
      </c>
      <c r="AY74" s="64" t="n">
        <v>80</v>
      </c>
      <c r="AZ74" s="2">
        <f>IF(D74=0,"no repl",AB74-AT74)</f>
        <v/>
      </c>
      <c r="BA74" s="2">
        <f>IF(E74=0,"no repl",AC74-AU74)</f>
        <v/>
      </c>
      <c r="BB74" s="2">
        <f>IF(F74=0,"no repl",AD74-AV74)</f>
        <v/>
      </c>
    </row>
    <row r="75">
      <c r="C75" s="64" t="n">
        <v>81</v>
      </c>
      <c r="D75" s="11" t="n">
        <v>0</v>
      </c>
      <c r="E75" s="11" t="n">
        <v>0</v>
      </c>
      <c r="F75" s="11" t="n">
        <v>0</v>
      </c>
      <c r="I75" s="64" t="n">
        <v>81</v>
      </c>
      <c r="J75" s="11" t="n">
        <v>192243.24</v>
      </c>
      <c r="K75" s="11" t="n">
        <v>87729.17999999999</v>
      </c>
      <c r="L75" s="11" t="n">
        <v>92663.77</v>
      </c>
      <c r="O75" s="64" t="n">
        <v>81</v>
      </c>
      <c r="P75" s="11" t="n">
        <v>0</v>
      </c>
      <c r="Q75" s="11" t="n">
        <v>0</v>
      </c>
      <c r="R75" s="11" t="n">
        <v>18281.19281906073</v>
      </c>
      <c r="U75" s="64" t="n">
        <v>81</v>
      </c>
      <c r="V75" s="3">
        <f>J75-P75+D75</f>
        <v/>
      </c>
      <c r="W75" s="3">
        <f>K75-Q75+E75</f>
        <v/>
      </c>
      <c r="X75" s="3">
        <f>L75-R75+F75</f>
        <v/>
      </c>
      <c r="AA75" s="64" t="n">
        <v>81</v>
      </c>
      <c r="AB75" s="2">
        <f>IF(Demand!AU94&gt;Retailers_Cap!N77,(V75/Retailers!P76)/(Demand!AU94-Retailers_Cap!N77),"Inesgotável")</f>
        <v/>
      </c>
      <c r="AC75" s="2">
        <f>IF(Demand!AV94&gt;Retailers_Cap!O77,(W75/Retailers!Q76)/(Demand!AV94-Retailers_Cap!O77),"Inesgotável")</f>
        <v/>
      </c>
      <c r="AD75" s="2">
        <f>IF(Demand!AW94&gt;Retailers_Cap!P77,(X75/Retailers!R76)/(Demand!AW94-Retailers_Cap!P77),"Inesgotável")</f>
        <v/>
      </c>
      <c r="AG75" s="64" t="n">
        <v>81</v>
      </c>
      <c r="AH75" s="64">
        <f>Retailers!AJ76</f>
        <v/>
      </c>
      <c r="AI75" s="64">
        <f>Retailers!AK76</f>
        <v/>
      </c>
      <c r="AJ75" s="64">
        <f>Retailers!AL76</f>
        <v/>
      </c>
      <c r="AM75" s="64" t="n">
        <v>81</v>
      </c>
      <c r="AN75" s="2">
        <f>IF(P75&gt;0,IF(D75=0,"Big stock",AB75/AH75),"Inesgotável")</f>
        <v/>
      </c>
      <c r="AO75" s="2">
        <f>IF(Q75&gt;0,IF(E75=0,"Big stock",AC75/AI75),"Inesgotável")</f>
        <v/>
      </c>
      <c r="AP75" s="2">
        <f>IF(R75&gt;0,IF(F75=0,"Big stock",AD75/AJ75),"Inesgotável")</f>
        <v/>
      </c>
      <c r="AS75" s="64" t="n">
        <v>81</v>
      </c>
      <c r="AT75" s="2">
        <f>Retailers_Cap!BL77</f>
        <v/>
      </c>
      <c r="AU75" s="2">
        <f>Retailers_Cap!BM77</f>
        <v/>
      </c>
      <c r="AV75" s="2">
        <f>Retailers_Cap!BN77</f>
        <v/>
      </c>
      <c r="AY75" s="64" t="n">
        <v>81</v>
      </c>
      <c r="AZ75" s="2">
        <f>IF(D75=0,"no repl",AB75-AT75)</f>
        <v/>
      </c>
      <c r="BA75" s="2">
        <f>IF(E75=0,"no repl",AC75-AU75)</f>
        <v/>
      </c>
      <c r="BB75" s="2">
        <f>IF(F75=0,"no repl",AD75-AV75)</f>
        <v/>
      </c>
    </row>
    <row r="76">
      <c r="C76" s="64" t="n">
        <v>82</v>
      </c>
      <c r="D76" s="11" t="n">
        <v>0</v>
      </c>
      <c r="E76" s="11" t="n">
        <v>0</v>
      </c>
      <c r="F76" s="11" t="n">
        <v>0</v>
      </c>
      <c r="I76" s="64" t="n">
        <v>82</v>
      </c>
      <c r="J76" s="11" t="n">
        <v>41007.89</v>
      </c>
      <c r="K76" s="11" t="n">
        <v>35587.08</v>
      </c>
      <c r="L76" s="11" t="n">
        <v>15998.25</v>
      </c>
      <c r="O76" s="64" t="n">
        <v>82</v>
      </c>
      <c r="P76" s="11" t="n">
        <v>0</v>
      </c>
      <c r="Q76" s="11" t="n">
        <v>0</v>
      </c>
      <c r="R76" s="11" t="n">
        <v>0</v>
      </c>
      <c r="U76" s="64" t="n">
        <v>82</v>
      </c>
      <c r="V76" s="3">
        <f>J76-P76+D76</f>
        <v/>
      </c>
      <c r="W76" s="3">
        <f>K76-Q76+E76</f>
        <v/>
      </c>
      <c r="X76" s="3">
        <f>L76-R76+F76</f>
        <v/>
      </c>
      <c r="AA76" s="64" t="n">
        <v>82</v>
      </c>
      <c r="AB76" s="2">
        <f>IF(Demand!AU95&gt;Retailers_Cap!N78,(V76/Retailers!P77)/(Demand!AU95-Retailers_Cap!N78),"Inesgotável")</f>
        <v/>
      </c>
      <c r="AC76" s="2">
        <f>IF(Demand!AV95&gt;Retailers_Cap!O78,(W76/Retailers!Q77)/(Demand!AV95-Retailers_Cap!O78),"Inesgotável")</f>
        <v/>
      </c>
      <c r="AD76" s="2">
        <f>IF(Demand!AW95&gt;Retailers_Cap!P78,(X76/Retailers!R77)/(Demand!AW95-Retailers_Cap!P78),"Inesgotável")</f>
        <v/>
      </c>
      <c r="AG76" s="64" t="n">
        <v>82</v>
      </c>
      <c r="AH76" s="64">
        <f>Retailers!AJ77</f>
        <v/>
      </c>
      <c r="AI76" s="64">
        <f>Retailers!AK77</f>
        <v/>
      </c>
      <c r="AJ76" s="64">
        <f>Retailers!AL77</f>
        <v/>
      </c>
      <c r="AM76" s="64" t="n">
        <v>82</v>
      </c>
      <c r="AN76" s="2">
        <f>IF(P76&gt;0,IF(D76=0,"Big stock",AB76/AH76),"Inesgotável")</f>
        <v/>
      </c>
      <c r="AO76" s="2">
        <f>IF(Q76&gt;0,IF(E76=0,"Big stock",AC76/AI76),"Inesgotável")</f>
        <v/>
      </c>
      <c r="AP76" s="2">
        <f>IF(R76&gt;0,IF(F76=0,"Big stock",AD76/AJ76),"Inesgotável")</f>
        <v/>
      </c>
      <c r="AS76" s="64" t="n">
        <v>82</v>
      </c>
      <c r="AT76" s="2">
        <f>Retailers_Cap!BL78</f>
        <v/>
      </c>
      <c r="AU76" s="2">
        <f>Retailers_Cap!BM78</f>
        <v/>
      </c>
      <c r="AV76" s="2">
        <f>Retailers_Cap!BN78</f>
        <v/>
      </c>
      <c r="AY76" s="64" t="n">
        <v>82</v>
      </c>
      <c r="AZ76" s="2">
        <f>IF(D76=0,"no repl",AB76-AT76)</f>
        <v/>
      </c>
      <c r="BA76" s="2">
        <f>IF(E76=0,"no repl",AC76-AU76)</f>
        <v/>
      </c>
      <c r="BB76" s="2">
        <f>IF(F76=0,"no repl",AD76-AV76)</f>
        <v/>
      </c>
    </row>
    <row r="77">
      <c r="C77" s="64" t="n">
        <v>83</v>
      </c>
      <c r="D77" s="11" t="n">
        <v>149128.1248143724</v>
      </c>
      <c r="E77" s="11" t="n">
        <v>0</v>
      </c>
      <c r="F77" s="11" t="n">
        <v>0</v>
      </c>
      <c r="I77" s="64" t="n">
        <v>83</v>
      </c>
      <c r="J77" s="11" t="n">
        <v>85127.23999999999</v>
      </c>
      <c r="K77" s="11" t="n">
        <v>43406.95</v>
      </c>
      <c r="L77" s="11" t="n">
        <v>9744.84</v>
      </c>
      <c r="O77" s="64" t="n">
        <v>83</v>
      </c>
      <c r="P77" s="11" t="n">
        <v>90028.23586520145</v>
      </c>
      <c r="Q77" s="11" t="n">
        <v>0</v>
      </c>
      <c r="R77" s="11" t="n">
        <v>0</v>
      </c>
      <c r="U77" s="64" t="n">
        <v>83</v>
      </c>
      <c r="V77" s="3">
        <f>J77-P77+D77</f>
        <v/>
      </c>
      <c r="W77" s="3">
        <f>K77-Q77+E77</f>
        <v/>
      </c>
      <c r="X77" s="3">
        <f>L77-R77+F77</f>
        <v/>
      </c>
      <c r="AA77" s="64" t="n">
        <v>83</v>
      </c>
      <c r="AB77" s="2">
        <f>IF(Demand!AU96&gt;Retailers_Cap!N79,(V77/Retailers!P78)/(Demand!AU96-Retailers_Cap!N79),"Inesgotável")</f>
        <v/>
      </c>
      <c r="AC77" s="2">
        <f>IF(Demand!AV96&gt;Retailers_Cap!O79,(W77/Retailers!Q78)/(Demand!AV96-Retailers_Cap!O79),"Inesgotável")</f>
        <v/>
      </c>
      <c r="AD77" s="2">
        <f>IF(Demand!AW96&gt;Retailers_Cap!P79,(X77/Retailers!R78)/(Demand!AW96-Retailers_Cap!P79),"Inesgotável")</f>
        <v/>
      </c>
      <c r="AG77" s="64" t="n">
        <v>83</v>
      </c>
      <c r="AH77" s="64">
        <f>Retailers!AJ78</f>
        <v/>
      </c>
      <c r="AI77" s="64">
        <f>Retailers!AK78</f>
        <v/>
      </c>
      <c r="AJ77" s="64">
        <f>Retailers!AL78</f>
        <v/>
      </c>
      <c r="AM77" s="64" t="n">
        <v>83</v>
      </c>
      <c r="AN77" s="2">
        <f>IF(P77&gt;0,IF(D77=0,"Big stock",AB77/AH77),"Inesgotável")</f>
        <v/>
      </c>
      <c r="AO77" s="2">
        <f>IF(Q77&gt;0,IF(E77=0,"Big stock",AC77/AI77),"Inesgotável")</f>
        <v/>
      </c>
      <c r="AP77" s="2">
        <f>IF(R77&gt;0,IF(F77=0,"Big stock",AD77/AJ77),"Inesgotável")</f>
        <v/>
      </c>
      <c r="AS77" s="64" t="n">
        <v>83</v>
      </c>
      <c r="AT77" s="2">
        <f>Retailers_Cap!BL79</f>
        <v/>
      </c>
      <c r="AU77" s="2">
        <f>Retailers_Cap!BM79</f>
        <v/>
      </c>
      <c r="AV77" s="2">
        <f>Retailers_Cap!BN79</f>
        <v/>
      </c>
      <c r="AY77" s="64" t="n">
        <v>83</v>
      </c>
      <c r="AZ77" s="2">
        <f>IF(D77=0,"no repl",AB77-AT77)</f>
        <v/>
      </c>
      <c r="BA77" s="2">
        <f>IF(E77=0,"no repl",AC77-AU77)</f>
        <v/>
      </c>
      <c r="BB77" s="2">
        <f>IF(F77=0,"no repl",AD77-AV77)</f>
        <v/>
      </c>
    </row>
    <row r="78">
      <c r="C78" s="64" t="n">
        <v>84</v>
      </c>
      <c r="D78" s="11" t="n">
        <v>415965.7235867298</v>
      </c>
      <c r="E78" s="11" t="n">
        <v>26361.24687787456</v>
      </c>
      <c r="F78" s="11" t="n">
        <v>60377.40021764253</v>
      </c>
      <c r="I78" s="64" t="n">
        <v>84</v>
      </c>
      <c r="J78" s="11" t="n">
        <v>52875.72</v>
      </c>
      <c r="K78" s="11" t="n">
        <v>16206.05</v>
      </c>
      <c r="L78" s="11" t="n">
        <v>55689.89999999999</v>
      </c>
      <c r="O78" s="64" t="n">
        <v>84</v>
      </c>
      <c r="P78" s="11" t="n">
        <v>243370.7030154362</v>
      </c>
      <c r="Q78" s="11" t="n">
        <v>15173.16760043387</v>
      </c>
      <c r="R78" s="11" t="n">
        <v>35941.51250901035</v>
      </c>
      <c r="U78" s="64" t="n">
        <v>84</v>
      </c>
      <c r="V78" s="3">
        <f>J78-P78+D78</f>
        <v/>
      </c>
      <c r="W78" s="3">
        <f>K78-Q78+E78</f>
        <v/>
      </c>
      <c r="X78" s="3">
        <f>L78-R78+F78</f>
        <v/>
      </c>
      <c r="AA78" s="64" t="n">
        <v>84</v>
      </c>
      <c r="AB78" s="2">
        <f>IF(Demand!AU97&gt;Retailers_Cap!N80,(V78/Retailers!P79)/(Demand!AU97-Retailers_Cap!N80),"Inesgotável")</f>
        <v/>
      </c>
      <c r="AC78" s="2">
        <f>IF(Demand!AV97&gt;Retailers_Cap!O80,(W78/Retailers!Q79)/(Demand!AV97-Retailers_Cap!O80),"Inesgotável")</f>
        <v/>
      </c>
      <c r="AD78" s="2">
        <f>IF(Demand!AW97&gt;Retailers_Cap!P80,(X78/Retailers!R79)/(Demand!AW97-Retailers_Cap!P80),"Inesgotável")</f>
        <v/>
      </c>
      <c r="AG78" s="64" t="n">
        <v>84</v>
      </c>
      <c r="AH78" s="64">
        <f>Retailers!AJ79</f>
        <v/>
      </c>
      <c r="AI78" s="64">
        <f>Retailers!AK79</f>
        <v/>
      </c>
      <c r="AJ78" s="64">
        <f>Retailers!AL79</f>
        <v/>
      </c>
      <c r="AM78" s="64" t="n">
        <v>84</v>
      </c>
      <c r="AN78" s="2">
        <f>IF(P78&gt;0,IF(D78=0,"Big stock",AB78/AH78),"Inesgotável")</f>
        <v/>
      </c>
      <c r="AO78" s="2">
        <f>IF(Q78&gt;0,IF(E78=0,"Big stock",AC78/AI78),"Inesgotável")</f>
        <v/>
      </c>
      <c r="AP78" s="2">
        <f>IF(R78&gt;0,IF(F78=0,"Big stock",AD78/AJ78),"Inesgotável")</f>
        <v/>
      </c>
      <c r="AS78" s="64" t="n">
        <v>84</v>
      </c>
      <c r="AT78" s="2">
        <f>Retailers_Cap!BL80</f>
        <v/>
      </c>
      <c r="AU78" s="2">
        <f>Retailers_Cap!BM80</f>
        <v/>
      </c>
      <c r="AV78" s="2">
        <f>Retailers_Cap!BN80</f>
        <v/>
      </c>
      <c r="AY78" s="64" t="n">
        <v>84</v>
      </c>
      <c r="AZ78" s="2">
        <f>IF(D78=0,"no repl",AB78-AT78)</f>
        <v/>
      </c>
      <c r="BA78" s="2">
        <f>IF(E78=0,"no repl",AC78-AU78)</f>
        <v/>
      </c>
      <c r="BB78" s="2">
        <f>IF(F78=0,"no repl",AD78-AV78)</f>
        <v/>
      </c>
    </row>
    <row r="79">
      <c r="C79" s="64" t="n">
        <v>85</v>
      </c>
      <c r="D79" s="11" t="n">
        <v>257106.1128970996</v>
      </c>
      <c r="E79" s="11" t="n">
        <v>21439.20625978241</v>
      </c>
      <c r="F79" s="11" t="n">
        <v>518263.2109646184</v>
      </c>
      <c r="I79" s="64" t="n">
        <v>85</v>
      </c>
      <c r="J79" s="11" t="n">
        <v>15330.96</v>
      </c>
      <c r="K79" s="11" t="n">
        <v>21390.99</v>
      </c>
      <c r="L79" s="11" t="n">
        <v>68974.2</v>
      </c>
      <c r="O79" s="64" t="n">
        <v>85</v>
      </c>
      <c r="P79" s="11" t="n">
        <v>168360.3030579331</v>
      </c>
      <c r="Q79" s="11" t="n">
        <v>11511.98333656924</v>
      </c>
      <c r="R79" s="11" t="n">
        <v>301163.5355504521</v>
      </c>
      <c r="U79" s="64" t="n">
        <v>85</v>
      </c>
      <c r="V79" s="3">
        <f>J79-P79+D79</f>
        <v/>
      </c>
      <c r="W79" s="3">
        <f>K79-Q79+E79</f>
        <v/>
      </c>
      <c r="X79" s="3">
        <f>L79-R79+F79</f>
        <v/>
      </c>
      <c r="AA79" s="64" t="n">
        <v>85</v>
      </c>
      <c r="AB79" s="2">
        <f>IF(Demand!AU98&gt;Retailers_Cap!N81,(V79/Retailers!P80)/(Demand!AU98-Retailers_Cap!N81),"Inesgotável")</f>
        <v/>
      </c>
      <c r="AC79" s="2">
        <f>IF(Demand!AV98&gt;Retailers_Cap!O81,(W79/Retailers!Q80)/(Demand!AV98-Retailers_Cap!O81),"Inesgotável")</f>
        <v/>
      </c>
      <c r="AD79" s="2">
        <f>IF(Demand!AW98&gt;Retailers_Cap!P81,(X79/Retailers!R80)/(Demand!AW98-Retailers_Cap!P81),"Inesgotável")</f>
        <v/>
      </c>
      <c r="AG79" s="64" t="n">
        <v>85</v>
      </c>
      <c r="AH79" s="64">
        <f>Retailers!AJ80</f>
        <v/>
      </c>
      <c r="AI79" s="64">
        <f>Retailers!AK80</f>
        <v/>
      </c>
      <c r="AJ79" s="64">
        <f>Retailers!AL80</f>
        <v/>
      </c>
      <c r="AM79" s="64" t="n">
        <v>85</v>
      </c>
      <c r="AN79" s="2">
        <f>IF(P79&gt;0,IF(D79=0,"Big stock",AB79/AH79),"Inesgotável")</f>
        <v/>
      </c>
      <c r="AO79" s="2">
        <f>IF(Q79&gt;0,IF(E79=0,"Big stock",AC79/AI79),"Inesgotável")</f>
        <v/>
      </c>
      <c r="AP79" s="2">
        <f>IF(R79&gt;0,IF(F79=0,"Big stock",AD79/AJ79),"Inesgotável")</f>
        <v/>
      </c>
      <c r="AS79" s="64" t="n">
        <v>85</v>
      </c>
      <c r="AT79" s="2">
        <f>Retailers_Cap!BL81</f>
        <v/>
      </c>
      <c r="AU79" s="2">
        <f>Retailers_Cap!BM81</f>
        <v/>
      </c>
      <c r="AV79" s="2">
        <f>Retailers_Cap!BN81</f>
        <v/>
      </c>
      <c r="AY79" s="64" t="n">
        <v>85</v>
      </c>
      <c r="AZ79" s="2">
        <f>IF(D79=0,"no repl",AB79-AT79)</f>
        <v/>
      </c>
      <c r="BA79" s="2">
        <f>IF(E79=0,"no repl",AC79-AU79)</f>
        <v/>
      </c>
      <c r="BB79" s="2">
        <f>IF(F79=0,"no repl",AD79-AV79)</f>
        <v/>
      </c>
    </row>
    <row r="80">
      <c r="C80" s="64" t="n">
        <v>86</v>
      </c>
      <c r="D80" s="11" t="n">
        <v>0</v>
      </c>
      <c r="E80" s="11" t="n">
        <v>0</v>
      </c>
      <c r="F80" s="11" t="n">
        <v>0</v>
      </c>
      <c r="I80" s="64" t="n">
        <v>86</v>
      </c>
      <c r="J80" s="11" t="n">
        <v>60857.5</v>
      </c>
      <c r="K80" s="11" t="n">
        <v>59126.85</v>
      </c>
      <c r="L80" s="11" t="n">
        <v>94242.08</v>
      </c>
      <c r="O80" s="64" t="n">
        <v>86</v>
      </c>
      <c r="P80" s="11" t="n">
        <v>0</v>
      </c>
      <c r="Q80" s="11" t="n">
        <v>0</v>
      </c>
      <c r="R80" s="11" t="n">
        <v>0</v>
      </c>
      <c r="U80" s="64" t="n">
        <v>86</v>
      </c>
      <c r="V80" s="3">
        <f>J80-P80+D80</f>
        <v/>
      </c>
      <c r="W80" s="3">
        <f>K80-Q80+E80</f>
        <v/>
      </c>
      <c r="X80" s="3">
        <f>L80-R80+F80</f>
        <v/>
      </c>
      <c r="AA80" s="64" t="n">
        <v>86</v>
      </c>
      <c r="AB80" s="2">
        <f>IF(Demand!AU99&gt;Retailers_Cap!N82,(V80/Retailers!P81)/(Demand!AU99-Retailers_Cap!N82),"Inesgotável")</f>
        <v/>
      </c>
      <c r="AC80" s="2">
        <f>IF(Demand!AV99&gt;Retailers_Cap!O82,(W80/Retailers!Q81)/(Demand!AV99-Retailers_Cap!O82),"Inesgotável")</f>
        <v/>
      </c>
      <c r="AD80" s="2">
        <f>IF(Demand!AW99&gt;Retailers_Cap!P82,(X80/Retailers!R81)/(Demand!AW99-Retailers_Cap!P82),"Inesgotável")</f>
        <v/>
      </c>
      <c r="AG80" s="64" t="n">
        <v>86</v>
      </c>
      <c r="AH80" s="64">
        <f>Retailers!AJ81</f>
        <v/>
      </c>
      <c r="AI80" s="64">
        <f>Retailers!AK81</f>
        <v/>
      </c>
      <c r="AJ80" s="64">
        <f>Retailers!AL81</f>
        <v/>
      </c>
      <c r="AM80" s="64" t="n">
        <v>86</v>
      </c>
      <c r="AN80" s="2">
        <f>IF(P80&gt;0,IF(D80=0,"Big stock",AB80/AH80),"Inesgotável")</f>
        <v/>
      </c>
      <c r="AO80" s="2">
        <f>IF(Q80&gt;0,IF(E80=0,"Big stock",AC80/AI80),"Inesgotável")</f>
        <v/>
      </c>
      <c r="AP80" s="2">
        <f>IF(R80&gt;0,IF(F80=0,"Big stock",AD80/AJ80),"Inesgotável")</f>
        <v/>
      </c>
      <c r="AS80" s="64" t="n">
        <v>86</v>
      </c>
      <c r="AT80" s="2">
        <f>Retailers_Cap!BL82</f>
        <v/>
      </c>
      <c r="AU80" s="2">
        <f>Retailers_Cap!BM82</f>
        <v/>
      </c>
      <c r="AV80" s="2">
        <f>Retailers_Cap!BN82</f>
        <v/>
      </c>
      <c r="AY80" s="64" t="n">
        <v>86</v>
      </c>
      <c r="AZ80" s="2">
        <f>IF(D80=0,"no repl",AB80-AT80)</f>
        <v/>
      </c>
      <c r="BA80" s="2">
        <f>IF(E80=0,"no repl",AC80-AU80)</f>
        <v/>
      </c>
      <c r="BB80" s="2">
        <f>IF(F80=0,"no repl",AD80-AV80)</f>
        <v/>
      </c>
    </row>
    <row r="81">
      <c r="C81" s="64" t="n">
        <v>87</v>
      </c>
      <c r="D81" s="11" t="n">
        <v>0</v>
      </c>
      <c r="E81" s="11" t="n">
        <v>107897.5031084999</v>
      </c>
      <c r="F81" s="11" t="n">
        <v>326908.7498687613</v>
      </c>
      <c r="I81" s="64" t="n">
        <v>87</v>
      </c>
      <c r="J81" s="11" t="n">
        <v>30963.54</v>
      </c>
      <c r="K81" s="11" t="n">
        <v>16871.94</v>
      </c>
      <c r="L81" s="11" t="n">
        <v>29299.8</v>
      </c>
      <c r="O81" s="64" t="n">
        <v>87</v>
      </c>
      <c r="P81" s="11" t="n">
        <v>0</v>
      </c>
      <c r="Q81" s="11" t="n">
        <v>64699.28268385938</v>
      </c>
      <c r="R81" s="11" t="n">
        <v>199461.1558373756</v>
      </c>
      <c r="U81" s="64" t="n">
        <v>87</v>
      </c>
      <c r="V81" s="3">
        <f>J81-P81+D81</f>
        <v/>
      </c>
      <c r="W81" s="3">
        <f>K81-Q81+E81</f>
        <v/>
      </c>
      <c r="X81" s="3">
        <f>L81-R81+F81</f>
        <v/>
      </c>
      <c r="AA81" s="64" t="n">
        <v>87</v>
      </c>
      <c r="AB81" s="2">
        <f>IF(Demand!AU100&gt;Retailers_Cap!N83,(V81/Retailers!P82)/(Demand!AU100-Retailers_Cap!N83),"Inesgotável")</f>
        <v/>
      </c>
      <c r="AC81" s="2">
        <f>IF(Demand!AV100&gt;Retailers_Cap!O83,(W81/Retailers!Q82)/(Demand!AV100-Retailers_Cap!O83),"Inesgotável")</f>
        <v/>
      </c>
      <c r="AD81" s="2">
        <f>IF(Demand!AW100&gt;Retailers_Cap!P83,(X81/Retailers!R82)/(Demand!AW100-Retailers_Cap!P83),"Inesgotável")</f>
        <v/>
      </c>
      <c r="AG81" s="64" t="n">
        <v>87</v>
      </c>
      <c r="AH81" s="64">
        <f>Retailers!AJ82</f>
        <v/>
      </c>
      <c r="AI81" s="64">
        <f>Retailers!AK82</f>
        <v/>
      </c>
      <c r="AJ81" s="64">
        <f>Retailers!AL82</f>
        <v/>
      </c>
      <c r="AM81" s="64" t="n">
        <v>87</v>
      </c>
      <c r="AN81" s="2">
        <f>IF(P81&gt;0,IF(D81=0,"Big stock",AB81/AH81),"Inesgotável")</f>
        <v/>
      </c>
      <c r="AO81" s="2">
        <f>IF(Q81&gt;0,IF(E81=0,"Big stock",AC81/AI81),"Inesgotável")</f>
        <v/>
      </c>
      <c r="AP81" s="2">
        <f>IF(R81&gt;0,IF(F81=0,"Big stock",AD81/AJ81),"Inesgotável")</f>
        <v/>
      </c>
      <c r="AS81" s="64" t="n">
        <v>87</v>
      </c>
      <c r="AT81" s="2">
        <f>Retailers_Cap!BL83</f>
        <v/>
      </c>
      <c r="AU81" s="2">
        <f>Retailers_Cap!BM83</f>
        <v/>
      </c>
      <c r="AV81" s="2">
        <f>Retailers_Cap!BN83</f>
        <v/>
      </c>
      <c r="AY81" s="64" t="n">
        <v>87</v>
      </c>
      <c r="AZ81" s="2">
        <f>IF(D81=0,"no repl",AB81-AT81)</f>
        <v/>
      </c>
      <c r="BA81" s="2">
        <f>IF(E81=0,"no repl",AC81-AU81)</f>
        <v/>
      </c>
      <c r="BB81" s="2">
        <f>IF(F81=0,"no repl",AD81-AV81)</f>
        <v/>
      </c>
    </row>
    <row r="82">
      <c r="C82" s="64" t="n">
        <v>88</v>
      </c>
      <c r="D82" s="11" t="n">
        <v>0</v>
      </c>
      <c r="E82" s="11" t="n">
        <v>0</v>
      </c>
      <c r="F82" s="11" t="n">
        <v>0</v>
      </c>
      <c r="I82" s="64" t="n">
        <v>88</v>
      </c>
      <c r="J82" s="11" t="n">
        <v>54481.5</v>
      </c>
      <c r="K82" s="11" t="n">
        <v>65509.42999999999</v>
      </c>
      <c r="L82" s="11" t="n">
        <v>40815.84</v>
      </c>
      <c r="O82" s="64" t="n">
        <v>88</v>
      </c>
      <c r="P82" s="11" t="n">
        <v>21496.035348655</v>
      </c>
      <c r="Q82" s="11" t="n">
        <v>0</v>
      </c>
      <c r="R82" s="11" t="n">
        <v>0</v>
      </c>
      <c r="U82" s="64" t="n">
        <v>88</v>
      </c>
      <c r="V82" s="3">
        <f>J82-P82+D82</f>
        <v/>
      </c>
      <c r="W82" s="3">
        <f>K82-Q82+E82</f>
        <v/>
      </c>
      <c r="X82" s="3">
        <f>L82-R82+F82</f>
        <v/>
      </c>
      <c r="AA82" s="64" t="n">
        <v>88</v>
      </c>
      <c r="AB82" s="2">
        <f>IF(Demand!AU101&gt;Retailers_Cap!N84,(V82/Retailers!P83)/(Demand!AU101-Retailers_Cap!N84),"Inesgotável")</f>
        <v/>
      </c>
      <c r="AC82" s="2">
        <f>IF(Demand!AV101&gt;Retailers_Cap!O84,(W82/Retailers!Q83)/(Demand!AV101-Retailers_Cap!O84),"Inesgotável")</f>
        <v/>
      </c>
      <c r="AD82" s="2">
        <f>IF(Demand!AW101&gt;Retailers_Cap!P84,(X82/Retailers!R83)/(Demand!AW101-Retailers_Cap!P84),"Inesgotável")</f>
        <v/>
      </c>
      <c r="AG82" s="64" t="n">
        <v>88</v>
      </c>
      <c r="AH82" s="64">
        <f>Retailers!AJ83</f>
        <v/>
      </c>
      <c r="AI82" s="64">
        <f>Retailers!AK83</f>
        <v/>
      </c>
      <c r="AJ82" s="64">
        <f>Retailers!AL83</f>
        <v/>
      </c>
      <c r="AM82" s="64" t="n">
        <v>88</v>
      </c>
      <c r="AN82" s="2">
        <f>IF(P82&gt;0,IF(D82=0,"Big stock",AB82/AH82),"Inesgotável")</f>
        <v/>
      </c>
      <c r="AO82" s="2">
        <f>IF(Q82&gt;0,IF(E82=0,"Big stock",AC82/AI82),"Inesgotável")</f>
        <v/>
      </c>
      <c r="AP82" s="2">
        <f>IF(R82&gt;0,IF(F82=0,"Big stock",AD82/AJ82),"Inesgotável")</f>
        <v/>
      </c>
      <c r="AS82" s="64" t="n">
        <v>88</v>
      </c>
      <c r="AT82" s="2">
        <f>Retailers_Cap!BL84</f>
        <v/>
      </c>
      <c r="AU82" s="2">
        <f>Retailers_Cap!BM84</f>
        <v/>
      </c>
      <c r="AV82" s="2">
        <f>Retailers_Cap!BN84</f>
        <v/>
      </c>
      <c r="AY82" s="64" t="n">
        <v>88</v>
      </c>
      <c r="AZ82" s="2">
        <f>IF(D82=0,"no repl",AB82-AT82)</f>
        <v/>
      </c>
      <c r="BA82" s="2">
        <f>IF(E82=0,"no repl",AC82-AU82)</f>
        <v/>
      </c>
      <c r="BB82" s="2">
        <f>IF(F82=0,"no repl",AD82-AV82)</f>
        <v/>
      </c>
    </row>
    <row r="83">
      <c r="C83" s="64" t="n">
        <v>89</v>
      </c>
      <c r="D83" s="11" t="n">
        <v>243288.3283740577</v>
      </c>
      <c r="E83" s="11" t="n">
        <v>0</v>
      </c>
      <c r="F83" s="11" t="n">
        <v>0</v>
      </c>
      <c r="I83" s="64" t="n">
        <v>89</v>
      </c>
      <c r="J83" s="11" t="n">
        <v>9400.610000000001</v>
      </c>
      <c r="K83" s="11" t="n">
        <v>104889.6</v>
      </c>
      <c r="L83" s="11" t="n">
        <v>69380.96000000001</v>
      </c>
      <c r="O83" s="64" t="n">
        <v>89</v>
      </c>
      <c r="P83" s="11" t="n">
        <v>144813.0470599349</v>
      </c>
      <c r="Q83" s="11" t="n">
        <v>49877.8454771551</v>
      </c>
      <c r="R83" s="11" t="n">
        <v>0</v>
      </c>
      <c r="U83" s="64" t="n">
        <v>89</v>
      </c>
      <c r="V83" s="3">
        <f>J83-P83+D83</f>
        <v/>
      </c>
      <c r="W83" s="3">
        <f>K83-Q83+E83</f>
        <v/>
      </c>
      <c r="X83" s="3">
        <f>L83-R83+F83</f>
        <v/>
      </c>
      <c r="AA83" s="64" t="n">
        <v>89</v>
      </c>
      <c r="AB83" s="2">
        <f>IF(Demand!AU102&gt;Retailers_Cap!N85,(V83/Retailers!P84)/(Demand!AU102-Retailers_Cap!N85),"Inesgotável")</f>
        <v/>
      </c>
      <c r="AC83" s="2">
        <f>IF(Demand!AV102&gt;Retailers_Cap!O85,(W83/Retailers!Q84)/(Demand!AV102-Retailers_Cap!O85),"Inesgotável")</f>
        <v/>
      </c>
      <c r="AD83" s="2">
        <f>IF(Demand!AW102&gt;Retailers_Cap!P85,(X83/Retailers!R84)/(Demand!AW102-Retailers_Cap!P85),"Inesgotável")</f>
        <v/>
      </c>
      <c r="AG83" s="64" t="n">
        <v>89</v>
      </c>
      <c r="AH83" s="64">
        <f>Retailers!AJ84</f>
        <v/>
      </c>
      <c r="AI83" s="64">
        <f>Retailers!AK84</f>
        <v/>
      </c>
      <c r="AJ83" s="64">
        <f>Retailers!AL84</f>
        <v/>
      </c>
      <c r="AM83" s="64" t="n">
        <v>89</v>
      </c>
      <c r="AN83" s="2">
        <f>IF(P83&gt;0,IF(D83=0,"Big stock",AB83/AH83),"Inesgotável")</f>
        <v/>
      </c>
      <c r="AO83" s="2">
        <f>IF(Q83&gt;0,IF(E83=0,"Big stock",AC83/AI83),"Inesgotável")</f>
        <v/>
      </c>
      <c r="AP83" s="2">
        <f>IF(R83&gt;0,IF(F83=0,"Big stock",AD83/AJ83),"Inesgotável")</f>
        <v/>
      </c>
      <c r="AS83" s="64" t="n">
        <v>89</v>
      </c>
      <c r="AT83" s="2">
        <f>Retailers_Cap!BL85</f>
        <v/>
      </c>
      <c r="AU83" s="2">
        <f>Retailers_Cap!BM85</f>
        <v/>
      </c>
      <c r="AV83" s="2">
        <f>Retailers_Cap!BN85</f>
        <v/>
      </c>
      <c r="AY83" s="64" t="n">
        <v>89</v>
      </c>
      <c r="AZ83" s="2">
        <f>IF(D83=0,"no repl",AB83-AT83)</f>
        <v/>
      </c>
      <c r="BA83" s="2">
        <f>IF(E83=0,"no repl",AC83-AU83)</f>
        <v/>
      </c>
      <c r="BB83" s="2">
        <f>IF(F83=0,"no repl",AD83-AV83)</f>
        <v/>
      </c>
    </row>
    <row r="84">
      <c r="C84" s="64" t="n">
        <v>90</v>
      </c>
      <c r="D84" s="11" t="n">
        <v>0</v>
      </c>
      <c r="E84" s="11" t="n">
        <v>0</v>
      </c>
      <c r="F84" s="11" t="n">
        <v>0</v>
      </c>
      <c r="I84" s="64" t="n">
        <v>90</v>
      </c>
      <c r="J84" s="11" t="n">
        <v>37150.44</v>
      </c>
      <c r="K84" s="11" t="n">
        <v>21150.09</v>
      </c>
      <c r="L84" s="11" t="n">
        <v>26741.44</v>
      </c>
      <c r="O84" s="64" t="n">
        <v>90</v>
      </c>
      <c r="P84" s="11" t="n">
        <v>0</v>
      </c>
      <c r="Q84" s="11" t="n">
        <v>0</v>
      </c>
      <c r="R84" s="11" t="n">
        <v>0</v>
      </c>
      <c r="U84" s="64" t="n">
        <v>90</v>
      </c>
      <c r="V84" s="3">
        <f>J84-P84+D84</f>
        <v/>
      </c>
      <c r="W84" s="3">
        <f>K84-Q84+E84</f>
        <v/>
      </c>
      <c r="X84" s="3">
        <f>L84-R84+F84</f>
        <v/>
      </c>
      <c r="AA84" s="64" t="n">
        <v>90</v>
      </c>
      <c r="AB84" s="2">
        <f>IF(Demand!AU103&gt;Retailers_Cap!N86,(V84/Retailers!P85)/(Demand!AU103-Retailers_Cap!N86),"Inesgotável")</f>
        <v/>
      </c>
      <c r="AC84" s="2">
        <f>IF(Demand!AV103&gt;Retailers_Cap!O86,(W84/Retailers!Q85)/(Demand!AV103-Retailers_Cap!O86),"Inesgotável")</f>
        <v/>
      </c>
      <c r="AD84" s="2">
        <f>IF(Demand!AW103&gt;Retailers_Cap!P86,(X84/Retailers!R85)/(Demand!AW103-Retailers_Cap!P86),"Inesgotável")</f>
        <v/>
      </c>
      <c r="AG84" s="64" t="n">
        <v>90</v>
      </c>
      <c r="AH84" s="64">
        <f>Retailers!AJ85</f>
        <v/>
      </c>
      <c r="AI84" s="64">
        <f>Retailers!AK85</f>
        <v/>
      </c>
      <c r="AJ84" s="64">
        <f>Retailers!AL85</f>
        <v/>
      </c>
      <c r="AM84" s="64" t="n">
        <v>90</v>
      </c>
      <c r="AN84" s="2">
        <f>IF(P84&gt;0,IF(D84=0,"Big stock",AB84/AH84),"Inesgotável")</f>
        <v/>
      </c>
      <c r="AO84" s="2">
        <f>IF(Q84&gt;0,IF(E84=0,"Big stock",AC84/AI84),"Inesgotável")</f>
        <v/>
      </c>
      <c r="AP84" s="2">
        <f>IF(R84&gt;0,IF(F84=0,"Big stock",AD84/AJ84),"Inesgotável")</f>
        <v/>
      </c>
      <c r="AS84" s="64" t="n">
        <v>90</v>
      </c>
      <c r="AT84" s="2">
        <f>Retailers_Cap!BL86</f>
        <v/>
      </c>
      <c r="AU84" s="2">
        <f>Retailers_Cap!BM86</f>
        <v/>
      </c>
      <c r="AV84" s="2">
        <f>Retailers_Cap!BN86</f>
        <v/>
      </c>
      <c r="AY84" s="64" t="n">
        <v>90</v>
      </c>
      <c r="AZ84" s="2">
        <f>IF(D84=0,"no repl",AB84-AT84)</f>
        <v/>
      </c>
      <c r="BA84" s="2">
        <f>IF(E84=0,"no repl",AC84-AU84)</f>
        <v/>
      </c>
      <c r="BB84" s="2">
        <f>IF(F84=0,"no repl",AD84-AV84)</f>
        <v/>
      </c>
    </row>
    <row r="85">
      <c r="C85" s="64" t="n">
        <v>91</v>
      </c>
      <c r="D85" s="11" t="n">
        <v>0</v>
      </c>
      <c r="E85" s="11" t="n">
        <v>0</v>
      </c>
      <c r="F85" s="11" t="n">
        <v>0</v>
      </c>
      <c r="I85" s="64" t="n">
        <v>91</v>
      </c>
      <c r="J85" s="11" t="n">
        <v>57852.3</v>
      </c>
      <c r="K85" s="11" t="n">
        <v>81686.54999999999</v>
      </c>
      <c r="L85" s="11" t="n">
        <v>70699.72</v>
      </c>
      <c r="O85" s="64" t="n">
        <v>91</v>
      </c>
      <c r="P85" s="11" t="n">
        <v>0</v>
      </c>
      <c r="Q85" s="11" t="n">
        <v>0</v>
      </c>
      <c r="R85" s="11" t="n">
        <v>0</v>
      </c>
      <c r="U85" s="64" t="n">
        <v>91</v>
      </c>
      <c r="V85" s="3">
        <f>J85-P85+D85</f>
        <v/>
      </c>
      <c r="W85" s="3">
        <f>K85-Q85+E85</f>
        <v/>
      </c>
      <c r="X85" s="3">
        <f>L85-R85+F85</f>
        <v/>
      </c>
      <c r="AA85" s="64" t="n">
        <v>91</v>
      </c>
      <c r="AB85" s="2">
        <f>IF(Demand!AU104&gt;Retailers_Cap!N87,(V85/Retailers!P86)/(Demand!AU104-Retailers_Cap!N87),"Inesgotável")</f>
        <v/>
      </c>
      <c r="AC85" s="2">
        <f>IF(Demand!AV104&gt;Retailers_Cap!O87,(W85/Retailers!Q86)/(Demand!AV104-Retailers_Cap!O87),"Inesgotável")</f>
        <v/>
      </c>
      <c r="AD85" s="2">
        <f>IF(Demand!AW104&gt;Retailers_Cap!P87,(X85/Retailers!R86)/(Demand!AW104-Retailers_Cap!P87),"Inesgotável")</f>
        <v/>
      </c>
      <c r="AG85" s="64" t="n">
        <v>91</v>
      </c>
      <c r="AH85" s="64">
        <f>Retailers!AJ86</f>
        <v/>
      </c>
      <c r="AI85" s="64">
        <f>Retailers!AK86</f>
        <v/>
      </c>
      <c r="AJ85" s="64">
        <f>Retailers!AL86</f>
        <v/>
      </c>
      <c r="AM85" s="64" t="n">
        <v>91</v>
      </c>
      <c r="AN85" s="2">
        <f>IF(P85&gt;0,IF(D85=0,"Big stock",AB85/AH85),"Inesgotável")</f>
        <v/>
      </c>
      <c r="AO85" s="2">
        <f>IF(Q85&gt;0,IF(E85=0,"Big stock",AC85/AI85),"Inesgotável")</f>
        <v/>
      </c>
      <c r="AP85" s="2">
        <f>IF(R85&gt;0,IF(F85=0,"Big stock",AD85/AJ85),"Inesgotável")</f>
        <v/>
      </c>
      <c r="AS85" s="64" t="n">
        <v>91</v>
      </c>
      <c r="AT85" s="2">
        <f>Retailers_Cap!BL87</f>
        <v/>
      </c>
      <c r="AU85" s="2">
        <f>Retailers_Cap!BM87</f>
        <v/>
      </c>
      <c r="AV85" s="2">
        <f>Retailers_Cap!BN87</f>
        <v/>
      </c>
      <c r="AY85" s="64" t="n">
        <v>91</v>
      </c>
      <c r="AZ85" s="2">
        <f>IF(D85=0,"no repl",AB85-AT85)</f>
        <v/>
      </c>
      <c r="BA85" s="2">
        <f>IF(E85=0,"no repl",AC85-AU85)</f>
        <v/>
      </c>
      <c r="BB85" s="2">
        <f>IF(F85=0,"no repl",AD85-AV85)</f>
        <v/>
      </c>
    </row>
    <row r="86">
      <c r="C86" s="64" t="n">
        <v>92</v>
      </c>
      <c r="D86" s="11" t="n">
        <v>505255.7181515945</v>
      </c>
      <c r="E86" s="11" t="n">
        <v>0</v>
      </c>
      <c r="F86" s="11" t="n">
        <v>0</v>
      </c>
      <c r="I86" s="64" t="n">
        <v>92</v>
      </c>
      <c r="J86" s="11" t="n">
        <v>33700.5</v>
      </c>
      <c r="K86" s="11" t="n">
        <v>83273.5</v>
      </c>
      <c r="L86" s="11" t="n">
        <v>59850.01</v>
      </c>
      <c r="O86" s="64" t="n">
        <v>92</v>
      </c>
      <c r="P86" s="11" t="n">
        <v>308675.9611281364</v>
      </c>
      <c r="Q86" s="11" t="n">
        <v>0</v>
      </c>
      <c r="R86" s="11" t="n">
        <v>0</v>
      </c>
      <c r="U86" s="64" t="n">
        <v>92</v>
      </c>
      <c r="V86" s="3">
        <f>J86-P86+D86</f>
        <v/>
      </c>
      <c r="W86" s="3">
        <f>K86-Q86+E86</f>
        <v/>
      </c>
      <c r="X86" s="3">
        <f>L86-R86+F86</f>
        <v/>
      </c>
      <c r="AA86" s="64" t="n">
        <v>92</v>
      </c>
      <c r="AB86" s="2">
        <f>IF(Demand!AU105&gt;Retailers_Cap!N88,(V86/Retailers!P87)/(Demand!AU105-Retailers_Cap!N88),"Inesgotável")</f>
        <v/>
      </c>
      <c r="AC86" s="2">
        <f>IF(Demand!AV105&gt;Retailers_Cap!O88,(W86/Retailers!Q87)/(Demand!AV105-Retailers_Cap!O88),"Inesgotável")</f>
        <v/>
      </c>
      <c r="AD86" s="2">
        <f>IF(Demand!AW105&gt;Retailers_Cap!P88,(X86/Retailers!R87)/(Demand!AW105-Retailers_Cap!P88),"Inesgotável")</f>
        <v/>
      </c>
      <c r="AG86" s="64" t="n">
        <v>92</v>
      </c>
      <c r="AH86" s="64">
        <f>Retailers!AJ87</f>
        <v/>
      </c>
      <c r="AI86" s="64">
        <f>Retailers!AK87</f>
        <v/>
      </c>
      <c r="AJ86" s="64">
        <f>Retailers!AL87</f>
        <v/>
      </c>
      <c r="AM86" s="64" t="n">
        <v>92</v>
      </c>
      <c r="AN86" s="2">
        <f>IF(P86&gt;0,IF(D86=0,"Big stock",AB86/AH86),"Inesgotável")</f>
        <v/>
      </c>
      <c r="AO86" s="2">
        <f>IF(Q86&gt;0,IF(E86=0,"Big stock",AC86/AI86),"Inesgotável")</f>
        <v/>
      </c>
      <c r="AP86" s="2">
        <f>IF(R86&gt;0,IF(F86=0,"Big stock",AD86/AJ86),"Inesgotável")</f>
        <v/>
      </c>
      <c r="AS86" s="64" t="n">
        <v>92</v>
      </c>
      <c r="AT86" s="2">
        <f>Retailers_Cap!BL88</f>
        <v/>
      </c>
      <c r="AU86" s="2">
        <f>Retailers_Cap!BM88</f>
        <v/>
      </c>
      <c r="AV86" s="2">
        <f>Retailers_Cap!BN88</f>
        <v/>
      </c>
      <c r="AY86" s="64" t="n">
        <v>92</v>
      </c>
      <c r="AZ86" s="2">
        <f>IF(D86=0,"no repl",AB86-AT86)</f>
        <v/>
      </c>
      <c r="BA86" s="2">
        <f>IF(E86=0,"no repl",AC86-AU86)</f>
        <v/>
      </c>
      <c r="BB86" s="2">
        <f>IF(F86=0,"no repl",AD86-AV86)</f>
        <v/>
      </c>
    </row>
    <row r="87">
      <c r="C87" s="64" t="n">
        <v>93</v>
      </c>
      <c r="D87" s="11" t="n">
        <v>486742.5700293021</v>
      </c>
      <c r="E87" s="11" t="n">
        <v>0</v>
      </c>
      <c r="F87" s="11" t="n">
        <v>0</v>
      </c>
      <c r="I87" s="64" t="n">
        <v>93</v>
      </c>
      <c r="J87" s="11" t="n">
        <v>53843.75999999999</v>
      </c>
      <c r="K87" s="11" t="n">
        <v>53345.1</v>
      </c>
      <c r="L87" s="11" t="n">
        <v>17806.5</v>
      </c>
      <c r="O87" s="64" t="n">
        <v>93</v>
      </c>
      <c r="P87" s="11" t="n">
        <v>301298.9622453675</v>
      </c>
      <c r="Q87" s="11" t="n">
        <v>0</v>
      </c>
      <c r="R87" s="11" t="n">
        <v>0</v>
      </c>
      <c r="U87" s="64" t="n">
        <v>93</v>
      </c>
      <c r="V87" s="3">
        <f>J87-P87+D87</f>
        <v/>
      </c>
      <c r="W87" s="3">
        <f>K87-Q87+E87</f>
        <v/>
      </c>
      <c r="X87" s="3">
        <f>L87-R87+F87</f>
        <v/>
      </c>
      <c r="AA87" s="64" t="n">
        <v>93</v>
      </c>
      <c r="AB87" s="2">
        <f>IF(Demand!AU106&gt;Retailers_Cap!N89,(V87/Retailers!P88)/(Demand!AU106-Retailers_Cap!N89),"Inesgotável")</f>
        <v/>
      </c>
      <c r="AC87" s="2">
        <f>IF(Demand!AV106&gt;Retailers_Cap!O89,(W87/Retailers!Q88)/(Demand!AV106-Retailers_Cap!O89),"Inesgotável")</f>
        <v/>
      </c>
      <c r="AD87" s="2">
        <f>IF(Demand!AW106&gt;Retailers_Cap!P89,(X87/Retailers!R88)/(Demand!AW106-Retailers_Cap!P89),"Inesgotável")</f>
        <v/>
      </c>
      <c r="AG87" s="64" t="n">
        <v>93</v>
      </c>
      <c r="AH87" s="64">
        <f>Retailers!AJ88</f>
        <v/>
      </c>
      <c r="AI87" s="64">
        <f>Retailers!AK88</f>
        <v/>
      </c>
      <c r="AJ87" s="64">
        <f>Retailers!AL88</f>
        <v/>
      </c>
      <c r="AM87" s="64" t="n">
        <v>93</v>
      </c>
      <c r="AN87" s="2">
        <f>IF(P87&gt;0,IF(D87=0,"Big stock",AB87/AH87),"Inesgotável")</f>
        <v/>
      </c>
      <c r="AO87" s="2">
        <f>IF(Q87&gt;0,IF(E87=0,"Big stock",AC87/AI87),"Inesgotável")</f>
        <v/>
      </c>
      <c r="AP87" s="2">
        <f>IF(R87&gt;0,IF(F87=0,"Big stock",AD87/AJ87),"Inesgotável")</f>
        <v/>
      </c>
      <c r="AS87" s="64" t="n">
        <v>93</v>
      </c>
      <c r="AT87" s="2">
        <f>Retailers_Cap!BL89</f>
        <v/>
      </c>
      <c r="AU87" s="2">
        <f>Retailers_Cap!BM89</f>
        <v/>
      </c>
      <c r="AV87" s="2">
        <f>Retailers_Cap!BN89</f>
        <v/>
      </c>
      <c r="AY87" s="64" t="n">
        <v>93</v>
      </c>
      <c r="AZ87" s="2">
        <f>IF(D87=0,"no repl",AB87-AT87)</f>
        <v/>
      </c>
      <c r="BA87" s="2">
        <f>IF(E87=0,"no repl",AC87-AU87)</f>
        <v/>
      </c>
      <c r="BB87" s="2">
        <f>IF(F87=0,"no repl",AD87-AV87)</f>
        <v/>
      </c>
    </row>
    <row r="88">
      <c r="C88" s="64" t="n">
        <v>94</v>
      </c>
      <c r="D88" s="11" t="n">
        <v>0</v>
      </c>
      <c r="E88" s="11" t="n">
        <v>57971.00520014126</v>
      </c>
      <c r="F88" s="11" t="n">
        <v>239895.3531779265</v>
      </c>
      <c r="I88" s="64" t="n">
        <v>94</v>
      </c>
      <c r="J88" s="11" t="n">
        <v>86565.36</v>
      </c>
      <c r="K88" s="11" t="n">
        <v>35217</v>
      </c>
      <c r="L88" s="11" t="n">
        <v>44650.95</v>
      </c>
      <c r="O88" s="64" t="n">
        <v>94</v>
      </c>
      <c r="P88" s="11" t="n">
        <v>0</v>
      </c>
      <c r="Q88" s="11" t="n">
        <v>37968.42218768328</v>
      </c>
      <c r="R88" s="11" t="n">
        <v>144252.7036235227</v>
      </c>
      <c r="U88" s="64" t="n">
        <v>94</v>
      </c>
      <c r="V88" s="3">
        <f>J88-P88+D88</f>
        <v/>
      </c>
      <c r="W88" s="3">
        <f>K88-Q88+E88</f>
        <v/>
      </c>
      <c r="X88" s="3">
        <f>L88-R88+F88</f>
        <v/>
      </c>
      <c r="AA88" s="64" t="n">
        <v>94</v>
      </c>
      <c r="AB88" s="2">
        <f>IF(Demand!AU107&gt;Retailers_Cap!N90,(V88/Retailers!P89)/(Demand!AU107-Retailers_Cap!N90),"Inesgotável")</f>
        <v/>
      </c>
      <c r="AC88" s="2">
        <f>IF(Demand!AV107&gt;Retailers_Cap!O90,(W88/Retailers!Q89)/(Demand!AV107-Retailers_Cap!O90),"Inesgotável")</f>
        <v/>
      </c>
      <c r="AD88" s="2">
        <f>IF(Demand!AW107&gt;Retailers_Cap!P90,(X88/Retailers!R89)/(Demand!AW107-Retailers_Cap!P90),"Inesgotável")</f>
        <v/>
      </c>
      <c r="AG88" s="64" t="n">
        <v>94</v>
      </c>
      <c r="AH88" s="64">
        <f>Retailers!AJ89</f>
        <v/>
      </c>
      <c r="AI88" s="64">
        <f>Retailers!AK89</f>
        <v/>
      </c>
      <c r="AJ88" s="64">
        <f>Retailers!AL89</f>
        <v/>
      </c>
      <c r="AM88" s="64" t="n">
        <v>94</v>
      </c>
      <c r="AN88" s="2">
        <f>IF(P88&gt;0,IF(D88=0,"Big stock",AB88/AH88),"Inesgotável")</f>
        <v/>
      </c>
      <c r="AO88" s="2">
        <f>IF(Q88&gt;0,IF(E88=0,"Big stock",AC88/AI88),"Inesgotável")</f>
        <v/>
      </c>
      <c r="AP88" s="2">
        <f>IF(R88&gt;0,IF(F88=0,"Big stock",AD88/AJ88),"Inesgotável")</f>
        <v/>
      </c>
      <c r="AS88" s="64" t="n">
        <v>94</v>
      </c>
      <c r="AT88" s="2">
        <f>Retailers_Cap!BL90</f>
        <v/>
      </c>
      <c r="AU88" s="2">
        <f>Retailers_Cap!BM90</f>
        <v/>
      </c>
      <c r="AV88" s="2">
        <f>Retailers_Cap!BN90</f>
        <v/>
      </c>
      <c r="AY88" s="64" t="n">
        <v>94</v>
      </c>
      <c r="AZ88" s="2">
        <f>IF(D88=0,"no repl",AB88-AT88)</f>
        <v/>
      </c>
      <c r="BA88" s="2">
        <f>IF(E88=0,"no repl",AC88-AU88)</f>
        <v/>
      </c>
      <c r="BB88" s="2">
        <f>IF(F88=0,"no repl",AD88-AV88)</f>
        <v/>
      </c>
    </row>
    <row r="89">
      <c r="C89" s="64" t="n">
        <v>95</v>
      </c>
      <c r="D89" s="11" t="n">
        <v>0</v>
      </c>
      <c r="E89" s="11" t="n">
        <v>230221.0487627161</v>
      </c>
      <c r="F89" s="11" t="n">
        <v>125454.0748087991</v>
      </c>
      <c r="I89" s="64" t="n">
        <v>95</v>
      </c>
      <c r="J89" s="11" t="n">
        <v>54269.19</v>
      </c>
      <c r="K89" s="11" t="n">
        <v>58951.32999999999</v>
      </c>
      <c r="L89" s="11" t="n">
        <v>19640.67</v>
      </c>
      <c r="O89" s="64" t="n">
        <v>95</v>
      </c>
      <c r="P89" s="11" t="n">
        <v>0</v>
      </c>
      <c r="Q89" s="11" t="n">
        <v>140210.7144946891</v>
      </c>
      <c r="R89" s="11" t="n">
        <v>79836.40361169261</v>
      </c>
      <c r="U89" s="64" t="n">
        <v>95</v>
      </c>
      <c r="V89" s="3">
        <f>J89-P89+D89</f>
        <v/>
      </c>
      <c r="W89" s="3">
        <f>K89-Q89+E89</f>
        <v/>
      </c>
      <c r="X89" s="3">
        <f>L89-R89+F89</f>
        <v/>
      </c>
      <c r="AA89" s="64" t="n">
        <v>95</v>
      </c>
      <c r="AB89" s="2">
        <f>IF(Demand!AU108&gt;Retailers_Cap!N91,(V89/Retailers!P90)/(Demand!AU108-Retailers_Cap!N91),"Inesgotável")</f>
        <v/>
      </c>
      <c r="AC89" s="2">
        <f>IF(Demand!AV108&gt;Retailers_Cap!O91,(W89/Retailers!Q90)/(Demand!AV108-Retailers_Cap!O91),"Inesgotável")</f>
        <v/>
      </c>
      <c r="AD89" s="2">
        <f>IF(Demand!AW108&gt;Retailers_Cap!P91,(X89/Retailers!R90)/(Demand!AW108-Retailers_Cap!P91),"Inesgotável")</f>
        <v/>
      </c>
      <c r="AG89" s="64" t="n">
        <v>95</v>
      </c>
      <c r="AH89" s="64">
        <f>Retailers!AJ90</f>
        <v/>
      </c>
      <c r="AI89" s="64">
        <f>Retailers!AK90</f>
        <v/>
      </c>
      <c r="AJ89" s="64">
        <f>Retailers!AL90</f>
        <v/>
      </c>
      <c r="AM89" s="64" t="n">
        <v>95</v>
      </c>
      <c r="AN89" s="2">
        <f>IF(P89&gt;0,IF(D89=0,"Big stock",AB89/AH89),"Inesgotável")</f>
        <v/>
      </c>
      <c r="AO89" s="2">
        <f>IF(Q89&gt;0,IF(E89=0,"Big stock",AC89/AI89),"Inesgotável")</f>
        <v/>
      </c>
      <c r="AP89" s="2">
        <f>IF(R89&gt;0,IF(F89=0,"Big stock",AD89/AJ89),"Inesgotável")</f>
        <v/>
      </c>
      <c r="AS89" s="64" t="n">
        <v>95</v>
      </c>
      <c r="AT89" s="2">
        <f>Retailers_Cap!BL91</f>
        <v/>
      </c>
      <c r="AU89" s="2">
        <f>Retailers_Cap!BM91</f>
        <v/>
      </c>
      <c r="AV89" s="2">
        <f>Retailers_Cap!BN91</f>
        <v/>
      </c>
      <c r="AY89" s="64" t="n">
        <v>95</v>
      </c>
      <c r="AZ89" s="2">
        <f>IF(D89=0,"no repl",AB89-AT89)</f>
        <v/>
      </c>
      <c r="BA89" s="2">
        <f>IF(E89=0,"no repl",AC89-AU89)</f>
        <v/>
      </c>
      <c r="BB89" s="2">
        <f>IF(F89=0,"no repl",AD89-AV89)</f>
        <v/>
      </c>
    </row>
    <row r="90">
      <c r="C90" s="64" t="n">
        <v>96</v>
      </c>
      <c r="D90" s="11" t="n">
        <v>0</v>
      </c>
      <c r="E90" s="11" t="n">
        <v>0</v>
      </c>
      <c r="F90" s="11" t="n">
        <v>0</v>
      </c>
      <c r="I90" s="64" t="n">
        <v>96</v>
      </c>
      <c r="J90" s="11" t="n">
        <v>75876.84</v>
      </c>
      <c r="K90" s="11" t="n">
        <v>17112.48</v>
      </c>
      <c r="L90" s="11" t="n">
        <v>22698.39</v>
      </c>
      <c r="O90" s="64" t="n">
        <v>96</v>
      </c>
      <c r="P90" s="11" t="n">
        <v>0</v>
      </c>
      <c r="Q90" s="11" t="n">
        <v>0</v>
      </c>
      <c r="R90" s="11" t="n">
        <v>0</v>
      </c>
      <c r="U90" s="64" t="n">
        <v>96</v>
      </c>
      <c r="V90" s="3">
        <f>J90-P90+D90</f>
        <v/>
      </c>
      <c r="W90" s="3">
        <f>K90-Q90+E90</f>
        <v/>
      </c>
      <c r="X90" s="3">
        <f>L90-R90+F90</f>
        <v/>
      </c>
      <c r="AA90" s="64" t="n">
        <v>96</v>
      </c>
      <c r="AB90" s="2">
        <f>IF(Demand!AU109&gt;Retailers_Cap!N92,(V90/Retailers!P91)/(Demand!AU109-Retailers_Cap!N92),"Inesgotável")</f>
        <v/>
      </c>
      <c r="AC90" s="2">
        <f>IF(Demand!AV109&gt;Retailers_Cap!O92,(W90/Retailers!Q91)/(Demand!AV109-Retailers_Cap!O92),"Inesgotável")</f>
        <v/>
      </c>
      <c r="AD90" s="2">
        <f>IF(Demand!AW109&gt;Retailers_Cap!P92,(X90/Retailers!R91)/(Demand!AW109-Retailers_Cap!P92),"Inesgotável")</f>
        <v/>
      </c>
      <c r="AG90" s="64" t="n">
        <v>96</v>
      </c>
      <c r="AH90" s="64">
        <f>Retailers!AJ91</f>
        <v/>
      </c>
      <c r="AI90" s="64">
        <f>Retailers!AK91</f>
        <v/>
      </c>
      <c r="AJ90" s="64">
        <f>Retailers!AL91</f>
        <v/>
      </c>
      <c r="AM90" s="64" t="n">
        <v>96</v>
      </c>
      <c r="AN90" s="2">
        <f>IF(P90&gt;0,IF(D90=0,"Big stock",AB90/AH90),"Inesgotável")</f>
        <v/>
      </c>
      <c r="AO90" s="2">
        <f>IF(Q90&gt;0,IF(E90=0,"Big stock",AC90/AI90),"Inesgotável")</f>
        <v/>
      </c>
      <c r="AP90" s="2">
        <f>IF(R90&gt;0,IF(F90=0,"Big stock",AD90/AJ90),"Inesgotável")</f>
        <v/>
      </c>
      <c r="AS90" s="64" t="n">
        <v>96</v>
      </c>
      <c r="AT90" s="2">
        <f>Retailers_Cap!BL92</f>
        <v/>
      </c>
      <c r="AU90" s="2">
        <f>Retailers_Cap!BM92</f>
        <v/>
      </c>
      <c r="AV90" s="2">
        <f>Retailers_Cap!BN92</f>
        <v/>
      </c>
      <c r="AY90" s="64" t="n">
        <v>96</v>
      </c>
      <c r="AZ90" s="2">
        <f>IF(D90=0,"no repl",AB90-AT90)</f>
        <v/>
      </c>
      <c r="BA90" s="2">
        <f>IF(E90=0,"no repl",AC90-AU90)</f>
        <v/>
      </c>
      <c r="BB90" s="2">
        <f>IF(F90=0,"no repl",AD90-AV90)</f>
        <v/>
      </c>
    </row>
    <row r="91">
      <c r="C91" s="64" t="n">
        <v>97</v>
      </c>
      <c r="D91" s="11" t="n">
        <v>135925.3387979717</v>
      </c>
      <c r="E91" s="11" t="n">
        <v>0</v>
      </c>
      <c r="F91" s="11" t="n">
        <v>191030.0691486321</v>
      </c>
      <c r="I91" s="64" t="n">
        <v>97</v>
      </c>
      <c r="J91" s="11" t="n">
        <v>9911.700000000001</v>
      </c>
      <c r="K91" s="11" t="n">
        <v>29789.18</v>
      </c>
      <c r="L91" s="11" t="n">
        <v>56680.99000000001</v>
      </c>
      <c r="O91" s="64" t="n">
        <v>97</v>
      </c>
      <c r="P91" s="11" t="n">
        <v>77229.93617252211</v>
      </c>
      <c r="Q91" s="11" t="n">
        <v>0</v>
      </c>
      <c r="R91" s="11" t="n">
        <v>112420.3536482303</v>
      </c>
      <c r="U91" s="64" t="n">
        <v>97</v>
      </c>
      <c r="V91" s="3">
        <f>J91-P91+D91</f>
        <v/>
      </c>
      <c r="W91" s="3">
        <f>K91-Q91+E91</f>
        <v/>
      </c>
      <c r="X91" s="3">
        <f>L91-R91+F91</f>
        <v/>
      </c>
      <c r="AA91" s="64" t="n">
        <v>97</v>
      </c>
      <c r="AB91" s="2">
        <f>IF(Demand!AU110&gt;Retailers_Cap!N93,(V91/Retailers!P92)/(Demand!AU110-Retailers_Cap!N93),"Inesgotável")</f>
        <v/>
      </c>
      <c r="AC91" s="2">
        <f>IF(Demand!AV110&gt;Retailers_Cap!O93,(W91/Retailers!Q92)/(Demand!AV110-Retailers_Cap!O93),"Inesgotável")</f>
        <v/>
      </c>
      <c r="AD91" s="2">
        <f>IF(Demand!AW110&gt;Retailers_Cap!P93,(X91/Retailers!R92)/(Demand!AW110-Retailers_Cap!P93),"Inesgotável")</f>
        <v/>
      </c>
      <c r="AG91" s="64" t="n">
        <v>97</v>
      </c>
      <c r="AH91" s="64">
        <f>Retailers!AJ92</f>
        <v/>
      </c>
      <c r="AI91" s="64">
        <f>Retailers!AK92</f>
        <v/>
      </c>
      <c r="AJ91" s="64">
        <f>Retailers!AL92</f>
        <v/>
      </c>
      <c r="AM91" s="64" t="n">
        <v>97</v>
      </c>
      <c r="AN91" s="2">
        <f>IF(P91&gt;0,IF(D91=0,"Big stock",AB91/AH91),"Inesgotável")</f>
        <v/>
      </c>
      <c r="AO91" s="2">
        <f>IF(Q91&gt;0,IF(E91=0,"Big stock",AC91/AI91),"Inesgotável")</f>
        <v/>
      </c>
      <c r="AP91" s="2">
        <f>IF(R91&gt;0,IF(F91=0,"Big stock",AD91/AJ91),"Inesgotável")</f>
        <v/>
      </c>
      <c r="AS91" s="64" t="n">
        <v>97</v>
      </c>
      <c r="AT91" s="2">
        <f>Retailers_Cap!BL93</f>
        <v/>
      </c>
      <c r="AU91" s="2">
        <f>Retailers_Cap!BM93</f>
        <v/>
      </c>
      <c r="AV91" s="2">
        <f>Retailers_Cap!BN93</f>
        <v/>
      </c>
      <c r="AY91" s="64" t="n">
        <v>97</v>
      </c>
      <c r="AZ91" s="2">
        <f>IF(D91=0,"no repl",AB91-AT91)</f>
        <v/>
      </c>
      <c r="BA91" s="2">
        <f>IF(E91=0,"no repl",AC91-AU91)</f>
        <v/>
      </c>
      <c r="BB91" s="2">
        <f>IF(F91=0,"no repl",AD91-AV91)</f>
        <v/>
      </c>
    </row>
    <row r="92">
      <c r="C92" s="64" t="n">
        <v>98</v>
      </c>
      <c r="D92" s="11" t="n">
        <v>0</v>
      </c>
      <c r="E92" s="11" t="n">
        <v>0</v>
      </c>
      <c r="F92" s="11" t="n">
        <v>311388.3036523944</v>
      </c>
      <c r="I92" s="64" t="n">
        <v>98</v>
      </c>
      <c r="J92" s="11" t="n">
        <v>34890.54</v>
      </c>
      <c r="K92" s="11" t="n">
        <v>27246.95</v>
      </c>
      <c r="L92" s="11" t="n">
        <v>50434.92000000001</v>
      </c>
      <c r="O92" s="64" t="n">
        <v>98</v>
      </c>
      <c r="P92" s="11" t="n">
        <v>0</v>
      </c>
      <c r="Q92" s="11" t="n">
        <v>0</v>
      </c>
      <c r="R92" s="11" t="n">
        <v>196792.7630990197</v>
      </c>
      <c r="U92" s="64" t="n">
        <v>98</v>
      </c>
      <c r="V92" s="3">
        <f>J92-P92+D92</f>
        <v/>
      </c>
      <c r="W92" s="3">
        <f>K92-Q92+E92</f>
        <v/>
      </c>
      <c r="X92" s="3">
        <f>L92-R92+F92</f>
        <v/>
      </c>
      <c r="AA92" s="64" t="n">
        <v>98</v>
      </c>
      <c r="AB92" s="2">
        <f>IF(Demand!AU111&gt;Retailers_Cap!N94,(V92/Retailers!P93)/(Demand!AU111-Retailers_Cap!N94),"Inesgotável")</f>
        <v/>
      </c>
      <c r="AC92" s="2">
        <f>IF(Demand!AV111&gt;Retailers_Cap!O94,(W92/Retailers!Q93)/(Demand!AV111-Retailers_Cap!O94),"Inesgotável")</f>
        <v/>
      </c>
      <c r="AD92" s="2">
        <f>IF(Demand!AW111&gt;Retailers_Cap!P94,(X92/Retailers!R93)/(Demand!AW111-Retailers_Cap!P94),"Inesgotável")</f>
        <v/>
      </c>
      <c r="AG92" s="64" t="n">
        <v>98</v>
      </c>
      <c r="AH92" s="64">
        <f>Retailers!AJ93</f>
        <v/>
      </c>
      <c r="AI92" s="64">
        <f>Retailers!AK93</f>
        <v/>
      </c>
      <c r="AJ92" s="64">
        <f>Retailers!AL93</f>
        <v/>
      </c>
      <c r="AM92" s="64" t="n">
        <v>98</v>
      </c>
      <c r="AN92" s="2">
        <f>IF(P92&gt;0,IF(D92=0,"Big stock",AB92/AH92),"Inesgotável")</f>
        <v/>
      </c>
      <c r="AO92" s="2">
        <f>IF(Q92&gt;0,IF(E92=0,"Big stock",AC92/AI92),"Inesgotável")</f>
        <v/>
      </c>
      <c r="AP92" s="2">
        <f>IF(R92&gt;0,IF(F92=0,"Big stock",AD92/AJ92),"Inesgotável")</f>
        <v/>
      </c>
      <c r="AS92" s="64" t="n">
        <v>98</v>
      </c>
      <c r="AT92" s="2">
        <f>Retailers_Cap!BL94</f>
        <v/>
      </c>
      <c r="AU92" s="2">
        <f>Retailers_Cap!BM94</f>
        <v/>
      </c>
      <c r="AV92" s="2">
        <f>Retailers_Cap!BN94</f>
        <v/>
      </c>
      <c r="AY92" s="64" t="n">
        <v>98</v>
      </c>
      <c r="AZ92" s="2">
        <f>IF(D92=0,"no repl",AB92-AT92)</f>
        <v/>
      </c>
      <c r="BA92" s="2">
        <f>IF(E92=0,"no repl",AC92-AU92)</f>
        <v/>
      </c>
      <c r="BB92" s="2">
        <f>IF(F92=0,"no repl",AD92-AV92)</f>
        <v/>
      </c>
    </row>
    <row r="93">
      <c r="C93" s="64" t="n">
        <v>99</v>
      </c>
      <c r="D93" s="11" t="n">
        <v>0</v>
      </c>
      <c r="E93" s="11" t="n">
        <v>16163.17482319784</v>
      </c>
      <c r="F93" s="11" t="n">
        <v>0</v>
      </c>
      <c r="I93" s="64" t="n">
        <v>99</v>
      </c>
      <c r="J93" s="11" t="n">
        <v>151278.9</v>
      </c>
      <c r="K93" s="11" t="n">
        <v>7842.960000000001</v>
      </c>
      <c r="L93" s="11" t="n">
        <v>86239.05</v>
      </c>
      <c r="O93" s="64" t="n">
        <v>99</v>
      </c>
      <c r="P93" s="11" t="n">
        <v>0</v>
      </c>
      <c r="Q93" s="11" t="n">
        <v>9383.364704147143</v>
      </c>
      <c r="R93" s="11" t="n">
        <v>0</v>
      </c>
      <c r="U93" s="64" t="n">
        <v>99</v>
      </c>
      <c r="V93" s="3">
        <f>J93-P93+D93</f>
        <v/>
      </c>
      <c r="W93" s="3">
        <f>K93-Q93+E93</f>
        <v/>
      </c>
      <c r="X93" s="3">
        <f>L93-R93+F93</f>
        <v/>
      </c>
      <c r="AA93" s="64" t="n">
        <v>99</v>
      </c>
      <c r="AB93" s="2">
        <f>IF(Demand!AU112&gt;Retailers_Cap!N95,(V93/Retailers!P94)/(Demand!AU112-Retailers_Cap!N95),"Inesgotável")</f>
        <v/>
      </c>
      <c r="AC93" s="2">
        <f>IF(Demand!AV112&gt;Retailers_Cap!O95,(W93/Retailers!Q94)/(Demand!AV112-Retailers_Cap!O95),"Inesgotável")</f>
        <v/>
      </c>
      <c r="AD93" s="2">
        <f>IF(Demand!AW112&gt;Retailers_Cap!P95,(X93/Retailers!R94)/(Demand!AW112-Retailers_Cap!P95),"Inesgotável")</f>
        <v/>
      </c>
      <c r="AG93" s="64" t="n">
        <v>99</v>
      </c>
      <c r="AH93" s="64">
        <f>Retailers!AJ94</f>
        <v/>
      </c>
      <c r="AI93" s="64">
        <f>Retailers!AK94</f>
        <v/>
      </c>
      <c r="AJ93" s="64">
        <f>Retailers!AL94</f>
        <v/>
      </c>
      <c r="AM93" s="64" t="n">
        <v>99</v>
      </c>
      <c r="AN93" s="2">
        <f>IF(P93&gt;0,IF(D93=0,"Big stock",AB93/AH93),"Inesgotável")</f>
        <v/>
      </c>
      <c r="AO93" s="2">
        <f>IF(Q93&gt;0,IF(E93=0,"Big stock",AC93/AI93),"Inesgotável")</f>
        <v/>
      </c>
      <c r="AP93" s="2">
        <f>IF(R93&gt;0,IF(F93=0,"Big stock",AD93/AJ93),"Inesgotável")</f>
        <v/>
      </c>
      <c r="AS93" s="64" t="n">
        <v>99</v>
      </c>
      <c r="AT93" s="2">
        <f>Retailers_Cap!BL95</f>
        <v/>
      </c>
      <c r="AU93" s="2">
        <f>Retailers_Cap!BM95</f>
        <v/>
      </c>
      <c r="AV93" s="2">
        <f>Retailers_Cap!BN95</f>
        <v/>
      </c>
      <c r="AY93" s="64" t="n">
        <v>99</v>
      </c>
      <c r="AZ93" s="2">
        <f>IF(D93=0,"no repl",AB93-AT93)</f>
        <v/>
      </c>
      <c r="BA93" s="2">
        <f>IF(E93=0,"no repl",AC93-AU93)</f>
        <v/>
      </c>
      <c r="BB93" s="2">
        <f>IF(F93=0,"no repl",AD93-AV93)</f>
        <v/>
      </c>
    </row>
    <row r="94">
      <c r="C94" s="64" t="n">
        <v>100</v>
      </c>
      <c r="D94" s="11" t="n">
        <v>0</v>
      </c>
      <c r="E94" s="11" t="n">
        <v>0</v>
      </c>
      <c r="F94" s="11" t="n">
        <v>0</v>
      </c>
      <c r="I94" s="64" t="n">
        <v>100</v>
      </c>
      <c r="J94" s="11" t="n">
        <v>7990.839999999999</v>
      </c>
      <c r="K94" s="11" t="n">
        <v>51102.06</v>
      </c>
      <c r="L94" s="11" t="n">
        <v>15435.54</v>
      </c>
      <c r="O94" s="64" t="n">
        <v>100</v>
      </c>
      <c r="P94" s="11" t="n">
        <v>0</v>
      </c>
      <c r="Q94" s="11" t="n">
        <v>0</v>
      </c>
      <c r="R94" s="11" t="n">
        <v>0</v>
      </c>
      <c r="U94" s="64" t="n">
        <v>100</v>
      </c>
      <c r="V94" s="3">
        <f>J94-P94+D94</f>
        <v/>
      </c>
      <c r="W94" s="3">
        <f>K94-Q94+E94</f>
        <v/>
      </c>
      <c r="X94" s="3">
        <f>L94-R94+F94</f>
        <v/>
      </c>
      <c r="AA94" s="64" t="n">
        <v>100</v>
      </c>
      <c r="AB94" s="2">
        <f>IF(Demand!AU113&gt;Retailers_Cap!N96,(V94/Retailers!P95)/(Demand!AU113-Retailers_Cap!N96),"Inesgotável")</f>
        <v/>
      </c>
      <c r="AC94" s="2">
        <f>IF(Demand!AV113&gt;Retailers_Cap!O96,(W94/Retailers!Q95)/(Demand!AV113-Retailers_Cap!O96),"Inesgotável")</f>
        <v/>
      </c>
      <c r="AD94" s="2">
        <f>IF(Demand!AW113&gt;Retailers_Cap!P96,(X94/Retailers!R95)/(Demand!AW113-Retailers_Cap!P96),"Inesgotável")</f>
        <v/>
      </c>
      <c r="AG94" s="64" t="n">
        <v>100</v>
      </c>
      <c r="AH94" s="64">
        <f>Retailers!AJ95</f>
        <v/>
      </c>
      <c r="AI94" s="64">
        <f>Retailers!AK95</f>
        <v/>
      </c>
      <c r="AJ94" s="64">
        <f>Retailers!AL95</f>
        <v/>
      </c>
      <c r="AM94" s="64" t="n">
        <v>100</v>
      </c>
      <c r="AN94" s="2">
        <f>IF(P94&gt;0,IF(D94=0,"Big stock",AB94/AH94),"Inesgotável")</f>
        <v/>
      </c>
      <c r="AO94" s="2">
        <f>IF(Q94&gt;0,IF(E94=0,"Big stock",AC94/AI94),"Inesgotável")</f>
        <v/>
      </c>
      <c r="AP94" s="2">
        <f>IF(R94&gt;0,IF(F94=0,"Big stock",AD94/AJ94),"Inesgotável")</f>
        <v/>
      </c>
      <c r="AS94" s="64" t="n">
        <v>100</v>
      </c>
      <c r="AT94" s="2">
        <f>Retailers_Cap!BL96</f>
        <v/>
      </c>
      <c r="AU94" s="2">
        <f>Retailers_Cap!BM96</f>
        <v/>
      </c>
      <c r="AV94" s="2">
        <f>Retailers_Cap!BN96</f>
        <v/>
      </c>
      <c r="AY94" s="64" t="n">
        <v>100</v>
      </c>
      <c r="AZ94" s="2">
        <f>IF(D94=0,"no repl",AB94-AT94)</f>
        <v/>
      </c>
      <c r="BA94" s="2">
        <f>IF(E94=0,"no repl",AC94-AU94)</f>
        <v/>
      </c>
      <c r="BB94" s="2">
        <f>IF(F94=0,"no repl",AD94-AV94)</f>
        <v/>
      </c>
    </row>
    <row r="95">
      <c r="C95" s="64" t="n">
        <v>101</v>
      </c>
      <c r="D95" s="11" t="n">
        <v>0</v>
      </c>
      <c r="E95" s="11" t="n">
        <v>0</v>
      </c>
      <c r="F95" s="11" t="n">
        <v>0</v>
      </c>
      <c r="I95" s="64" t="n">
        <v>101</v>
      </c>
      <c r="J95" s="11" t="n">
        <v>37227.06</v>
      </c>
      <c r="K95" s="11" t="n">
        <v>78139.60000000001</v>
      </c>
      <c r="L95" s="11" t="n">
        <v>61530.14</v>
      </c>
      <c r="O95" s="64" t="n">
        <v>101</v>
      </c>
      <c r="P95" s="11" t="n">
        <v>0</v>
      </c>
      <c r="Q95" s="11" t="n">
        <v>0</v>
      </c>
      <c r="R95" s="11" t="n">
        <v>0</v>
      </c>
      <c r="U95" s="64" t="n">
        <v>101</v>
      </c>
      <c r="V95" s="3">
        <f>J95-P95+D95</f>
        <v/>
      </c>
      <c r="W95" s="3">
        <f>K95-Q95+E95</f>
        <v/>
      </c>
      <c r="X95" s="3">
        <f>L95-R95+F95</f>
        <v/>
      </c>
      <c r="AA95" s="64" t="n">
        <v>101</v>
      </c>
      <c r="AB95" s="2">
        <f>IF(Demand!AU114&gt;Retailers_Cap!N97,(V95/Retailers!P96)/(Demand!AU114-Retailers_Cap!N97),"Inesgotável")</f>
        <v/>
      </c>
      <c r="AC95" s="2">
        <f>IF(Demand!AV114&gt;Retailers_Cap!O97,(W95/Retailers!Q96)/(Demand!AV114-Retailers_Cap!O97),"Inesgotável")</f>
        <v/>
      </c>
      <c r="AD95" s="2">
        <f>IF(Demand!AW114&gt;Retailers_Cap!P97,(X95/Retailers!R96)/(Demand!AW114-Retailers_Cap!P97),"Inesgotável")</f>
        <v/>
      </c>
      <c r="AG95" s="64" t="n">
        <v>101</v>
      </c>
      <c r="AH95" s="64">
        <f>Retailers!AJ96</f>
        <v/>
      </c>
      <c r="AI95" s="64">
        <f>Retailers!AK96</f>
        <v/>
      </c>
      <c r="AJ95" s="64">
        <f>Retailers!AL96</f>
        <v/>
      </c>
      <c r="AM95" s="64" t="n">
        <v>101</v>
      </c>
      <c r="AN95" s="2">
        <f>IF(P95&gt;0,IF(D95=0,"Big stock",AB95/AH95),"Inesgotável")</f>
        <v/>
      </c>
      <c r="AO95" s="2">
        <f>IF(Q95&gt;0,IF(E95=0,"Big stock",AC95/AI95),"Inesgotável")</f>
        <v/>
      </c>
      <c r="AP95" s="2">
        <f>IF(R95&gt;0,IF(F95=0,"Big stock",AD95/AJ95),"Inesgotável")</f>
        <v/>
      </c>
      <c r="AS95" s="64" t="n">
        <v>101</v>
      </c>
      <c r="AT95" s="2">
        <f>Retailers_Cap!BL97</f>
        <v/>
      </c>
      <c r="AU95" s="2">
        <f>Retailers_Cap!BM97</f>
        <v/>
      </c>
      <c r="AV95" s="2">
        <f>Retailers_Cap!BN97</f>
        <v/>
      </c>
      <c r="AY95" s="64" t="n">
        <v>101</v>
      </c>
      <c r="AZ95" s="2">
        <f>IF(D95=0,"no repl",AB95-AT95)</f>
        <v/>
      </c>
      <c r="BA95" s="2">
        <f>IF(E95=0,"no repl",AC95-AU95)</f>
        <v/>
      </c>
      <c r="BB95" s="2">
        <f>IF(F95=0,"no repl",AD95-AV95)</f>
        <v/>
      </c>
    </row>
    <row r="96">
      <c r="C96" s="64" t="n">
        <v>102</v>
      </c>
      <c r="D96" s="11" t="n">
        <v>328600.5009835984</v>
      </c>
      <c r="E96" s="11" t="n">
        <v>0</v>
      </c>
      <c r="F96" s="11" t="n">
        <v>107054.0011413475</v>
      </c>
      <c r="I96" s="64" t="n">
        <v>102</v>
      </c>
      <c r="J96" s="11" t="n">
        <v>35210.61</v>
      </c>
      <c r="K96" s="11" t="n">
        <v>8401.029999999999</v>
      </c>
      <c r="L96" s="11" t="n">
        <v>88344</v>
      </c>
      <c r="O96" s="64" t="n">
        <v>102</v>
      </c>
      <c r="P96" s="11" t="n">
        <v>199174.0285526564</v>
      </c>
      <c r="Q96" s="11" t="n">
        <v>0</v>
      </c>
      <c r="R96" s="11" t="n">
        <v>63719.81157786666</v>
      </c>
      <c r="U96" s="64" t="n">
        <v>102</v>
      </c>
      <c r="V96" s="3">
        <f>J96-P96+D96</f>
        <v/>
      </c>
      <c r="W96" s="3">
        <f>K96-Q96+E96</f>
        <v/>
      </c>
      <c r="X96" s="3">
        <f>L96-R96+F96</f>
        <v/>
      </c>
      <c r="AA96" s="64" t="n">
        <v>102</v>
      </c>
      <c r="AB96" s="2">
        <f>IF(Demand!AU115&gt;Retailers_Cap!N98,(V96/Retailers!P97)/(Demand!AU115-Retailers_Cap!N98),"Inesgotável")</f>
        <v/>
      </c>
      <c r="AC96" s="2">
        <f>IF(Demand!AV115&gt;Retailers_Cap!O98,(W96/Retailers!Q97)/(Demand!AV115-Retailers_Cap!O98),"Inesgotável")</f>
        <v/>
      </c>
      <c r="AD96" s="2">
        <f>IF(Demand!AW115&gt;Retailers_Cap!P98,(X96/Retailers!R97)/(Demand!AW115-Retailers_Cap!P98),"Inesgotável")</f>
        <v/>
      </c>
      <c r="AG96" s="64" t="n">
        <v>102</v>
      </c>
      <c r="AH96" s="64">
        <f>Retailers!AJ97</f>
        <v/>
      </c>
      <c r="AI96" s="64">
        <f>Retailers!AK97</f>
        <v/>
      </c>
      <c r="AJ96" s="64">
        <f>Retailers!AL97</f>
        <v/>
      </c>
      <c r="AM96" s="64" t="n">
        <v>102</v>
      </c>
      <c r="AN96" s="2">
        <f>IF(P96&gt;0,IF(D96=0,"Big stock",AB96/AH96),"Inesgotável")</f>
        <v/>
      </c>
      <c r="AO96" s="2">
        <f>IF(Q96&gt;0,IF(E96=0,"Big stock",AC96/AI96),"Inesgotável")</f>
        <v/>
      </c>
      <c r="AP96" s="2">
        <f>IF(R96&gt;0,IF(F96=0,"Big stock",AD96/AJ96),"Inesgotável")</f>
        <v/>
      </c>
      <c r="AS96" s="64" t="n">
        <v>102</v>
      </c>
      <c r="AT96" s="2">
        <f>Retailers_Cap!BL98</f>
        <v/>
      </c>
      <c r="AU96" s="2">
        <f>Retailers_Cap!BM98</f>
        <v/>
      </c>
      <c r="AV96" s="2">
        <f>Retailers_Cap!BN98</f>
        <v/>
      </c>
      <c r="AY96" s="64" t="n">
        <v>102</v>
      </c>
      <c r="AZ96" s="2">
        <f>IF(D96=0,"no repl",AB96-AT96)</f>
        <v/>
      </c>
      <c r="BA96" s="2">
        <f>IF(E96=0,"no repl",AC96-AU96)</f>
        <v/>
      </c>
      <c r="BB96" s="2">
        <f>IF(F96=0,"no repl",AD96-AV96)</f>
        <v/>
      </c>
    </row>
    <row r="97">
      <c r="C97" s="64" t="n">
        <v>103</v>
      </c>
      <c r="D97" s="11" t="n">
        <v>0</v>
      </c>
      <c r="E97" s="11" t="n">
        <v>0</v>
      </c>
      <c r="F97" s="11" t="n">
        <v>0</v>
      </c>
      <c r="I97" s="64" t="n">
        <v>103</v>
      </c>
      <c r="J97" s="11" t="n">
        <v>52053.92</v>
      </c>
      <c r="K97" s="11" t="n">
        <v>57297.76</v>
      </c>
      <c r="L97" s="11" t="n">
        <v>62688.51</v>
      </c>
      <c r="O97" s="64" t="n">
        <v>103</v>
      </c>
      <c r="P97" s="11" t="n">
        <v>0</v>
      </c>
      <c r="Q97" s="11" t="n">
        <v>0</v>
      </c>
      <c r="R97" s="11" t="n">
        <v>0</v>
      </c>
      <c r="U97" s="64" t="n">
        <v>103</v>
      </c>
      <c r="V97" s="3">
        <f>J97-P97+D97</f>
        <v/>
      </c>
      <c r="W97" s="3">
        <f>K97-Q97+E97</f>
        <v/>
      </c>
      <c r="X97" s="3">
        <f>L97-R97+F97</f>
        <v/>
      </c>
      <c r="AA97" s="64" t="n">
        <v>103</v>
      </c>
      <c r="AB97" s="2">
        <f>IF(Demand!AU116&gt;Retailers_Cap!N99,(V97/Retailers!P98)/(Demand!AU116-Retailers_Cap!N99),"Inesgotável")</f>
        <v/>
      </c>
      <c r="AC97" s="2">
        <f>IF(Demand!AV116&gt;Retailers_Cap!O99,(W97/Retailers!Q98)/(Demand!AV116-Retailers_Cap!O99),"Inesgotável")</f>
        <v/>
      </c>
      <c r="AD97" s="2">
        <f>IF(Demand!AW116&gt;Retailers_Cap!P99,(X97/Retailers!R98)/(Demand!AW116-Retailers_Cap!P99),"Inesgotável")</f>
        <v/>
      </c>
      <c r="AG97" s="64" t="n">
        <v>103</v>
      </c>
      <c r="AH97" s="64">
        <f>Retailers!AJ98</f>
        <v/>
      </c>
      <c r="AI97" s="64">
        <f>Retailers!AK98</f>
        <v/>
      </c>
      <c r="AJ97" s="64">
        <f>Retailers!AL98</f>
        <v/>
      </c>
      <c r="AM97" s="64" t="n">
        <v>103</v>
      </c>
      <c r="AN97" s="2">
        <f>IF(P97&gt;0,IF(D97=0,"Big stock",AB97/AH97),"Inesgotável")</f>
        <v/>
      </c>
      <c r="AO97" s="2">
        <f>IF(Q97&gt;0,IF(E97=0,"Big stock",AC97/AI97),"Inesgotável")</f>
        <v/>
      </c>
      <c r="AP97" s="2">
        <f>IF(R97&gt;0,IF(F97=0,"Big stock",AD97/AJ97),"Inesgotável")</f>
        <v/>
      </c>
      <c r="AS97" s="64" t="n">
        <v>103</v>
      </c>
      <c r="AT97" s="2">
        <f>Retailers_Cap!BL99</f>
        <v/>
      </c>
      <c r="AU97" s="2">
        <f>Retailers_Cap!BM99</f>
        <v/>
      </c>
      <c r="AV97" s="2">
        <f>Retailers_Cap!BN99</f>
        <v/>
      </c>
      <c r="AY97" s="64" t="n">
        <v>103</v>
      </c>
      <c r="AZ97" s="2">
        <f>IF(D97=0,"no repl",AB97-AT97)</f>
        <v/>
      </c>
      <c r="BA97" s="2">
        <f>IF(E97=0,"no repl",AC97-AU97)</f>
        <v/>
      </c>
      <c r="BB97" s="2">
        <f>IF(F97=0,"no repl",AD97-AV97)</f>
        <v/>
      </c>
    </row>
    <row r="98">
      <c r="C98" s="64" t="n">
        <v>104</v>
      </c>
      <c r="D98" s="11" t="n">
        <v>331570.3887399379</v>
      </c>
      <c r="E98" s="11" t="n">
        <v>0</v>
      </c>
      <c r="F98" s="11" t="n">
        <v>0</v>
      </c>
      <c r="I98" s="64" t="n">
        <v>104</v>
      </c>
      <c r="J98" s="11" t="n">
        <v>25040.19</v>
      </c>
      <c r="K98" s="11" t="n">
        <v>71460.18000000001</v>
      </c>
      <c r="L98" s="11" t="n">
        <v>138887.65</v>
      </c>
      <c r="O98" s="64" t="n">
        <v>104</v>
      </c>
      <c r="P98" s="11" t="n">
        <v>194187.1747460132</v>
      </c>
      <c r="Q98" s="11" t="n">
        <v>0</v>
      </c>
      <c r="R98" s="11" t="n">
        <v>0</v>
      </c>
      <c r="U98" s="64" t="n">
        <v>104</v>
      </c>
      <c r="V98" s="3">
        <f>J98-P98+D98</f>
        <v/>
      </c>
      <c r="W98" s="3">
        <f>K98-Q98+E98</f>
        <v/>
      </c>
      <c r="X98" s="3">
        <f>L98-R98+F98</f>
        <v/>
      </c>
      <c r="AA98" s="64" t="n">
        <v>104</v>
      </c>
      <c r="AB98" s="2">
        <f>IF(Demand!AU117&gt;Retailers_Cap!N100,(V98/Retailers!P99)/(Demand!AU117-Retailers_Cap!N100),"Inesgotável")</f>
        <v/>
      </c>
      <c r="AC98" s="2">
        <f>IF(Demand!AV117&gt;Retailers_Cap!O100,(W98/Retailers!Q99)/(Demand!AV117-Retailers_Cap!O100),"Inesgotável")</f>
        <v/>
      </c>
      <c r="AD98" s="2">
        <f>IF(Demand!AW117&gt;Retailers_Cap!P100,(X98/Retailers!R99)/(Demand!AW117-Retailers_Cap!P100),"Inesgotável")</f>
        <v/>
      </c>
      <c r="AG98" s="64" t="n">
        <v>104</v>
      </c>
      <c r="AH98" s="64">
        <f>Retailers!AJ99</f>
        <v/>
      </c>
      <c r="AI98" s="64">
        <f>Retailers!AK99</f>
        <v/>
      </c>
      <c r="AJ98" s="64">
        <f>Retailers!AL99</f>
        <v/>
      </c>
      <c r="AM98" s="64" t="n">
        <v>104</v>
      </c>
      <c r="AN98" s="2">
        <f>IF(P98&gt;0,IF(D98=0,"Big stock",AB98/AH98),"Inesgotável")</f>
        <v/>
      </c>
      <c r="AO98" s="2">
        <f>IF(Q98&gt;0,IF(E98=0,"Big stock",AC98/AI98),"Inesgotável")</f>
        <v/>
      </c>
      <c r="AP98" s="2">
        <f>IF(R98&gt;0,IF(F98=0,"Big stock",AD98/AJ98),"Inesgotável")</f>
        <v/>
      </c>
      <c r="AS98" s="64" t="n">
        <v>104</v>
      </c>
      <c r="AT98" s="2">
        <f>Retailers_Cap!BL100</f>
        <v/>
      </c>
      <c r="AU98" s="2">
        <f>Retailers_Cap!BM100</f>
        <v/>
      </c>
      <c r="AV98" s="2">
        <f>Retailers_Cap!BN100</f>
        <v/>
      </c>
      <c r="AY98" s="64" t="n">
        <v>104</v>
      </c>
      <c r="AZ98" s="2">
        <f>IF(D98=0,"no repl",AB98-AT98)</f>
        <v/>
      </c>
      <c r="BA98" s="2">
        <f>IF(E98=0,"no repl",AC98-AU98)</f>
        <v/>
      </c>
      <c r="BB98" s="2">
        <f>IF(F98=0,"no repl",AD98-AV98)</f>
        <v/>
      </c>
    </row>
    <row r="99">
      <c r="C99" s="64" t="n">
        <v>105</v>
      </c>
      <c r="D99" s="11" t="n">
        <v>86046.48971273097</v>
      </c>
      <c r="E99" s="11" t="n">
        <v>0</v>
      </c>
      <c r="F99" s="11" t="n">
        <v>330996.6682521027</v>
      </c>
      <c r="I99" s="64" t="n">
        <v>105</v>
      </c>
      <c r="J99" s="11" t="n">
        <v>23230.16</v>
      </c>
      <c r="K99" s="11" t="n">
        <v>14727.44</v>
      </c>
      <c r="L99" s="11" t="n">
        <v>99064.31</v>
      </c>
      <c r="O99" s="64" t="n">
        <v>105</v>
      </c>
      <c r="P99" s="11" t="n">
        <v>56135.46918494838</v>
      </c>
      <c r="Q99" s="11" t="n">
        <v>0</v>
      </c>
      <c r="R99" s="11" t="n">
        <v>190839.0641015558</v>
      </c>
      <c r="U99" s="64" t="n">
        <v>105</v>
      </c>
      <c r="V99" s="3">
        <f>J99-P99+D99</f>
        <v/>
      </c>
      <c r="W99" s="3">
        <f>K99-Q99+E99</f>
        <v/>
      </c>
      <c r="X99" s="3">
        <f>L99-R99+F99</f>
        <v/>
      </c>
      <c r="AA99" s="64" t="n">
        <v>105</v>
      </c>
      <c r="AB99" s="2">
        <f>IF(Demand!AU118&gt;Retailers_Cap!N101,(V99/Retailers!P100)/(Demand!AU118-Retailers_Cap!N101),"Inesgotável")</f>
        <v/>
      </c>
      <c r="AC99" s="2">
        <f>IF(Demand!AV118&gt;Retailers_Cap!O101,(W99/Retailers!Q100)/(Demand!AV118-Retailers_Cap!O101),"Inesgotável")</f>
        <v/>
      </c>
      <c r="AD99" s="2">
        <f>IF(Demand!AW118&gt;Retailers_Cap!P101,(X99/Retailers!R100)/(Demand!AW118-Retailers_Cap!P101),"Inesgotável")</f>
        <v/>
      </c>
      <c r="AG99" s="64" t="n">
        <v>105</v>
      </c>
      <c r="AH99" s="64">
        <f>Retailers!AJ100</f>
        <v/>
      </c>
      <c r="AI99" s="64">
        <f>Retailers!AK100</f>
        <v/>
      </c>
      <c r="AJ99" s="64">
        <f>Retailers!AL100</f>
        <v/>
      </c>
      <c r="AM99" s="64" t="n">
        <v>105</v>
      </c>
      <c r="AN99" s="2">
        <f>IF(P99&gt;0,IF(D99=0,"Big stock",AB99/AH99),"Inesgotável")</f>
        <v/>
      </c>
      <c r="AO99" s="2">
        <f>IF(Q99&gt;0,IF(E99=0,"Big stock",AC99/AI99),"Inesgotável")</f>
        <v/>
      </c>
      <c r="AP99" s="2">
        <f>IF(R99&gt;0,IF(F99=0,"Big stock",AD99/AJ99),"Inesgotável")</f>
        <v/>
      </c>
      <c r="AS99" s="64" t="n">
        <v>105</v>
      </c>
      <c r="AT99" s="2">
        <f>Retailers_Cap!BL101</f>
        <v/>
      </c>
      <c r="AU99" s="2">
        <f>Retailers_Cap!BM101</f>
        <v/>
      </c>
      <c r="AV99" s="2">
        <f>Retailers_Cap!BN101</f>
        <v/>
      </c>
      <c r="AY99" s="64" t="n">
        <v>105</v>
      </c>
      <c r="AZ99" s="2">
        <f>IF(D99=0,"no repl",AB99-AT99)</f>
        <v/>
      </c>
      <c r="BA99" s="2">
        <f>IF(E99=0,"no repl",AC99-AU99)</f>
        <v/>
      </c>
      <c r="BB99" s="2">
        <f>IF(F99=0,"no repl",AD99-AV99)</f>
        <v/>
      </c>
    </row>
    <row r="100">
      <c r="C100" s="64" t="n">
        <v>106</v>
      </c>
      <c r="D100" s="11" t="n">
        <v>87089.51150412338</v>
      </c>
      <c r="E100" s="11" t="n">
        <v>0</v>
      </c>
      <c r="F100" s="11" t="n">
        <v>36508.9457818926</v>
      </c>
      <c r="I100" s="64" t="n">
        <v>106</v>
      </c>
      <c r="J100" s="11" t="n">
        <v>4412.73</v>
      </c>
      <c r="K100" s="11" t="n">
        <v>101286</v>
      </c>
      <c r="L100" s="11" t="n">
        <v>41826.7</v>
      </c>
      <c r="O100" s="64" t="n">
        <v>106</v>
      </c>
      <c r="P100" s="11" t="n">
        <v>55128.38389042796</v>
      </c>
      <c r="Q100" s="11" t="n">
        <v>0</v>
      </c>
      <c r="R100" s="11" t="n">
        <v>23088.69458347824</v>
      </c>
      <c r="U100" s="64" t="n">
        <v>106</v>
      </c>
      <c r="V100" s="3">
        <f>J100-P100+D100</f>
        <v/>
      </c>
      <c r="W100" s="3">
        <f>K100-Q100+E100</f>
        <v/>
      </c>
      <c r="X100" s="3">
        <f>L100-R100+F100</f>
        <v/>
      </c>
      <c r="AA100" s="64" t="n">
        <v>106</v>
      </c>
      <c r="AB100" s="2">
        <f>IF(Demand!AU119&gt;Retailers_Cap!N102,(V100/Retailers!P101)/(Demand!AU119-Retailers_Cap!N102),"Inesgotável")</f>
        <v/>
      </c>
      <c r="AC100" s="2">
        <f>IF(Demand!AV119&gt;Retailers_Cap!O102,(W100/Retailers!Q101)/(Demand!AV119-Retailers_Cap!O102),"Inesgotável")</f>
        <v/>
      </c>
      <c r="AD100" s="2">
        <f>IF(Demand!AW119&gt;Retailers_Cap!P102,(X100/Retailers!R101)/(Demand!AW119-Retailers_Cap!P102),"Inesgotável")</f>
        <v/>
      </c>
      <c r="AG100" s="64" t="n">
        <v>106</v>
      </c>
      <c r="AH100" s="64">
        <f>Retailers!AJ101</f>
        <v/>
      </c>
      <c r="AI100" s="64">
        <f>Retailers!AK101</f>
        <v/>
      </c>
      <c r="AJ100" s="64">
        <f>Retailers!AL101</f>
        <v/>
      </c>
      <c r="AM100" s="64" t="n">
        <v>106</v>
      </c>
      <c r="AN100" s="2">
        <f>IF(P100&gt;0,IF(D100=0,"Big stock",AB100/AH100),"Inesgotável")</f>
        <v/>
      </c>
      <c r="AO100" s="2">
        <f>IF(Q100&gt;0,IF(E100=0,"Big stock",AC100/AI100),"Inesgotável")</f>
        <v/>
      </c>
      <c r="AP100" s="2">
        <f>IF(R100&gt;0,IF(F100=0,"Big stock",AD100/AJ100),"Inesgotável")</f>
        <v/>
      </c>
      <c r="AS100" s="64" t="n">
        <v>106</v>
      </c>
      <c r="AT100" s="2">
        <f>Retailers_Cap!BL102</f>
        <v/>
      </c>
      <c r="AU100" s="2">
        <f>Retailers_Cap!BM102</f>
        <v/>
      </c>
      <c r="AV100" s="2">
        <f>Retailers_Cap!BN102</f>
        <v/>
      </c>
      <c r="AY100" s="64" t="n">
        <v>106</v>
      </c>
      <c r="AZ100" s="2">
        <f>IF(D100=0,"no repl",AB100-AT100)</f>
        <v/>
      </c>
      <c r="BA100" s="2">
        <f>IF(E100=0,"no repl",AC100-AU100)</f>
        <v/>
      </c>
      <c r="BB100" s="2">
        <f>IF(F100=0,"no repl",AD100-AV100)</f>
        <v/>
      </c>
    </row>
    <row r="101">
      <c r="C101" s="64" t="n">
        <v>107</v>
      </c>
      <c r="D101" s="11" t="n">
        <v>0</v>
      </c>
      <c r="E101" s="11" t="n">
        <v>0</v>
      </c>
      <c r="F101" s="11" t="n">
        <v>195962.6479006816</v>
      </c>
      <c r="I101" s="64" t="n">
        <v>107</v>
      </c>
      <c r="J101" s="11" t="n">
        <v>20305.55</v>
      </c>
      <c r="K101" s="11" t="n">
        <v>35701</v>
      </c>
      <c r="L101" s="11" t="n">
        <v>40444.25</v>
      </c>
      <c r="O101" s="64" t="n">
        <v>107</v>
      </c>
      <c r="P101" s="11" t="n">
        <v>0</v>
      </c>
      <c r="Q101" s="11" t="n">
        <v>0</v>
      </c>
      <c r="R101" s="11" t="n">
        <v>116343.7947828784</v>
      </c>
      <c r="U101" s="64" t="n">
        <v>107</v>
      </c>
      <c r="V101" s="3">
        <f>J101-P101+D101</f>
        <v/>
      </c>
      <c r="W101" s="3">
        <f>K101-Q101+E101</f>
        <v/>
      </c>
      <c r="X101" s="3">
        <f>L101-R101+F101</f>
        <v/>
      </c>
      <c r="AA101" s="64" t="n">
        <v>107</v>
      </c>
      <c r="AB101" s="2">
        <f>IF(Demand!AU120&gt;Retailers_Cap!N103,(V101/Retailers!P102)/(Demand!AU120-Retailers_Cap!N103),"Inesgotável")</f>
        <v/>
      </c>
      <c r="AC101" s="2">
        <f>IF(Demand!AV120&gt;Retailers_Cap!O103,(W101/Retailers!Q102)/(Demand!AV120-Retailers_Cap!O103),"Inesgotável")</f>
        <v/>
      </c>
      <c r="AD101" s="2">
        <f>IF(Demand!AW120&gt;Retailers_Cap!P103,(X101/Retailers!R102)/(Demand!AW120-Retailers_Cap!P103),"Inesgotável")</f>
        <v/>
      </c>
      <c r="AG101" s="64" t="n">
        <v>107</v>
      </c>
      <c r="AH101" s="64">
        <f>Retailers!AJ102</f>
        <v/>
      </c>
      <c r="AI101" s="64">
        <f>Retailers!AK102</f>
        <v/>
      </c>
      <c r="AJ101" s="64">
        <f>Retailers!AL102</f>
        <v/>
      </c>
      <c r="AM101" s="64" t="n">
        <v>107</v>
      </c>
      <c r="AN101" s="2">
        <f>IF(P101&gt;0,IF(D101=0,"Big stock",AB101/AH101),"Inesgotável")</f>
        <v/>
      </c>
      <c r="AO101" s="2">
        <f>IF(Q101&gt;0,IF(E101=0,"Big stock",AC101/AI101),"Inesgotável")</f>
        <v/>
      </c>
      <c r="AP101" s="2">
        <f>IF(R101&gt;0,IF(F101=0,"Big stock",AD101/AJ101),"Inesgotável")</f>
        <v/>
      </c>
      <c r="AS101" s="64" t="n">
        <v>107</v>
      </c>
      <c r="AT101" s="2">
        <f>Retailers_Cap!BL103</f>
        <v/>
      </c>
      <c r="AU101" s="2">
        <f>Retailers_Cap!BM103</f>
        <v/>
      </c>
      <c r="AV101" s="2">
        <f>Retailers_Cap!BN103</f>
        <v/>
      </c>
      <c r="AY101" s="64" t="n">
        <v>107</v>
      </c>
      <c r="AZ101" s="2">
        <f>IF(D101=0,"no repl",AB101-AT101)</f>
        <v/>
      </c>
      <c r="BA101" s="2">
        <f>IF(E101=0,"no repl",AC101-AU101)</f>
        <v/>
      </c>
      <c r="BB101" s="2">
        <f>IF(F101=0,"no repl",AD101-AV101)</f>
        <v/>
      </c>
    </row>
    <row r="102">
      <c r="C102" s="64" t="n">
        <v>108</v>
      </c>
      <c r="D102" s="11" t="n">
        <v>0</v>
      </c>
      <c r="E102" s="11" t="n">
        <v>0</v>
      </c>
      <c r="F102" s="11" t="n">
        <v>0</v>
      </c>
      <c r="I102" s="64" t="n">
        <v>108</v>
      </c>
      <c r="J102" s="11" t="n">
        <v>11981.71</v>
      </c>
      <c r="K102" s="11" t="n">
        <v>37321.6</v>
      </c>
      <c r="L102" s="11" t="n">
        <v>19905.93</v>
      </c>
      <c r="O102" s="64" t="n">
        <v>108</v>
      </c>
      <c r="P102" s="11" t="n">
        <v>0</v>
      </c>
      <c r="Q102" s="11" t="n">
        <v>0</v>
      </c>
      <c r="R102" s="11" t="n">
        <v>0</v>
      </c>
      <c r="U102" s="64" t="n">
        <v>108</v>
      </c>
      <c r="V102" s="3">
        <f>J102-P102+D102</f>
        <v/>
      </c>
      <c r="W102" s="3">
        <f>K102-Q102+E102</f>
        <v/>
      </c>
      <c r="X102" s="3">
        <f>L102-R102+F102</f>
        <v/>
      </c>
      <c r="AA102" s="64" t="n">
        <v>108</v>
      </c>
      <c r="AB102" s="2">
        <f>IF(Demand!AU121&gt;Retailers_Cap!N104,(V102/Retailers!P103)/(Demand!AU121-Retailers_Cap!N104),"Inesgotável")</f>
        <v/>
      </c>
      <c r="AC102" s="2">
        <f>IF(Demand!AV121&gt;Retailers_Cap!O104,(W102/Retailers!Q103)/(Demand!AV121-Retailers_Cap!O104),"Inesgotável")</f>
        <v/>
      </c>
      <c r="AD102" s="2">
        <f>IF(Demand!AW121&gt;Retailers_Cap!P104,(X102/Retailers!R103)/(Demand!AW121-Retailers_Cap!P104),"Inesgotável")</f>
        <v/>
      </c>
      <c r="AG102" s="64" t="n">
        <v>108</v>
      </c>
      <c r="AH102" s="64">
        <f>Retailers!AJ103</f>
        <v/>
      </c>
      <c r="AI102" s="64">
        <f>Retailers!AK103</f>
        <v/>
      </c>
      <c r="AJ102" s="64">
        <f>Retailers!AL103</f>
        <v/>
      </c>
      <c r="AM102" s="64" t="n">
        <v>108</v>
      </c>
      <c r="AN102" s="2">
        <f>IF(P102&gt;0,IF(D102=0,"Big stock",AB102/AH102),"Inesgotável")</f>
        <v/>
      </c>
      <c r="AO102" s="2">
        <f>IF(Q102&gt;0,IF(E102=0,"Big stock",AC102/AI102),"Inesgotável")</f>
        <v/>
      </c>
      <c r="AP102" s="2">
        <f>IF(R102&gt;0,IF(F102=0,"Big stock",AD102/AJ102),"Inesgotável")</f>
        <v/>
      </c>
      <c r="AS102" s="64" t="n">
        <v>108</v>
      </c>
      <c r="AT102" s="2">
        <f>Retailers_Cap!BL104</f>
        <v/>
      </c>
      <c r="AU102" s="2">
        <f>Retailers_Cap!BM104</f>
        <v/>
      </c>
      <c r="AV102" s="2">
        <f>Retailers_Cap!BN104</f>
        <v/>
      </c>
      <c r="AY102" s="64" t="n">
        <v>108</v>
      </c>
      <c r="AZ102" s="2">
        <f>IF(D102=0,"no repl",AB102-AT102)</f>
        <v/>
      </c>
      <c r="BA102" s="2">
        <f>IF(E102=0,"no repl",AC102-AU102)</f>
        <v/>
      </c>
      <c r="BB102" s="2">
        <f>IF(F102=0,"no repl",AD102-AV102)</f>
        <v/>
      </c>
    </row>
    <row r="103">
      <c r="C103" s="64" t="n">
        <v>109</v>
      </c>
      <c r="D103" s="11" t="n">
        <v>241053.5722139705</v>
      </c>
      <c r="E103" s="11" t="n">
        <v>0</v>
      </c>
      <c r="F103" s="11" t="n">
        <v>0</v>
      </c>
      <c r="I103" s="64" t="n">
        <v>109</v>
      </c>
      <c r="J103" s="11" t="n">
        <v>62196.33</v>
      </c>
      <c r="K103" s="11" t="n">
        <v>76273.2</v>
      </c>
      <c r="L103" s="11" t="n">
        <v>119346.69</v>
      </c>
      <c r="O103" s="64" t="n">
        <v>109</v>
      </c>
      <c r="P103" s="11" t="n">
        <v>147042.4622434845</v>
      </c>
      <c r="Q103" s="11" t="n">
        <v>0</v>
      </c>
      <c r="R103" s="11" t="n">
        <v>0</v>
      </c>
      <c r="U103" s="64" t="n">
        <v>109</v>
      </c>
      <c r="V103" s="3">
        <f>J103-P103+D103</f>
        <v/>
      </c>
      <c r="W103" s="3">
        <f>K103-Q103+E103</f>
        <v/>
      </c>
      <c r="X103" s="3">
        <f>L103-R103+F103</f>
        <v/>
      </c>
      <c r="AA103" s="64" t="n">
        <v>109</v>
      </c>
      <c r="AB103" s="2">
        <f>IF(Demand!AU122&gt;Retailers_Cap!N105,(V103/Retailers!P104)/(Demand!AU122-Retailers_Cap!N105),"Inesgotável")</f>
        <v/>
      </c>
      <c r="AC103" s="2">
        <f>IF(Demand!AV122&gt;Retailers_Cap!O105,(W103/Retailers!Q104)/(Demand!AV122-Retailers_Cap!O105),"Inesgotável")</f>
        <v/>
      </c>
      <c r="AD103" s="2">
        <f>IF(Demand!AW122&gt;Retailers_Cap!P105,(X103/Retailers!R104)/(Demand!AW122-Retailers_Cap!P105),"Inesgotável")</f>
        <v/>
      </c>
      <c r="AG103" s="64" t="n">
        <v>109</v>
      </c>
      <c r="AH103" s="64">
        <f>Retailers!AJ104</f>
        <v/>
      </c>
      <c r="AI103" s="64">
        <f>Retailers!AK104</f>
        <v/>
      </c>
      <c r="AJ103" s="64">
        <f>Retailers!AL104</f>
        <v/>
      </c>
      <c r="AM103" s="64" t="n">
        <v>109</v>
      </c>
      <c r="AN103" s="2">
        <f>IF(P103&gt;0,IF(D103=0,"Big stock",AB103/AH103),"Inesgotável")</f>
        <v/>
      </c>
      <c r="AO103" s="2">
        <f>IF(Q103&gt;0,IF(E103=0,"Big stock",AC103/AI103),"Inesgotável")</f>
        <v/>
      </c>
      <c r="AP103" s="2">
        <f>IF(R103&gt;0,IF(F103=0,"Big stock",AD103/AJ103),"Inesgotável")</f>
        <v/>
      </c>
      <c r="AS103" s="64" t="n">
        <v>109</v>
      </c>
      <c r="AT103" s="2">
        <f>Retailers_Cap!BL105</f>
        <v/>
      </c>
      <c r="AU103" s="2">
        <f>Retailers_Cap!BM105</f>
        <v/>
      </c>
      <c r="AV103" s="2">
        <f>Retailers_Cap!BN105</f>
        <v/>
      </c>
      <c r="AY103" s="64" t="n">
        <v>109</v>
      </c>
      <c r="AZ103" s="2">
        <f>IF(D103=0,"no repl",AB103-AT103)</f>
        <v/>
      </c>
      <c r="BA103" s="2">
        <f>IF(E103=0,"no repl",AC103-AU103)</f>
        <v/>
      </c>
      <c r="BB103" s="2">
        <f>IF(F103=0,"no repl",AD103-AV103)</f>
        <v/>
      </c>
    </row>
    <row r="104">
      <c r="C104" s="64" t="n">
        <v>110</v>
      </c>
      <c r="D104" s="11" t="n">
        <v>692487.1190169802</v>
      </c>
      <c r="E104" s="11" t="n">
        <v>0</v>
      </c>
      <c r="F104" s="11" t="n">
        <v>0</v>
      </c>
      <c r="I104" s="64" t="n">
        <v>110</v>
      </c>
      <c r="J104" s="11" t="n">
        <v>37117.36</v>
      </c>
      <c r="K104" s="11" t="n">
        <v>22698.72</v>
      </c>
      <c r="L104" s="11" t="n">
        <v>53686.18</v>
      </c>
      <c r="O104" s="64" t="n">
        <v>110</v>
      </c>
      <c r="P104" s="11" t="n">
        <v>433719.9141785938</v>
      </c>
      <c r="Q104" s="11" t="n">
        <v>0</v>
      </c>
      <c r="R104" s="11" t="n">
        <v>0</v>
      </c>
      <c r="U104" s="64" t="n">
        <v>110</v>
      </c>
      <c r="V104" s="3">
        <f>J104-P104+D104</f>
        <v/>
      </c>
      <c r="W104" s="3">
        <f>K104-Q104+E104</f>
        <v/>
      </c>
      <c r="X104" s="3">
        <f>L104-R104+F104</f>
        <v/>
      </c>
      <c r="AA104" s="64" t="n">
        <v>110</v>
      </c>
      <c r="AB104" s="2">
        <f>IF(Demand!AU123&gt;Retailers_Cap!N106,(V104/Retailers!P105)/(Demand!AU123-Retailers_Cap!N106),"Inesgotável")</f>
        <v/>
      </c>
      <c r="AC104" s="2">
        <f>IF(Demand!AV123&gt;Retailers_Cap!O106,(W104/Retailers!Q105)/(Demand!AV123-Retailers_Cap!O106),"Inesgotável")</f>
        <v/>
      </c>
      <c r="AD104" s="2">
        <f>IF(Demand!AW123&gt;Retailers_Cap!P106,(X104/Retailers!R105)/(Demand!AW123-Retailers_Cap!P106),"Inesgotável")</f>
        <v/>
      </c>
      <c r="AG104" s="64" t="n">
        <v>110</v>
      </c>
      <c r="AH104" s="64">
        <f>Retailers!AJ105</f>
        <v/>
      </c>
      <c r="AI104" s="64">
        <f>Retailers!AK105</f>
        <v/>
      </c>
      <c r="AJ104" s="64">
        <f>Retailers!AL105</f>
        <v/>
      </c>
      <c r="AM104" s="64" t="n">
        <v>110</v>
      </c>
      <c r="AN104" s="2">
        <f>IF(P104&gt;0,IF(D104=0,"Big stock",AB104/AH104),"Inesgotável")</f>
        <v/>
      </c>
      <c r="AO104" s="2">
        <f>IF(Q104&gt;0,IF(E104=0,"Big stock",AC104/AI104),"Inesgotável")</f>
        <v/>
      </c>
      <c r="AP104" s="2">
        <f>IF(R104&gt;0,IF(F104=0,"Big stock",AD104/AJ104),"Inesgotável")</f>
        <v/>
      </c>
      <c r="AS104" s="64" t="n">
        <v>110</v>
      </c>
      <c r="AT104" s="2">
        <f>Retailers_Cap!BL106</f>
        <v/>
      </c>
      <c r="AU104" s="2">
        <f>Retailers_Cap!BM106</f>
        <v/>
      </c>
      <c r="AV104" s="2">
        <f>Retailers_Cap!BN106</f>
        <v/>
      </c>
      <c r="AY104" s="64" t="n">
        <v>110</v>
      </c>
      <c r="AZ104" s="2">
        <f>IF(D104=0,"no repl",AB104-AT104)</f>
        <v/>
      </c>
      <c r="BA104" s="2">
        <f>IF(E104=0,"no repl",AC104-AU104)</f>
        <v/>
      </c>
      <c r="BB104" s="2">
        <f>IF(F104=0,"no repl",AD104-AV104)</f>
        <v/>
      </c>
    </row>
    <row r="105">
      <c r="C105" s="64" t="n">
        <v>111</v>
      </c>
      <c r="D105" s="11" t="n">
        <v>0</v>
      </c>
      <c r="E105" s="11" t="n">
        <v>0</v>
      </c>
      <c r="F105" s="11" t="n">
        <v>0</v>
      </c>
      <c r="I105" s="64" t="n">
        <v>111</v>
      </c>
      <c r="J105" s="11" t="n">
        <v>75936.96000000001</v>
      </c>
      <c r="K105" s="11" t="n">
        <v>38566.4</v>
      </c>
      <c r="L105" s="11" t="n">
        <v>16021.6</v>
      </c>
      <c r="O105" s="64" t="n">
        <v>111</v>
      </c>
      <c r="P105" s="11" t="n">
        <v>0</v>
      </c>
      <c r="Q105" s="11" t="n">
        <v>0</v>
      </c>
      <c r="R105" s="11" t="n">
        <v>0</v>
      </c>
      <c r="U105" s="64" t="n">
        <v>111</v>
      </c>
      <c r="V105" s="3">
        <f>J105-P105+D105</f>
        <v/>
      </c>
      <c r="W105" s="3">
        <f>K105-Q105+E105</f>
        <v/>
      </c>
      <c r="X105" s="3">
        <f>L105-R105+F105</f>
        <v/>
      </c>
      <c r="AA105" s="64" t="n">
        <v>111</v>
      </c>
      <c r="AB105" s="2">
        <f>IF(Demand!AU124&gt;Retailers_Cap!N107,(V105/Retailers!P106)/(Demand!AU124-Retailers_Cap!N107),"Inesgotável")</f>
        <v/>
      </c>
      <c r="AC105" s="2">
        <f>IF(Demand!AV124&gt;Retailers_Cap!O107,(W105/Retailers!Q106)/(Demand!AV124-Retailers_Cap!O107),"Inesgotável")</f>
        <v/>
      </c>
      <c r="AD105" s="2">
        <f>IF(Demand!AW124&gt;Retailers_Cap!P107,(X105/Retailers!R106)/(Demand!AW124-Retailers_Cap!P107),"Inesgotável")</f>
        <v/>
      </c>
      <c r="AG105" s="64" t="n">
        <v>111</v>
      </c>
      <c r="AH105" s="64">
        <f>Retailers!AJ106</f>
        <v/>
      </c>
      <c r="AI105" s="64">
        <f>Retailers!AK106</f>
        <v/>
      </c>
      <c r="AJ105" s="64">
        <f>Retailers!AL106</f>
        <v/>
      </c>
      <c r="AM105" s="64" t="n">
        <v>111</v>
      </c>
      <c r="AN105" s="2">
        <f>IF(P105&gt;0,IF(D105=0,"Big stock",AB105/AH105),"Inesgotável")</f>
        <v/>
      </c>
      <c r="AO105" s="2">
        <f>IF(Q105&gt;0,IF(E105=0,"Big stock",AC105/AI105),"Inesgotável")</f>
        <v/>
      </c>
      <c r="AP105" s="2">
        <f>IF(R105&gt;0,IF(F105=0,"Big stock",AD105/AJ105),"Inesgotável")</f>
        <v/>
      </c>
      <c r="AS105" s="64" t="n">
        <v>111</v>
      </c>
      <c r="AT105" s="2">
        <f>Retailers_Cap!BL107</f>
        <v/>
      </c>
      <c r="AU105" s="2">
        <f>Retailers_Cap!BM107</f>
        <v/>
      </c>
      <c r="AV105" s="2">
        <f>Retailers_Cap!BN107</f>
        <v/>
      </c>
      <c r="AY105" s="64" t="n">
        <v>111</v>
      </c>
      <c r="AZ105" s="2">
        <f>IF(D105=0,"no repl",AB105-AT105)</f>
        <v/>
      </c>
      <c r="BA105" s="2">
        <f>IF(E105=0,"no repl",AC105-AU105)</f>
        <v/>
      </c>
      <c r="BB105" s="2">
        <f>IF(F105=0,"no repl",AD105-AV105)</f>
        <v/>
      </c>
    </row>
    <row r="106">
      <c r="C106" s="64" t="n">
        <v>112</v>
      </c>
      <c r="D106" s="11" t="n">
        <v>0</v>
      </c>
      <c r="E106" s="11" t="n">
        <v>0</v>
      </c>
      <c r="F106" s="11" t="n">
        <v>0</v>
      </c>
      <c r="I106" s="64" t="n">
        <v>112</v>
      </c>
      <c r="J106" s="11" t="n">
        <v>8850.599999999999</v>
      </c>
      <c r="K106" s="11" t="n">
        <v>48809.54</v>
      </c>
      <c r="L106" s="11" t="n">
        <v>4013.55</v>
      </c>
      <c r="O106" s="64" t="n">
        <v>112</v>
      </c>
      <c r="P106" s="11" t="n">
        <v>0</v>
      </c>
      <c r="Q106" s="11" t="n">
        <v>0</v>
      </c>
      <c r="R106" s="11" t="n">
        <v>0</v>
      </c>
      <c r="U106" s="64" t="n">
        <v>112</v>
      </c>
      <c r="V106" s="3">
        <f>J106-P106+D106</f>
        <v/>
      </c>
      <c r="W106" s="3">
        <f>K106-Q106+E106</f>
        <v/>
      </c>
      <c r="X106" s="3">
        <f>L106-R106+F106</f>
        <v/>
      </c>
      <c r="AA106" s="64" t="n">
        <v>112</v>
      </c>
      <c r="AB106" s="2">
        <f>IF(Demand!AU125&gt;Retailers_Cap!N108,(V106/Retailers!P107)/(Demand!AU125-Retailers_Cap!N108),"Inesgotável")</f>
        <v/>
      </c>
      <c r="AC106" s="2">
        <f>IF(Demand!AV125&gt;Retailers_Cap!O108,(W106/Retailers!Q107)/(Demand!AV125-Retailers_Cap!O108),"Inesgotável")</f>
        <v/>
      </c>
      <c r="AD106" s="2">
        <f>IF(Demand!AW125&gt;Retailers_Cap!P108,(X106/Retailers!R107)/(Demand!AW125-Retailers_Cap!P108),"Inesgotável")</f>
        <v/>
      </c>
      <c r="AG106" s="64" t="n">
        <v>112</v>
      </c>
      <c r="AH106" s="64">
        <f>Retailers!AJ107</f>
        <v/>
      </c>
      <c r="AI106" s="64">
        <f>Retailers!AK107</f>
        <v/>
      </c>
      <c r="AJ106" s="64">
        <f>Retailers!AL107</f>
        <v/>
      </c>
      <c r="AM106" s="64" t="n">
        <v>112</v>
      </c>
      <c r="AN106" s="2">
        <f>IF(P106&gt;0,IF(D106=0,"Big stock",AB106/AH106),"Inesgotável")</f>
        <v/>
      </c>
      <c r="AO106" s="2">
        <f>IF(Q106&gt;0,IF(E106=0,"Big stock",AC106/AI106),"Inesgotável")</f>
        <v/>
      </c>
      <c r="AP106" s="2">
        <f>IF(R106&gt;0,IF(F106=0,"Big stock",AD106/AJ106),"Inesgotável")</f>
        <v/>
      </c>
      <c r="AS106" s="64" t="n">
        <v>112</v>
      </c>
      <c r="AT106" s="2">
        <f>Retailers_Cap!BL108</f>
        <v/>
      </c>
      <c r="AU106" s="2">
        <f>Retailers_Cap!BM108</f>
        <v/>
      </c>
      <c r="AV106" s="2">
        <f>Retailers_Cap!BN108</f>
        <v/>
      </c>
      <c r="AY106" s="64" t="n">
        <v>112</v>
      </c>
      <c r="AZ106" s="2">
        <f>IF(D106=0,"no repl",AB106-AT106)</f>
        <v/>
      </c>
      <c r="BA106" s="2">
        <f>IF(E106=0,"no repl",AC106-AU106)</f>
        <v/>
      </c>
      <c r="BB106" s="2">
        <f>IF(F106=0,"no repl",AD106-AV106)</f>
        <v/>
      </c>
    </row>
    <row r="107">
      <c r="C107" s="64" t="n">
        <v>113</v>
      </c>
      <c r="D107" s="11" t="n">
        <v>0</v>
      </c>
      <c r="E107" s="11" t="n">
        <v>180037.0604603296</v>
      </c>
      <c r="F107" s="11" t="n">
        <v>0</v>
      </c>
      <c r="I107" s="64" t="n">
        <v>113</v>
      </c>
      <c r="J107" s="11" t="n">
        <v>70079.74000000001</v>
      </c>
      <c r="K107" s="11" t="n">
        <v>28676.05</v>
      </c>
      <c r="L107" s="11" t="n">
        <v>53187.45</v>
      </c>
      <c r="O107" s="64" t="n">
        <v>113</v>
      </c>
      <c r="P107" s="11" t="n">
        <v>0</v>
      </c>
      <c r="Q107" s="11" t="n">
        <v>107269.366622825</v>
      </c>
      <c r="R107" s="11" t="n">
        <v>0</v>
      </c>
      <c r="U107" s="64" t="n">
        <v>113</v>
      </c>
      <c r="V107" s="3">
        <f>J107-P107+D107</f>
        <v/>
      </c>
      <c r="W107" s="3">
        <f>K107-Q107+E107</f>
        <v/>
      </c>
      <c r="X107" s="3">
        <f>L107-R107+F107</f>
        <v/>
      </c>
      <c r="AA107" s="64" t="n">
        <v>113</v>
      </c>
      <c r="AB107" s="2">
        <f>IF(Demand!AU126&gt;Retailers_Cap!N109,(V107/Retailers!P108)/(Demand!AU126-Retailers_Cap!N109),"Inesgotável")</f>
        <v/>
      </c>
      <c r="AC107" s="2">
        <f>IF(Demand!AV126&gt;Retailers_Cap!O109,(W107/Retailers!Q108)/(Demand!AV126-Retailers_Cap!O109),"Inesgotável")</f>
        <v/>
      </c>
      <c r="AD107" s="2">
        <f>IF(Demand!AW126&gt;Retailers_Cap!P109,(X107/Retailers!R108)/(Demand!AW126-Retailers_Cap!P109),"Inesgotável")</f>
        <v/>
      </c>
      <c r="AG107" s="64" t="n">
        <v>113</v>
      </c>
      <c r="AH107" s="64">
        <f>Retailers!AJ108</f>
        <v/>
      </c>
      <c r="AI107" s="64">
        <f>Retailers!AK108</f>
        <v/>
      </c>
      <c r="AJ107" s="64">
        <f>Retailers!AL108</f>
        <v/>
      </c>
      <c r="AM107" s="64" t="n">
        <v>113</v>
      </c>
      <c r="AN107" s="2">
        <f>IF(P107&gt;0,IF(D107=0,"Big stock",AB107/AH107),"Inesgotável")</f>
        <v/>
      </c>
      <c r="AO107" s="2">
        <f>IF(Q107&gt;0,IF(E107=0,"Big stock",AC107/AI107),"Inesgotável")</f>
        <v/>
      </c>
      <c r="AP107" s="2">
        <f>IF(R107&gt;0,IF(F107=0,"Big stock",AD107/AJ107),"Inesgotável")</f>
        <v/>
      </c>
      <c r="AS107" s="64" t="n">
        <v>113</v>
      </c>
      <c r="AT107" s="2">
        <f>Retailers_Cap!BL109</f>
        <v/>
      </c>
      <c r="AU107" s="2">
        <f>Retailers_Cap!BM109</f>
        <v/>
      </c>
      <c r="AV107" s="2">
        <f>Retailers_Cap!BN109</f>
        <v/>
      </c>
      <c r="AY107" s="64" t="n">
        <v>113</v>
      </c>
      <c r="AZ107" s="2">
        <f>IF(D107=0,"no repl",AB107-AT107)</f>
        <v/>
      </c>
      <c r="BA107" s="2">
        <f>IF(E107=0,"no repl",AC107-AU107)</f>
        <v/>
      </c>
      <c r="BB107" s="2">
        <f>IF(F107=0,"no repl",AD107-AV107)</f>
        <v/>
      </c>
    </row>
    <row r="108">
      <c r="C108" s="64" t="n">
        <v>114</v>
      </c>
      <c r="D108" s="11" t="n">
        <v>384077.4436241108</v>
      </c>
      <c r="E108" s="11" t="n">
        <v>0</v>
      </c>
      <c r="F108" s="11" t="n">
        <v>0</v>
      </c>
      <c r="I108" s="64" t="n">
        <v>114</v>
      </c>
      <c r="J108" s="11" t="n">
        <v>63820.17</v>
      </c>
      <c r="K108" s="11" t="n">
        <v>43565.19</v>
      </c>
      <c r="L108" s="11" t="n">
        <v>2663</v>
      </c>
      <c r="O108" s="64" t="n">
        <v>114</v>
      </c>
      <c r="P108" s="11" t="n">
        <v>223042.4326897822</v>
      </c>
      <c r="Q108" s="11" t="n">
        <v>0</v>
      </c>
      <c r="R108" s="11" t="n">
        <v>0</v>
      </c>
      <c r="U108" s="64" t="n">
        <v>114</v>
      </c>
      <c r="V108" s="3">
        <f>J108-P108+D108</f>
        <v/>
      </c>
      <c r="W108" s="3">
        <f>K108-Q108+E108</f>
        <v/>
      </c>
      <c r="X108" s="3">
        <f>L108-R108+F108</f>
        <v/>
      </c>
      <c r="AA108" s="64" t="n">
        <v>114</v>
      </c>
      <c r="AB108" s="2">
        <f>IF(Demand!AU127&gt;Retailers_Cap!N110,(V108/Retailers!P109)/(Demand!AU127-Retailers_Cap!N110),"Inesgotável")</f>
        <v/>
      </c>
      <c r="AC108" s="2">
        <f>IF(Demand!AV127&gt;Retailers_Cap!O110,(W108/Retailers!Q109)/(Demand!AV127-Retailers_Cap!O110),"Inesgotável")</f>
        <v/>
      </c>
      <c r="AD108" s="2">
        <f>IF(Demand!AW127&gt;Retailers_Cap!P110,(X108/Retailers!R109)/(Demand!AW127-Retailers_Cap!P110),"Inesgotável")</f>
        <v/>
      </c>
      <c r="AG108" s="64" t="n">
        <v>114</v>
      </c>
      <c r="AH108" s="64">
        <f>Retailers!AJ109</f>
        <v/>
      </c>
      <c r="AI108" s="64">
        <f>Retailers!AK109</f>
        <v/>
      </c>
      <c r="AJ108" s="64">
        <f>Retailers!AL109</f>
        <v/>
      </c>
      <c r="AM108" s="64" t="n">
        <v>114</v>
      </c>
      <c r="AN108" s="2">
        <f>IF(P108&gt;0,IF(D108=0,"Big stock",AB108/AH108),"Inesgotável")</f>
        <v/>
      </c>
      <c r="AO108" s="2">
        <f>IF(Q108&gt;0,IF(E108=0,"Big stock",AC108/AI108),"Inesgotável")</f>
        <v/>
      </c>
      <c r="AP108" s="2">
        <f>IF(R108&gt;0,IF(F108=0,"Big stock",AD108/AJ108),"Inesgotável")</f>
        <v/>
      </c>
      <c r="AS108" s="64" t="n">
        <v>114</v>
      </c>
      <c r="AT108" s="2">
        <f>Retailers_Cap!BL110</f>
        <v/>
      </c>
      <c r="AU108" s="2">
        <f>Retailers_Cap!BM110</f>
        <v/>
      </c>
      <c r="AV108" s="2">
        <f>Retailers_Cap!BN110</f>
        <v/>
      </c>
      <c r="AY108" s="64" t="n">
        <v>114</v>
      </c>
      <c r="AZ108" s="2">
        <f>IF(D108=0,"no repl",AB108-AT108)</f>
        <v/>
      </c>
      <c r="BA108" s="2">
        <f>IF(E108=0,"no repl",AC108-AU108)</f>
        <v/>
      </c>
      <c r="BB108" s="2">
        <f>IF(F108=0,"no repl",AD108-AV108)</f>
        <v/>
      </c>
    </row>
    <row r="109">
      <c r="C109" s="64" t="n">
        <v>115</v>
      </c>
      <c r="D109" s="11" t="n">
        <v>0</v>
      </c>
      <c r="E109" s="11" t="n">
        <v>0</v>
      </c>
      <c r="F109" s="11" t="n">
        <v>0</v>
      </c>
      <c r="I109" s="64" t="n">
        <v>115</v>
      </c>
      <c r="J109" s="11" t="n">
        <v>30163.64</v>
      </c>
      <c r="K109" s="11" t="n">
        <v>24521</v>
      </c>
      <c r="L109" s="11" t="n">
        <v>30923.28</v>
      </c>
      <c r="O109" s="64" t="n">
        <v>115</v>
      </c>
      <c r="P109" s="11" t="n">
        <v>0</v>
      </c>
      <c r="Q109" s="11" t="n">
        <v>0</v>
      </c>
      <c r="R109" s="11" t="n">
        <v>0</v>
      </c>
      <c r="U109" s="64" t="n">
        <v>115</v>
      </c>
      <c r="V109" s="3">
        <f>J109-P109+D109</f>
        <v/>
      </c>
      <c r="W109" s="3">
        <f>K109-Q109+E109</f>
        <v/>
      </c>
      <c r="X109" s="3">
        <f>L109-R109+F109</f>
        <v/>
      </c>
      <c r="AA109" s="64" t="n">
        <v>115</v>
      </c>
      <c r="AB109" s="2">
        <f>IF(Demand!AU128&gt;Retailers_Cap!N111,(V109/Retailers!P110)/(Demand!AU128-Retailers_Cap!N111),"Inesgotável")</f>
        <v/>
      </c>
      <c r="AC109" s="2">
        <f>IF(Demand!AV128&gt;Retailers_Cap!O111,(W109/Retailers!Q110)/(Demand!AV128-Retailers_Cap!O111),"Inesgotável")</f>
        <v/>
      </c>
      <c r="AD109" s="2">
        <f>IF(Demand!AW128&gt;Retailers_Cap!P111,(X109/Retailers!R110)/(Demand!AW128-Retailers_Cap!P111),"Inesgotável")</f>
        <v/>
      </c>
      <c r="AG109" s="64" t="n">
        <v>115</v>
      </c>
      <c r="AH109" s="64">
        <f>Retailers!AJ110</f>
        <v/>
      </c>
      <c r="AI109" s="64">
        <f>Retailers!AK110</f>
        <v/>
      </c>
      <c r="AJ109" s="64">
        <f>Retailers!AL110</f>
        <v/>
      </c>
      <c r="AM109" s="64" t="n">
        <v>115</v>
      </c>
      <c r="AN109" s="2">
        <f>IF(P109&gt;0,IF(D109=0,"Big stock",AB109/AH109),"Inesgotável")</f>
        <v/>
      </c>
      <c r="AO109" s="2">
        <f>IF(Q109&gt;0,IF(E109=0,"Big stock",AC109/AI109),"Inesgotável")</f>
        <v/>
      </c>
      <c r="AP109" s="2">
        <f>IF(R109&gt;0,IF(F109=0,"Big stock",AD109/AJ109),"Inesgotável")</f>
        <v/>
      </c>
      <c r="AS109" s="64" t="n">
        <v>115</v>
      </c>
      <c r="AT109" s="2">
        <f>Retailers_Cap!BL111</f>
        <v/>
      </c>
      <c r="AU109" s="2">
        <f>Retailers_Cap!BM111</f>
        <v/>
      </c>
      <c r="AV109" s="2">
        <f>Retailers_Cap!BN111</f>
        <v/>
      </c>
      <c r="AY109" s="64" t="n">
        <v>115</v>
      </c>
      <c r="AZ109" s="2">
        <f>IF(D109=0,"no repl",AB109-AT109)</f>
        <v/>
      </c>
      <c r="BA109" s="2">
        <f>IF(E109=0,"no repl",AC109-AU109)</f>
        <v/>
      </c>
      <c r="BB109" s="2">
        <f>IF(F109=0,"no repl",AD109-AV109)</f>
        <v/>
      </c>
    </row>
    <row r="110">
      <c r="C110" s="64" t="n">
        <v>116</v>
      </c>
      <c r="D110" s="11" t="n">
        <v>0</v>
      </c>
      <c r="E110" s="11" t="n">
        <v>0</v>
      </c>
      <c r="F110" s="11" t="n">
        <v>0</v>
      </c>
      <c r="I110" s="64" t="n">
        <v>116</v>
      </c>
      <c r="J110" s="11" t="n">
        <v>20605.26</v>
      </c>
      <c r="K110" s="11" t="n">
        <v>102370.88</v>
      </c>
      <c r="L110" s="11" t="n">
        <v>19812.87</v>
      </c>
      <c r="O110" s="64" t="n">
        <v>116</v>
      </c>
      <c r="P110" s="11" t="n">
        <v>0</v>
      </c>
      <c r="Q110" s="11" t="n">
        <v>0</v>
      </c>
      <c r="R110" s="11" t="n">
        <v>0</v>
      </c>
      <c r="U110" s="64" t="n">
        <v>116</v>
      </c>
      <c r="V110" s="3">
        <f>J110-P110+D110</f>
        <v/>
      </c>
      <c r="W110" s="3">
        <f>K110-Q110+E110</f>
        <v/>
      </c>
      <c r="X110" s="3">
        <f>L110-R110+F110</f>
        <v/>
      </c>
      <c r="AA110" s="64" t="n">
        <v>116</v>
      </c>
      <c r="AB110" s="2">
        <f>IF(Demand!AU129&gt;Retailers_Cap!N112,(V110/Retailers!P111)/(Demand!AU129-Retailers_Cap!N112),"Inesgotável")</f>
        <v/>
      </c>
      <c r="AC110" s="2">
        <f>IF(Demand!AV129&gt;Retailers_Cap!O112,(W110/Retailers!Q111)/(Demand!AV129-Retailers_Cap!O112),"Inesgotável")</f>
        <v/>
      </c>
      <c r="AD110" s="2">
        <f>IF(Demand!AW129&gt;Retailers_Cap!P112,(X110/Retailers!R111)/(Demand!AW129-Retailers_Cap!P112),"Inesgotável")</f>
        <v/>
      </c>
      <c r="AG110" s="64" t="n">
        <v>116</v>
      </c>
      <c r="AH110" s="64">
        <f>Retailers!AJ111</f>
        <v/>
      </c>
      <c r="AI110" s="64">
        <f>Retailers!AK111</f>
        <v/>
      </c>
      <c r="AJ110" s="64">
        <f>Retailers!AL111</f>
        <v/>
      </c>
      <c r="AM110" s="64" t="n">
        <v>116</v>
      </c>
      <c r="AN110" s="2">
        <f>IF(P110&gt;0,IF(D110=0,"Big stock",AB110/AH110),"Inesgotável")</f>
        <v/>
      </c>
      <c r="AO110" s="2">
        <f>IF(Q110&gt;0,IF(E110=0,"Big stock",AC110/AI110),"Inesgotável")</f>
        <v/>
      </c>
      <c r="AP110" s="2">
        <f>IF(R110&gt;0,IF(F110=0,"Big stock",AD110/AJ110),"Inesgotável")</f>
        <v/>
      </c>
      <c r="AS110" s="64" t="n">
        <v>116</v>
      </c>
      <c r="AT110" s="2">
        <f>Retailers_Cap!BL112</f>
        <v/>
      </c>
      <c r="AU110" s="2">
        <f>Retailers_Cap!BM112</f>
        <v/>
      </c>
      <c r="AV110" s="2">
        <f>Retailers_Cap!BN112</f>
        <v/>
      </c>
      <c r="AY110" s="64" t="n">
        <v>116</v>
      </c>
      <c r="AZ110" s="2">
        <f>IF(D110=0,"no repl",AB110-AT110)</f>
        <v/>
      </c>
      <c r="BA110" s="2">
        <f>IF(E110=0,"no repl",AC110-AU110)</f>
        <v/>
      </c>
      <c r="BB110" s="2">
        <f>IF(F110=0,"no repl",AD110-AV110)</f>
        <v/>
      </c>
    </row>
    <row r="111">
      <c r="C111" s="64" t="n">
        <v>117</v>
      </c>
      <c r="D111" s="11" t="n">
        <v>0</v>
      </c>
      <c r="E111" s="11" t="n">
        <v>0</v>
      </c>
      <c r="F111" s="11" t="n">
        <v>63634.18582874958</v>
      </c>
      <c r="I111" s="64" t="n">
        <v>117</v>
      </c>
      <c r="J111" s="11" t="n">
        <v>77927.5</v>
      </c>
      <c r="K111" s="11" t="n">
        <v>37752.75</v>
      </c>
      <c r="L111" s="11" t="n">
        <v>39296.73</v>
      </c>
      <c r="O111" s="64" t="n">
        <v>117</v>
      </c>
      <c r="P111" s="11" t="n">
        <v>0</v>
      </c>
      <c r="Q111" s="11" t="n">
        <v>0</v>
      </c>
      <c r="R111" s="11" t="n">
        <v>36638.90066547324</v>
      </c>
      <c r="U111" s="64" t="n">
        <v>117</v>
      </c>
      <c r="V111" s="3">
        <f>J111-P111+D111</f>
        <v/>
      </c>
      <c r="W111" s="3">
        <f>K111-Q111+E111</f>
        <v/>
      </c>
      <c r="X111" s="3">
        <f>L111-R111+F111</f>
        <v/>
      </c>
      <c r="AA111" s="64" t="n">
        <v>117</v>
      </c>
      <c r="AB111" s="2">
        <f>IF(Demand!AU130&gt;Retailers_Cap!N113,(V111/Retailers!P112)/(Demand!AU130-Retailers_Cap!N113),"Inesgotável")</f>
        <v/>
      </c>
      <c r="AC111" s="2">
        <f>IF(Demand!AV130&gt;Retailers_Cap!O113,(W111/Retailers!Q112)/(Demand!AV130-Retailers_Cap!O113),"Inesgotável")</f>
        <v/>
      </c>
      <c r="AD111" s="2">
        <f>IF(Demand!AW130&gt;Retailers_Cap!P113,(X111/Retailers!R112)/(Demand!AW130-Retailers_Cap!P113),"Inesgotável")</f>
        <v/>
      </c>
      <c r="AG111" s="64" t="n">
        <v>117</v>
      </c>
      <c r="AH111" s="64">
        <f>Retailers!AJ112</f>
        <v/>
      </c>
      <c r="AI111" s="64">
        <f>Retailers!AK112</f>
        <v/>
      </c>
      <c r="AJ111" s="64">
        <f>Retailers!AL112</f>
        <v/>
      </c>
      <c r="AM111" s="64" t="n">
        <v>117</v>
      </c>
      <c r="AN111" s="2">
        <f>IF(P111&gt;0,IF(D111=0,"Big stock",AB111/AH111),"Inesgotável")</f>
        <v/>
      </c>
      <c r="AO111" s="2">
        <f>IF(Q111&gt;0,IF(E111=0,"Big stock",AC111/AI111),"Inesgotável")</f>
        <v/>
      </c>
      <c r="AP111" s="2">
        <f>IF(R111&gt;0,IF(F111=0,"Big stock",AD111/AJ111),"Inesgotável")</f>
        <v/>
      </c>
      <c r="AS111" s="64" t="n">
        <v>117</v>
      </c>
      <c r="AT111" s="2">
        <f>Retailers_Cap!BL113</f>
        <v/>
      </c>
      <c r="AU111" s="2">
        <f>Retailers_Cap!BM113</f>
        <v/>
      </c>
      <c r="AV111" s="2">
        <f>Retailers_Cap!BN113</f>
        <v/>
      </c>
      <c r="AY111" s="64" t="n">
        <v>117</v>
      </c>
      <c r="AZ111" s="2">
        <f>IF(D111=0,"no repl",AB111-AT111)</f>
        <v/>
      </c>
      <c r="BA111" s="2">
        <f>IF(E111=0,"no repl",AC111-AU111)</f>
        <v/>
      </c>
      <c r="BB111" s="2">
        <f>IF(F111=0,"no repl",AD111-AV111)</f>
        <v/>
      </c>
    </row>
    <row r="112">
      <c r="C112" s="64" t="n">
        <v>118</v>
      </c>
      <c r="D112" s="11" t="n">
        <v>168661.6647585566</v>
      </c>
      <c r="E112" s="11" t="n">
        <v>0</v>
      </c>
      <c r="F112" s="11" t="n">
        <v>0</v>
      </c>
      <c r="I112" s="64" t="n">
        <v>118</v>
      </c>
      <c r="J112" s="11" t="n">
        <v>10229</v>
      </c>
      <c r="K112" s="11" t="n">
        <v>43361.28</v>
      </c>
      <c r="L112" s="11" t="n">
        <v>39252.64</v>
      </c>
      <c r="O112" s="64" t="n">
        <v>118</v>
      </c>
      <c r="P112" s="11" t="n">
        <v>101881.0801523466</v>
      </c>
      <c r="Q112" s="11" t="n">
        <v>0</v>
      </c>
      <c r="R112" s="11" t="n">
        <v>0</v>
      </c>
      <c r="U112" s="64" t="n">
        <v>118</v>
      </c>
      <c r="V112" s="3">
        <f>J112-P112+D112</f>
        <v/>
      </c>
      <c r="W112" s="3">
        <f>K112-Q112+E112</f>
        <v/>
      </c>
      <c r="X112" s="3">
        <f>L112-R112+F112</f>
        <v/>
      </c>
      <c r="AA112" s="64" t="n">
        <v>118</v>
      </c>
      <c r="AB112" s="2">
        <f>IF(Demand!AU131&gt;Retailers_Cap!N114,(V112/Retailers!P113)/(Demand!AU131-Retailers_Cap!N114),"Inesgotável")</f>
        <v/>
      </c>
      <c r="AC112" s="2">
        <f>IF(Demand!AV131&gt;Retailers_Cap!O114,(W112/Retailers!Q113)/(Demand!AV131-Retailers_Cap!O114),"Inesgotável")</f>
        <v/>
      </c>
      <c r="AD112" s="2">
        <f>IF(Demand!AW131&gt;Retailers_Cap!P114,(X112/Retailers!R113)/(Demand!AW131-Retailers_Cap!P114),"Inesgotável")</f>
        <v/>
      </c>
      <c r="AG112" s="64" t="n">
        <v>118</v>
      </c>
      <c r="AH112" s="64">
        <f>Retailers!AJ113</f>
        <v/>
      </c>
      <c r="AI112" s="64">
        <f>Retailers!AK113</f>
        <v/>
      </c>
      <c r="AJ112" s="64">
        <f>Retailers!AL113</f>
        <v/>
      </c>
      <c r="AM112" s="64" t="n">
        <v>118</v>
      </c>
      <c r="AN112" s="2">
        <f>IF(P112&gt;0,IF(D112=0,"Big stock",AB112/AH112),"Inesgotável")</f>
        <v/>
      </c>
      <c r="AO112" s="2">
        <f>IF(Q112&gt;0,IF(E112=0,"Big stock",AC112/AI112),"Inesgotável")</f>
        <v/>
      </c>
      <c r="AP112" s="2">
        <f>IF(R112&gt;0,IF(F112=0,"Big stock",AD112/AJ112),"Inesgotável")</f>
        <v/>
      </c>
      <c r="AS112" s="64" t="n">
        <v>118</v>
      </c>
      <c r="AT112" s="2">
        <f>Retailers_Cap!BL114</f>
        <v/>
      </c>
      <c r="AU112" s="2">
        <f>Retailers_Cap!BM114</f>
        <v/>
      </c>
      <c r="AV112" s="2">
        <f>Retailers_Cap!BN114</f>
        <v/>
      </c>
      <c r="AY112" s="64" t="n">
        <v>118</v>
      </c>
      <c r="AZ112" s="2">
        <f>IF(D112=0,"no repl",AB112-AT112)</f>
        <v/>
      </c>
      <c r="BA112" s="2">
        <f>IF(E112=0,"no repl",AC112-AU112)</f>
        <v/>
      </c>
      <c r="BB112" s="2">
        <f>IF(F112=0,"no repl",AD112-AV112)</f>
        <v/>
      </c>
    </row>
    <row r="113">
      <c r="C113" s="64" t="n">
        <v>119</v>
      </c>
      <c r="D113" s="11" t="n">
        <v>706458.515256686</v>
      </c>
      <c r="E113" s="11" t="n">
        <v>0</v>
      </c>
      <c r="F113" s="11" t="n">
        <v>62913.6103681412</v>
      </c>
      <c r="I113" s="64" t="n">
        <v>119</v>
      </c>
      <c r="J113" s="11" t="n">
        <v>23113.35</v>
      </c>
      <c r="K113" s="11" t="n">
        <v>61648.60000000001</v>
      </c>
      <c r="L113" s="11" t="n">
        <v>54860.94</v>
      </c>
      <c r="O113" s="64" t="n">
        <v>119</v>
      </c>
      <c r="P113" s="11" t="n">
        <v>431638.2879598724</v>
      </c>
      <c r="Q113" s="11" t="n">
        <v>0</v>
      </c>
      <c r="R113" s="11" t="n">
        <v>40418.48009938771</v>
      </c>
      <c r="U113" s="64" t="n">
        <v>119</v>
      </c>
      <c r="V113" s="3">
        <f>J113-P113+D113</f>
        <v/>
      </c>
      <c r="W113" s="3">
        <f>K113-Q113+E113</f>
        <v/>
      </c>
      <c r="X113" s="3">
        <f>L113-R113+F113</f>
        <v/>
      </c>
      <c r="AA113" s="64" t="n">
        <v>119</v>
      </c>
      <c r="AB113" s="2">
        <f>IF(Demand!AU132&gt;Retailers_Cap!N115,(V113/Retailers!P114)/(Demand!AU132-Retailers_Cap!N115),"Inesgotável")</f>
        <v/>
      </c>
      <c r="AC113" s="2">
        <f>IF(Demand!AV132&gt;Retailers_Cap!O115,(W113/Retailers!Q114)/(Demand!AV132-Retailers_Cap!O115),"Inesgotável")</f>
        <v/>
      </c>
      <c r="AD113" s="2">
        <f>IF(Demand!AW132&gt;Retailers_Cap!P115,(X113/Retailers!R114)/(Demand!AW132-Retailers_Cap!P115),"Inesgotável")</f>
        <v/>
      </c>
      <c r="AG113" s="64" t="n">
        <v>119</v>
      </c>
      <c r="AH113" s="64">
        <f>Retailers!AJ114</f>
        <v/>
      </c>
      <c r="AI113" s="64">
        <f>Retailers!AK114</f>
        <v/>
      </c>
      <c r="AJ113" s="64">
        <f>Retailers!AL114</f>
        <v/>
      </c>
      <c r="AM113" s="64" t="n">
        <v>119</v>
      </c>
      <c r="AN113" s="2">
        <f>IF(P113&gt;0,IF(D113=0,"Big stock",AB113/AH113),"Inesgotável")</f>
        <v/>
      </c>
      <c r="AO113" s="2">
        <f>IF(Q113&gt;0,IF(E113=0,"Big stock",AC113/AI113),"Inesgotável")</f>
        <v/>
      </c>
      <c r="AP113" s="2">
        <f>IF(R113&gt;0,IF(F113=0,"Big stock",AD113/AJ113),"Inesgotável")</f>
        <v/>
      </c>
      <c r="AS113" s="64" t="n">
        <v>119</v>
      </c>
      <c r="AT113" s="2">
        <f>Retailers_Cap!BL115</f>
        <v/>
      </c>
      <c r="AU113" s="2">
        <f>Retailers_Cap!BM115</f>
        <v/>
      </c>
      <c r="AV113" s="2">
        <f>Retailers_Cap!BN115</f>
        <v/>
      </c>
      <c r="AY113" s="64" t="n">
        <v>119</v>
      </c>
      <c r="AZ113" s="2">
        <f>IF(D113=0,"no repl",AB113-AT113)</f>
        <v/>
      </c>
      <c r="BA113" s="2">
        <f>IF(E113=0,"no repl",AC113-AU113)</f>
        <v/>
      </c>
      <c r="BB113" s="2">
        <f>IF(F113=0,"no repl",AD113-AV113)</f>
        <v/>
      </c>
    </row>
    <row r="114">
      <c r="C114" s="64" t="n">
        <v>120</v>
      </c>
      <c r="D114" s="11" t="n">
        <v>0</v>
      </c>
      <c r="E114" s="11" t="n">
        <v>241229.255588247</v>
      </c>
      <c r="F114" s="11" t="n">
        <v>308102.279681831</v>
      </c>
      <c r="I114" s="64" t="n">
        <v>120</v>
      </c>
      <c r="J114" s="11" t="n">
        <v>13014.4</v>
      </c>
      <c r="K114" s="11" t="n">
        <v>39393.31</v>
      </c>
      <c r="L114" s="11" t="n">
        <v>63513.2</v>
      </c>
      <c r="O114" s="64" t="n">
        <v>120</v>
      </c>
      <c r="P114" s="11" t="n">
        <v>0</v>
      </c>
      <c r="Q114" s="11" t="n">
        <v>140124.1809885951</v>
      </c>
      <c r="R114" s="11" t="n">
        <v>187753.7888077445</v>
      </c>
      <c r="U114" s="64" t="n">
        <v>120</v>
      </c>
      <c r="V114" s="3">
        <f>J114-P114+D114</f>
        <v/>
      </c>
      <c r="W114" s="3">
        <f>K114-Q114+E114</f>
        <v/>
      </c>
      <c r="X114" s="3">
        <f>L114-R114+F114</f>
        <v/>
      </c>
      <c r="AA114" s="64" t="n">
        <v>120</v>
      </c>
      <c r="AB114" s="2">
        <f>IF(Demand!AU133&gt;Retailers_Cap!N116,(V114/Retailers!P115)/(Demand!AU133-Retailers_Cap!N116),"Inesgotável")</f>
        <v/>
      </c>
      <c r="AC114" s="2">
        <f>IF(Demand!AV133&gt;Retailers_Cap!O116,(W114/Retailers!Q115)/(Demand!AV133-Retailers_Cap!O116),"Inesgotável")</f>
        <v/>
      </c>
      <c r="AD114" s="2">
        <f>IF(Demand!AW133&gt;Retailers_Cap!P116,(X114/Retailers!R115)/(Demand!AW133-Retailers_Cap!P116),"Inesgotável")</f>
        <v/>
      </c>
      <c r="AG114" s="64" t="n">
        <v>120</v>
      </c>
      <c r="AH114" s="64">
        <f>Retailers!AJ115</f>
        <v/>
      </c>
      <c r="AI114" s="64">
        <f>Retailers!AK115</f>
        <v/>
      </c>
      <c r="AJ114" s="64">
        <f>Retailers!AL115</f>
        <v/>
      </c>
      <c r="AM114" s="64" t="n">
        <v>120</v>
      </c>
      <c r="AN114" s="2">
        <f>IF(P114&gt;0,IF(D114=0,"Big stock",AB114/AH114),"Inesgotável")</f>
        <v/>
      </c>
      <c r="AO114" s="2">
        <f>IF(Q114&gt;0,IF(E114=0,"Big stock",AC114/AI114),"Inesgotável")</f>
        <v/>
      </c>
      <c r="AP114" s="2">
        <f>IF(R114&gt;0,IF(F114=0,"Big stock",AD114/AJ114),"Inesgotável")</f>
        <v/>
      </c>
      <c r="AS114" s="64" t="n">
        <v>120</v>
      </c>
      <c r="AT114" s="2">
        <f>Retailers_Cap!BL116</f>
        <v/>
      </c>
      <c r="AU114" s="2">
        <f>Retailers_Cap!BM116</f>
        <v/>
      </c>
      <c r="AV114" s="2">
        <f>Retailers_Cap!BN116</f>
        <v/>
      </c>
      <c r="AY114" s="64" t="n">
        <v>120</v>
      </c>
      <c r="AZ114" s="2">
        <f>IF(D114=0,"no repl",AB114-AT114)</f>
        <v/>
      </c>
      <c r="BA114" s="2">
        <f>IF(E114=0,"no repl",AC114-AU114)</f>
        <v/>
      </c>
      <c r="BB114" s="2">
        <f>IF(F114=0,"no repl",AD114-AV114)</f>
        <v/>
      </c>
    </row>
    <row r="115">
      <c r="C115" s="64" t="n">
        <v>121</v>
      </c>
      <c r="D115" s="11" t="n">
        <v>379001.5792835092</v>
      </c>
      <c r="E115" s="11" t="n">
        <v>0</v>
      </c>
      <c r="F115" s="11" t="n">
        <v>0</v>
      </c>
      <c r="I115" s="64" t="n">
        <v>121</v>
      </c>
      <c r="J115" s="11" t="n">
        <v>52808.7</v>
      </c>
      <c r="K115" s="11" t="n">
        <v>83207.39</v>
      </c>
      <c r="L115" s="11" t="n">
        <v>72792.24000000001</v>
      </c>
      <c r="O115" s="64" t="n">
        <v>121</v>
      </c>
      <c r="P115" s="11" t="n">
        <v>227003.6243102635</v>
      </c>
      <c r="Q115" s="11" t="n">
        <v>0</v>
      </c>
      <c r="R115" s="11" t="n">
        <v>0</v>
      </c>
      <c r="U115" s="64" t="n">
        <v>121</v>
      </c>
      <c r="V115" s="3">
        <f>J115-P115+D115</f>
        <v/>
      </c>
      <c r="W115" s="3">
        <f>K115-Q115+E115</f>
        <v/>
      </c>
      <c r="X115" s="3">
        <f>L115-R115+F115</f>
        <v/>
      </c>
      <c r="AA115" s="64" t="n">
        <v>121</v>
      </c>
      <c r="AB115" s="2">
        <f>IF(Demand!AU134&gt;Retailers_Cap!N117,(V115/Retailers!P116)/(Demand!AU134-Retailers_Cap!N117),"Inesgotável")</f>
        <v/>
      </c>
      <c r="AC115" s="2">
        <f>IF(Demand!AV134&gt;Retailers_Cap!O117,(W115/Retailers!Q116)/(Demand!AV134-Retailers_Cap!O117),"Inesgotável")</f>
        <v/>
      </c>
      <c r="AD115" s="2">
        <f>IF(Demand!AW134&gt;Retailers_Cap!P117,(X115/Retailers!R116)/(Demand!AW134-Retailers_Cap!P117),"Inesgotável")</f>
        <v/>
      </c>
      <c r="AG115" s="64" t="n">
        <v>121</v>
      </c>
      <c r="AH115" s="64">
        <f>Retailers!AJ116</f>
        <v/>
      </c>
      <c r="AI115" s="64">
        <f>Retailers!AK116</f>
        <v/>
      </c>
      <c r="AJ115" s="64">
        <f>Retailers!AL116</f>
        <v/>
      </c>
      <c r="AM115" s="64" t="n">
        <v>121</v>
      </c>
      <c r="AN115" s="2">
        <f>IF(P115&gt;0,IF(D115=0,"Big stock",AB115/AH115),"Inesgotável")</f>
        <v/>
      </c>
      <c r="AO115" s="2">
        <f>IF(Q115&gt;0,IF(E115=0,"Big stock",AC115/AI115),"Inesgotável")</f>
        <v/>
      </c>
      <c r="AP115" s="2">
        <f>IF(R115&gt;0,IF(F115=0,"Big stock",AD115/AJ115),"Inesgotável")</f>
        <v/>
      </c>
      <c r="AS115" s="64" t="n">
        <v>121</v>
      </c>
      <c r="AT115" s="2">
        <f>Retailers_Cap!BL117</f>
        <v/>
      </c>
      <c r="AU115" s="2">
        <f>Retailers_Cap!BM117</f>
        <v/>
      </c>
      <c r="AV115" s="2">
        <f>Retailers_Cap!BN117</f>
        <v/>
      </c>
      <c r="AY115" s="64" t="n">
        <v>121</v>
      </c>
      <c r="AZ115" s="2">
        <f>IF(D115=0,"no repl",AB115-AT115)</f>
        <v/>
      </c>
      <c r="BA115" s="2">
        <f>IF(E115=0,"no repl",AC115-AU115)</f>
        <v/>
      </c>
      <c r="BB115" s="2">
        <f>IF(F115=0,"no repl",AD115-AV115)</f>
        <v/>
      </c>
    </row>
    <row r="116">
      <c r="C116" s="64" t="n">
        <v>122</v>
      </c>
      <c r="D116" s="11" t="n">
        <v>128052.6889158586</v>
      </c>
      <c r="E116" s="11" t="n">
        <v>0</v>
      </c>
      <c r="F116" s="11" t="n">
        <v>0</v>
      </c>
      <c r="I116" s="64" t="n">
        <v>122</v>
      </c>
      <c r="J116" s="11" t="n">
        <v>55547.32</v>
      </c>
      <c r="K116" s="11" t="n">
        <v>99693.35000000001</v>
      </c>
      <c r="L116" s="11" t="n">
        <v>66560.7</v>
      </c>
      <c r="O116" s="64" t="n">
        <v>122</v>
      </c>
      <c r="P116" s="11" t="n">
        <v>85067.70169610818</v>
      </c>
      <c r="Q116" s="11" t="n">
        <v>0</v>
      </c>
      <c r="R116" s="11" t="n">
        <v>0</v>
      </c>
      <c r="U116" s="64" t="n">
        <v>122</v>
      </c>
      <c r="V116" s="3">
        <f>J116-P116+D116</f>
        <v/>
      </c>
      <c r="W116" s="3">
        <f>K116-Q116+E116</f>
        <v/>
      </c>
      <c r="X116" s="3">
        <f>L116-R116+F116</f>
        <v/>
      </c>
      <c r="AA116" s="64" t="n">
        <v>122</v>
      </c>
      <c r="AB116" s="2">
        <f>IF(Demand!AU135&gt;Retailers_Cap!N118,(V116/Retailers!P117)/(Demand!AU135-Retailers_Cap!N118),"Inesgotável")</f>
        <v/>
      </c>
      <c r="AC116" s="2">
        <f>IF(Demand!AV135&gt;Retailers_Cap!O118,(W116/Retailers!Q117)/(Demand!AV135-Retailers_Cap!O118),"Inesgotável")</f>
        <v/>
      </c>
      <c r="AD116" s="2">
        <f>IF(Demand!AW135&gt;Retailers_Cap!P118,(X116/Retailers!R117)/(Demand!AW135-Retailers_Cap!P118),"Inesgotável")</f>
        <v/>
      </c>
      <c r="AG116" s="64" t="n">
        <v>122</v>
      </c>
      <c r="AH116" s="64">
        <f>Retailers!AJ117</f>
        <v/>
      </c>
      <c r="AI116" s="64">
        <f>Retailers!AK117</f>
        <v/>
      </c>
      <c r="AJ116" s="64">
        <f>Retailers!AL117</f>
        <v/>
      </c>
      <c r="AM116" s="64" t="n">
        <v>122</v>
      </c>
      <c r="AN116" s="2">
        <f>IF(P116&gt;0,IF(D116=0,"Big stock",AB116/AH116),"Inesgotável")</f>
        <v/>
      </c>
      <c r="AO116" s="2">
        <f>IF(Q116&gt;0,IF(E116=0,"Big stock",AC116/AI116),"Inesgotável")</f>
        <v/>
      </c>
      <c r="AP116" s="2">
        <f>IF(R116&gt;0,IF(F116=0,"Big stock",AD116/AJ116),"Inesgotável")</f>
        <v/>
      </c>
      <c r="AS116" s="64" t="n">
        <v>122</v>
      </c>
      <c r="AT116" s="2">
        <f>Retailers_Cap!BL118</f>
        <v/>
      </c>
      <c r="AU116" s="2">
        <f>Retailers_Cap!BM118</f>
        <v/>
      </c>
      <c r="AV116" s="2">
        <f>Retailers_Cap!BN118</f>
        <v/>
      </c>
      <c r="AY116" s="64" t="n">
        <v>122</v>
      </c>
      <c r="AZ116" s="2">
        <f>IF(D116=0,"no repl",AB116-AT116)</f>
        <v/>
      </c>
      <c r="BA116" s="2">
        <f>IF(E116=0,"no repl",AC116-AU116)</f>
        <v/>
      </c>
      <c r="BB116" s="2">
        <f>IF(F116=0,"no repl",AD116-AV116)</f>
        <v/>
      </c>
    </row>
    <row r="117">
      <c r="C117" s="64" t="n">
        <v>123</v>
      </c>
      <c r="D117" s="11" t="n">
        <v>0</v>
      </c>
      <c r="E117" s="11" t="n">
        <v>34370.51462208363</v>
      </c>
      <c r="F117" s="11" t="n">
        <v>0</v>
      </c>
      <c r="I117" s="64" t="n">
        <v>123</v>
      </c>
      <c r="J117" s="11" t="n">
        <v>80798.25</v>
      </c>
      <c r="K117" s="11" t="n">
        <v>34659.24</v>
      </c>
      <c r="L117" s="11" t="n">
        <v>48186.48</v>
      </c>
      <c r="O117" s="64" t="n">
        <v>123</v>
      </c>
      <c r="P117" s="11" t="n">
        <v>0</v>
      </c>
      <c r="Q117" s="11" t="n">
        <v>17604.02097868132</v>
      </c>
      <c r="R117" s="11" t="n">
        <v>0</v>
      </c>
      <c r="U117" s="64" t="n">
        <v>123</v>
      </c>
      <c r="V117" s="3">
        <f>J117-P117+D117</f>
        <v/>
      </c>
      <c r="W117" s="3">
        <f>K117-Q117+E117</f>
        <v/>
      </c>
      <c r="X117" s="3">
        <f>L117-R117+F117</f>
        <v/>
      </c>
      <c r="AA117" s="64" t="n">
        <v>123</v>
      </c>
      <c r="AB117" s="2">
        <f>IF(Demand!AU136&gt;Retailers_Cap!N119,(V117/Retailers!P118)/(Demand!AU136-Retailers_Cap!N119),"Inesgotável")</f>
        <v/>
      </c>
      <c r="AC117" s="2">
        <f>IF(Demand!AV136&gt;Retailers_Cap!O119,(W117/Retailers!Q118)/(Demand!AV136-Retailers_Cap!O119),"Inesgotável")</f>
        <v/>
      </c>
      <c r="AD117" s="2">
        <f>IF(Demand!AW136&gt;Retailers_Cap!P119,(X117/Retailers!R118)/(Demand!AW136-Retailers_Cap!P119),"Inesgotável")</f>
        <v/>
      </c>
      <c r="AG117" s="64" t="n">
        <v>123</v>
      </c>
      <c r="AH117" s="64">
        <f>Retailers!AJ118</f>
        <v/>
      </c>
      <c r="AI117" s="64">
        <f>Retailers!AK118</f>
        <v/>
      </c>
      <c r="AJ117" s="64">
        <f>Retailers!AL118</f>
        <v/>
      </c>
      <c r="AM117" s="64" t="n">
        <v>123</v>
      </c>
      <c r="AN117" s="2">
        <f>IF(P117&gt;0,IF(D117=0,"Big stock",AB117/AH117),"Inesgotável")</f>
        <v/>
      </c>
      <c r="AO117" s="2">
        <f>IF(Q117&gt;0,IF(E117=0,"Big stock",AC117/AI117),"Inesgotável")</f>
        <v/>
      </c>
      <c r="AP117" s="2">
        <f>IF(R117&gt;0,IF(F117=0,"Big stock",AD117/AJ117),"Inesgotável")</f>
        <v/>
      </c>
      <c r="AS117" s="64" t="n">
        <v>123</v>
      </c>
      <c r="AT117" s="2">
        <f>Retailers_Cap!BL119</f>
        <v/>
      </c>
      <c r="AU117" s="2">
        <f>Retailers_Cap!BM119</f>
        <v/>
      </c>
      <c r="AV117" s="2">
        <f>Retailers_Cap!BN119</f>
        <v/>
      </c>
      <c r="AY117" s="64" t="n">
        <v>123</v>
      </c>
      <c r="AZ117" s="2">
        <f>IF(D117=0,"no repl",AB117-AT117)</f>
        <v/>
      </c>
      <c r="BA117" s="2">
        <f>IF(E117=0,"no repl",AC117-AU117)</f>
        <v/>
      </c>
      <c r="BB117" s="2">
        <f>IF(F117=0,"no repl",AD117-AV117)</f>
        <v/>
      </c>
    </row>
    <row r="118">
      <c r="C118" s="64" t="n">
        <v>124</v>
      </c>
      <c r="D118" s="11" t="n">
        <v>0</v>
      </c>
      <c r="E118" s="11" t="n">
        <v>0</v>
      </c>
      <c r="F118" s="11" t="n">
        <v>0</v>
      </c>
      <c r="I118" s="64" t="n">
        <v>124</v>
      </c>
      <c r="J118" s="11" t="n">
        <v>18698.22</v>
      </c>
      <c r="K118" s="11" t="n">
        <v>27436.7</v>
      </c>
      <c r="L118" s="11" t="n">
        <v>15370.47</v>
      </c>
      <c r="O118" s="64" t="n">
        <v>124</v>
      </c>
      <c r="P118" s="11" t="n">
        <v>0</v>
      </c>
      <c r="Q118" s="11" t="n">
        <v>0</v>
      </c>
      <c r="R118" s="11" t="n">
        <v>0</v>
      </c>
      <c r="U118" s="64" t="n">
        <v>124</v>
      </c>
      <c r="V118" s="3">
        <f>J118-P118+D118</f>
        <v/>
      </c>
      <c r="W118" s="3">
        <f>K118-Q118+E118</f>
        <v/>
      </c>
      <c r="X118" s="3">
        <f>L118-R118+F118</f>
        <v/>
      </c>
      <c r="AA118" s="64" t="n">
        <v>124</v>
      </c>
      <c r="AB118" s="2">
        <f>IF(Demand!AU137&gt;Retailers_Cap!N120,(V118/Retailers!P119)/(Demand!AU137-Retailers_Cap!N120),"Inesgotável")</f>
        <v/>
      </c>
      <c r="AC118" s="2">
        <f>IF(Demand!AV137&gt;Retailers_Cap!O120,(W118/Retailers!Q119)/(Demand!AV137-Retailers_Cap!O120),"Inesgotável")</f>
        <v/>
      </c>
      <c r="AD118" s="2">
        <f>IF(Demand!AW137&gt;Retailers_Cap!P120,(X118/Retailers!R119)/(Demand!AW137-Retailers_Cap!P120),"Inesgotável")</f>
        <v/>
      </c>
      <c r="AG118" s="64" t="n">
        <v>124</v>
      </c>
      <c r="AH118" s="64">
        <f>Retailers!AJ119</f>
        <v/>
      </c>
      <c r="AI118" s="64">
        <f>Retailers!AK119</f>
        <v/>
      </c>
      <c r="AJ118" s="64">
        <f>Retailers!AL119</f>
        <v/>
      </c>
      <c r="AM118" s="64" t="n">
        <v>124</v>
      </c>
      <c r="AN118" s="2">
        <f>IF(P118&gt;0,IF(D118=0,"Big stock",AB118/AH118),"Inesgotável")</f>
        <v/>
      </c>
      <c r="AO118" s="2">
        <f>IF(Q118&gt;0,IF(E118=0,"Big stock",AC118/AI118),"Inesgotável")</f>
        <v/>
      </c>
      <c r="AP118" s="2">
        <f>IF(R118&gt;0,IF(F118=0,"Big stock",AD118/AJ118),"Inesgotável")</f>
        <v/>
      </c>
      <c r="AS118" s="64" t="n">
        <v>124</v>
      </c>
      <c r="AT118" s="2">
        <f>Retailers_Cap!BL120</f>
        <v/>
      </c>
      <c r="AU118" s="2">
        <f>Retailers_Cap!BM120</f>
        <v/>
      </c>
      <c r="AV118" s="2">
        <f>Retailers_Cap!BN120</f>
        <v/>
      </c>
      <c r="AY118" s="64" t="n">
        <v>124</v>
      </c>
      <c r="AZ118" s="2">
        <f>IF(D118=0,"no repl",AB118-AT118)</f>
        <v/>
      </c>
      <c r="BA118" s="2">
        <f>IF(E118=0,"no repl",AC118-AU118)</f>
        <v/>
      </c>
      <c r="BB118" s="2">
        <f>IF(F118=0,"no repl",AD118-AV118)</f>
        <v/>
      </c>
    </row>
    <row r="119">
      <c r="C119" s="64" t="n">
        <v>125</v>
      </c>
      <c r="D119" s="11" t="n">
        <v>0</v>
      </c>
      <c r="E119" s="11" t="n">
        <v>35170.61777864665</v>
      </c>
      <c r="F119" s="11" t="n">
        <v>69601.25869923801</v>
      </c>
      <c r="I119" s="64" t="n">
        <v>125</v>
      </c>
      <c r="J119" s="11" t="n">
        <v>25180.72</v>
      </c>
      <c r="K119" s="11" t="n">
        <v>15955.68</v>
      </c>
      <c r="L119" s="11" t="n">
        <v>48179.25</v>
      </c>
      <c r="O119" s="64" t="n">
        <v>125</v>
      </c>
      <c r="P119" s="11" t="n">
        <v>0</v>
      </c>
      <c r="Q119" s="11" t="n">
        <v>23255.78247866069</v>
      </c>
      <c r="R119" s="11" t="n">
        <v>41143.16996663659</v>
      </c>
      <c r="U119" s="64" t="n">
        <v>125</v>
      </c>
      <c r="V119" s="3">
        <f>J119-P119+D119</f>
        <v/>
      </c>
      <c r="W119" s="3">
        <f>K119-Q119+E119</f>
        <v/>
      </c>
      <c r="X119" s="3">
        <f>L119-R119+F119</f>
        <v/>
      </c>
      <c r="AA119" s="64" t="n">
        <v>125</v>
      </c>
      <c r="AB119" s="2">
        <f>IF(Demand!AU138&gt;Retailers_Cap!N121,(V119/Retailers!P120)/(Demand!AU138-Retailers_Cap!N121),"Inesgotável")</f>
        <v/>
      </c>
      <c r="AC119" s="2">
        <f>IF(Demand!AV138&gt;Retailers_Cap!O121,(W119/Retailers!Q120)/(Demand!AV138-Retailers_Cap!O121),"Inesgotável")</f>
        <v/>
      </c>
      <c r="AD119" s="2">
        <f>IF(Demand!AW138&gt;Retailers_Cap!P121,(X119/Retailers!R120)/(Demand!AW138-Retailers_Cap!P121),"Inesgotável")</f>
        <v/>
      </c>
      <c r="AG119" s="64" t="n">
        <v>125</v>
      </c>
      <c r="AH119" s="64">
        <f>Retailers!AJ120</f>
        <v/>
      </c>
      <c r="AI119" s="64">
        <f>Retailers!AK120</f>
        <v/>
      </c>
      <c r="AJ119" s="64">
        <f>Retailers!AL120</f>
        <v/>
      </c>
      <c r="AM119" s="64" t="n">
        <v>125</v>
      </c>
      <c r="AN119" s="2">
        <f>IF(P119&gt;0,IF(D119=0,"Big stock",AB119/AH119),"Inesgotável")</f>
        <v/>
      </c>
      <c r="AO119" s="2">
        <f>IF(Q119&gt;0,IF(E119=0,"Big stock",AC119/AI119),"Inesgotável")</f>
        <v/>
      </c>
      <c r="AP119" s="2">
        <f>IF(R119&gt;0,IF(F119=0,"Big stock",AD119/AJ119),"Inesgotável")</f>
        <v/>
      </c>
      <c r="AS119" s="64" t="n">
        <v>125</v>
      </c>
      <c r="AT119" s="2">
        <f>Retailers_Cap!BL121</f>
        <v/>
      </c>
      <c r="AU119" s="2">
        <f>Retailers_Cap!BM121</f>
        <v/>
      </c>
      <c r="AV119" s="2">
        <f>Retailers_Cap!BN121</f>
        <v/>
      </c>
      <c r="AY119" s="64" t="n">
        <v>125</v>
      </c>
      <c r="AZ119" s="2">
        <f>IF(D119=0,"no repl",AB119-AT119)</f>
        <v/>
      </c>
      <c r="BA119" s="2">
        <f>IF(E119=0,"no repl",AC119-AU119)</f>
        <v/>
      </c>
      <c r="BB119" s="2">
        <f>IF(F119=0,"no repl",AD119-AV119)</f>
        <v/>
      </c>
    </row>
    <row r="120">
      <c r="C120" s="64" t="n">
        <v>126</v>
      </c>
      <c r="D120" s="11" t="n">
        <v>0</v>
      </c>
      <c r="E120" s="11" t="n">
        <v>0</v>
      </c>
      <c r="F120" s="11" t="n">
        <v>329373.9140723139</v>
      </c>
      <c r="I120" s="64" t="n">
        <v>126</v>
      </c>
      <c r="J120" s="11" t="n">
        <v>20234.94</v>
      </c>
      <c r="K120" s="11" t="n">
        <v>2849.92</v>
      </c>
      <c r="L120" s="11" t="n">
        <v>86755.12999999999</v>
      </c>
      <c r="O120" s="64" t="n">
        <v>126</v>
      </c>
      <c r="P120" s="11" t="n">
        <v>0</v>
      </c>
      <c r="Q120" s="11" t="n">
        <v>0</v>
      </c>
      <c r="R120" s="11" t="n">
        <v>192175.7939174028</v>
      </c>
      <c r="U120" s="64" t="n">
        <v>126</v>
      </c>
      <c r="V120" s="3">
        <f>J120-P120+D120</f>
        <v/>
      </c>
      <c r="W120" s="3">
        <f>K120-Q120+E120</f>
        <v/>
      </c>
      <c r="X120" s="3">
        <f>L120-R120+F120</f>
        <v/>
      </c>
      <c r="AA120" s="64" t="n">
        <v>126</v>
      </c>
      <c r="AB120" s="2">
        <f>IF(Demand!AU139&gt;Retailers_Cap!N122,(V120/Retailers!P121)/(Demand!AU139-Retailers_Cap!N122),"Inesgotável")</f>
        <v/>
      </c>
      <c r="AC120" s="2">
        <f>IF(Demand!AV139&gt;Retailers_Cap!O122,(W120/Retailers!Q121)/(Demand!AV139-Retailers_Cap!O122),"Inesgotável")</f>
        <v/>
      </c>
      <c r="AD120" s="2">
        <f>IF(Demand!AW139&gt;Retailers_Cap!P122,(X120/Retailers!R121)/(Demand!AW139-Retailers_Cap!P122),"Inesgotável")</f>
        <v/>
      </c>
      <c r="AG120" s="64" t="n">
        <v>126</v>
      </c>
      <c r="AH120" s="64">
        <f>Retailers!AJ121</f>
        <v/>
      </c>
      <c r="AI120" s="64">
        <f>Retailers!AK121</f>
        <v/>
      </c>
      <c r="AJ120" s="64">
        <f>Retailers!AL121</f>
        <v/>
      </c>
      <c r="AM120" s="64" t="n">
        <v>126</v>
      </c>
      <c r="AN120" s="2">
        <f>IF(P120&gt;0,IF(D120=0,"Big stock",AB120/AH120),"Inesgotável")</f>
        <v/>
      </c>
      <c r="AO120" s="2">
        <f>IF(Q120&gt;0,IF(E120=0,"Big stock",AC120/AI120),"Inesgotável")</f>
        <v/>
      </c>
      <c r="AP120" s="2">
        <f>IF(R120&gt;0,IF(F120=0,"Big stock",AD120/AJ120),"Inesgotável")</f>
        <v/>
      </c>
      <c r="AS120" s="64" t="n">
        <v>126</v>
      </c>
      <c r="AT120" s="2">
        <f>Retailers_Cap!BL122</f>
        <v/>
      </c>
      <c r="AU120" s="2">
        <f>Retailers_Cap!BM122</f>
        <v/>
      </c>
      <c r="AV120" s="2">
        <f>Retailers_Cap!BN122</f>
        <v/>
      </c>
      <c r="AY120" s="64" t="n">
        <v>126</v>
      </c>
      <c r="AZ120" s="2">
        <f>IF(D120=0,"no repl",AB120-AT120)</f>
        <v/>
      </c>
      <c r="BA120" s="2">
        <f>IF(E120=0,"no repl",AC120-AU120)</f>
        <v/>
      </c>
      <c r="BB120" s="2">
        <f>IF(F120=0,"no repl",AD120-AV120)</f>
        <v/>
      </c>
    </row>
    <row r="121">
      <c r="C121" s="64" t="n">
        <v>127</v>
      </c>
      <c r="D121" s="11" t="n">
        <v>207720.0659470717</v>
      </c>
      <c r="E121" s="11" t="n">
        <v>0</v>
      </c>
      <c r="F121" s="11" t="n">
        <v>0</v>
      </c>
      <c r="I121" s="64" t="n">
        <v>127</v>
      </c>
      <c r="J121" s="11" t="n">
        <v>4689.299999999999</v>
      </c>
      <c r="K121" s="11" t="n">
        <v>22741.86</v>
      </c>
      <c r="L121" s="11" t="n">
        <v>14507.64</v>
      </c>
      <c r="O121" s="64" t="n">
        <v>127</v>
      </c>
      <c r="P121" s="11" t="n">
        <v>121535.764442928</v>
      </c>
      <c r="Q121" s="11" t="n">
        <v>0</v>
      </c>
      <c r="R121" s="11" t="n">
        <v>0</v>
      </c>
      <c r="U121" s="64" t="n">
        <v>127</v>
      </c>
      <c r="V121" s="3">
        <f>J121-P121+D121</f>
        <v/>
      </c>
      <c r="W121" s="3">
        <f>K121-Q121+E121</f>
        <v/>
      </c>
      <c r="X121" s="3">
        <f>L121-R121+F121</f>
        <v/>
      </c>
      <c r="AA121" s="64" t="n">
        <v>127</v>
      </c>
      <c r="AB121" s="2">
        <f>IF(Demand!AU140&gt;Retailers_Cap!N123,(V121/Retailers!P122)/(Demand!AU140-Retailers_Cap!N123),"Inesgotável")</f>
        <v/>
      </c>
      <c r="AC121" s="2">
        <f>IF(Demand!AV140&gt;Retailers_Cap!O123,(W121/Retailers!Q122)/(Demand!AV140-Retailers_Cap!O123),"Inesgotável")</f>
        <v/>
      </c>
      <c r="AD121" s="2">
        <f>IF(Demand!AW140&gt;Retailers_Cap!P123,(X121/Retailers!R122)/(Demand!AW140-Retailers_Cap!P123),"Inesgotável")</f>
        <v/>
      </c>
      <c r="AG121" s="64" t="n">
        <v>127</v>
      </c>
      <c r="AH121" s="64">
        <f>Retailers!AJ122</f>
        <v/>
      </c>
      <c r="AI121" s="64">
        <f>Retailers!AK122</f>
        <v/>
      </c>
      <c r="AJ121" s="64">
        <f>Retailers!AL122</f>
        <v/>
      </c>
      <c r="AM121" s="64" t="n">
        <v>127</v>
      </c>
      <c r="AN121" s="2">
        <f>IF(P121&gt;0,IF(D121=0,"Big stock",AB121/AH121),"Inesgotável")</f>
        <v/>
      </c>
      <c r="AO121" s="2">
        <f>IF(Q121&gt;0,IF(E121=0,"Big stock",AC121/AI121),"Inesgotável")</f>
        <v/>
      </c>
      <c r="AP121" s="2">
        <f>IF(R121&gt;0,IF(F121=0,"Big stock",AD121/AJ121),"Inesgotável")</f>
        <v/>
      </c>
      <c r="AS121" s="64" t="n">
        <v>127</v>
      </c>
      <c r="AT121" s="2">
        <f>Retailers_Cap!BL123</f>
        <v/>
      </c>
      <c r="AU121" s="2">
        <f>Retailers_Cap!BM123</f>
        <v/>
      </c>
      <c r="AV121" s="2">
        <f>Retailers_Cap!BN123</f>
        <v/>
      </c>
      <c r="AY121" s="64" t="n">
        <v>127</v>
      </c>
      <c r="AZ121" s="2">
        <f>IF(D121=0,"no repl",AB121-AT121)</f>
        <v/>
      </c>
      <c r="BA121" s="2">
        <f>IF(E121=0,"no repl",AC121-AU121)</f>
        <v/>
      </c>
      <c r="BB121" s="2">
        <f>IF(F121=0,"no repl",AD121-AV121)</f>
        <v/>
      </c>
    </row>
    <row r="122">
      <c r="C122" s="64" t="n">
        <v>128</v>
      </c>
      <c r="D122" s="11" t="n">
        <v>0</v>
      </c>
      <c r="E122" s="11" t="n">
        <v>0</v>
      </c>
      <c r="F122" s="11" t="n">
        <v>0</v>
      </c>
      <c r="I122" s="64" t="n">
        <v>128</v>
      </c>
      <c r="J122" s="11" t="n">
        <v>6033.42</v>
      </c>
      <c r="K122" s="11" t="n">
        <v>21095.52</v>
      </c>
      <c r="L122" s="11" t="n">
        <v>36339.2</v>
      </c>
      <c r="O122" s="64" t="n">
        <v>128</v>
      </c>
      <c r="P122" s="11" t="n">
        <v>0</v>
      </c>
      <c r="Q122" s="11" t="n">
        <v>0</v>
      </c>
      <c r="R122" s="11" t="n">
        <v>0</v>
      </c>
      <c r="U122" s="64" t="n">
        <v>128</v>
      </c>
      <c r="V122" s="3">
        <f>J122-P122+D122</f>
        <v/>
      </c>
      <c r="W122" s="3">
        <f>K122-Q122+E122</f>
        <v/>
      </c>
      <c r="X122" s="3">
        <f>L122-R122+F122</f>
        <v/>
      </c>
      <c r="AA122" s="64" t="n">
        <v>128</v>
      </c>
      <c r="AB122" s="2">
        <f>IF(Demand!AU141&gt;Retailers_Cap!N124,(V122/Retailers!P123)/(Demand!AU141-Retailers_Cap!N124),"Inesgotável")</f>
        <v/>
      </c>
      <c r="AC122" s="2">
        <f>IF(Demand!AV141&gt;Retailers_Cap!O124,(W122/Retailers!Q123)/(Demand!AV141-Retailers_Cap!O124),"Inesgotável")</f>
        <v/>
      </c>
      <c r="AD122" s="2">
        <f>IF(Demand!AW141&gt;Retailers_Cap!P124,(X122/Retailers!R123)/(Demand!AW141-Retailers_Cap!P124),"Inesgotável")</f>
        <v/>
      </c>
      <c r="AG122" s="64" t="n">
        <v>128</v>
      </c>
      <c r="AH122" s="64">
        <f>Retailers!AJ123</f>
        <v/>
      </c>
      <c r="AI122" s="64">
        <f>Retailers!AK123</f>
        <v/>
      </c>
      <c r="AJ122" s="64">
        <f>Retailers!AL123</f>
        <v/>
      </c>
      <c r="AM122" s="64" t="n">
        <v>128</v>
      </c>
      <c r="AN122" s="2">
        <f>IF(P122&gt;0,IF(D122=0,"Big stock",AB122/AH122),"Inesgotável")</f>
        <v/>
      </c>
      <c r="AO122" s="2">
        <f>IF(Q122&gt;0,IF(E122=0,"Big stock",AC122/AI122),"Inesgotável")</f>
        <v/>
      </c>
      <c r="AP122" s="2">
        <f>IF(R122&gt;0,IF(F122=0,"Big stock",AD122/AJ122),"Inesgotável")</f>
        <v/>
      </c>
      <c r="AS122" s="64" t="n">
        <v>128</v>
      </c>
      <c r="AT122" s="2">
        <f>Retailers_Cap!BL124</f>
        <v/>
      </c>
      <c r="AU122" s="2">
        <f>Retailers_Cap!BM124</f>
        <v/>
      </c>
      <c r="AV122" s="2">
        <f>Retailers_Cap!BN124</f>
        <v/>
      </c>
      <c r="AY122" s="64" t="n">
        <v>128</v>
      </c>
      <c r="AZ122" s="2">
        <f>IF(D122=0,"no repl",AB122-AT122)</f>
        <v/>
      </c>
      <c r="BA122" s="2">
        <f>IF(E122=0,"no repl",AC122-AU122)</f>
        <v/>
      </c>
      <c r="BB122" s="2">
        <f>IF(F122=0,"no repl",AD122-AV122)</f>
        <v/>
      </c>
    </row>
    <row r="123">
      <c r="C123" s="64" t="n">
        <v>129</v>
      </c>
      <c r="D123" s="11" t="n">
        <v>0</v>
      </c>
      <c r="E123" s="11" t="n">
        <v>171928.1958880791</v>
      </c>
      <c r="F123" s="11" t="n">
        <v>0</v>
      </c>
      <c r="I123" s="64" t="n">
        <v>129</v>
      </c>
      <c r="J123" s="11" t="n">
        <v>19360.11</v>
      </c>
      <c r="K123" s="11" t="n">
        <v>45825.14999999999</v>
      </c>
      <c r="L123" s="11" t="n">
        <v>9162.719999999999</v>
      </c>
      <c r="O123" s="64" t="n">
        <v>129</v>
      </c>
      <c r="P123" s="11" t="n">
        <v>0</v>
      </c>
      <c r="Q123" s="11" t="n">
        <v>112320.2319962929</v>
      </c>
      <c r="R123" s="11" t="n">
        <v>0</v>
      </c>
      <c r="U123" s="64" t="n">
        <v>129</v>
      </c>
      <c r="V123" s="3">
        <f>J123-P123+D123</f>
        <v/>
      </c>
      <c r="W123" s="3">
        <f>K123-Q123+E123</f>
        <v/>
      </c>
      <c r="X123" s="3">
        <f>L123-R123+F123</f>
        <v/>
      </c>
      <c r="AA123" s="64" t="n">
        <v>129</v>
      </c>
      <c r="AB123" s="2">
        <f>IF(Demand!AU142&gt;Retailers_Cap!N125,(V123/Retailers!P124)/(Demand!AU142-Retailers_Cap!N125),"Inesgotável")</f>
        <v/>
      </c>
      <c r="AC123" s="2">
        <f>IF(Demand!AV142&gt;Retailers_Cap!O125,(W123/Retailers!Q124)/(Demand!AV142-Retailers_Cap!O125),"Inesgotável")</f>
        <v/>
      </c>
      <c r="AD123" s="2">
        <f>IF(Demand!AW142&gt;Retailers_Cap!P125,(X123/Retailers!R124)/(Demand!AW142-Retailers_Cap!P125),"Inesgotável")</f>
        <v/>
      </c>
      <c r="AG123" s="64" t="n">
        <v>129</v>
      </c>
      <c r="AH123" s="64">
        <f>Retailers!AJ124</f>
        <v/>
      </c>
      <c r="AI123" s="64">
        <f>Retailers!AK124</f>
        <v/>
      </c>
      <c r="AJ123" s="64">
        <f>Retailers!AL124</f>
        <v/>
      </c>
      <c r="AM123" s="64" t="n">
        <v>129</v>
      </c>
      <c r="AN123" s="2">
        <f>IF(P123&gt;0,IF(D123=0,"Big stock",AB123/AH123),"Inesgotável")</f>
        <v/>
      </c>
      <c r="AO123" s="2">
        <f>IF(Q123&gt;0,IF(E123=0,"Big stock",AC123/AI123),"Inesgotável")</f>
        <v/>
      </c>
      <c r="AP123" s="2">
        <f>IF(R123&gt;0,IF(F123=0,"Big stock",AD123/AJ123),"Inesgotável")</f>
        <v/>
      </c>
      <c r="AS123" s="64" t="n">
        <v>129</v>
      </c>
      <c r="AT123" s="2">
        <f>Retailers_Cap!BL125</f>
        <v/>
      </c>
      <c r="AU123" s="2">
        <f>Retailers_Cap!BM125</f>
        <v/>
      </c>
      <c r="AV123" s="2">
        <f>Retailers_Cap!BN125</f>
        <v/>
      </c>
      <c r="AY123" s="64" t="n">
        <v>129</v>
      </c>
      <c r="AZ123" s="2">
        <f>IF(D123=0,"no repl",AB123-AT123)</f>
        <v/>
      </c>
      <c r="BA123" s="2">
        <f>IF(E123=0,"no repl",AC123-AU123)</f>
        <v/>
      </c>
      <c r="BB123" s="2">
        <f>IF(F123=0,"no repl",AD123-AV123)</f>
        <v/>
      </c>
    </row>
    <row r="124">
      <c r="C124" s="64" t="n">
        <v>130</v>
      </c>
      <c r="D124" s="11" t="n">
        <v>0</v>
      </c>
      <c r="E124" s="11" t="n">
        <v>0</v>
      </c>
      <c r="F124" s="11" t="n">
        <v>0</v>
      </c>
      <c r="I124" s="64" t="n">
        <v>130</v>
      </c>
      <c r="J124" s="11" t="n">
        <v>35667.5</v>
      </c>
      <c r="K124" s="11" t="n">
        <v>22919.4</v>
      </c>
      <c r="L124" s="11" t="n">
        <v>66674.19</v>
      </c>
      <c r="O124" s="64" t="n">
        <v>130</v>
      </c>
      <c r="P124" s="11" t="n">
        <v>0</v>
      </c>
      <c r="Q124" s="11" t="n">
        <v>0</v>
      </c>
      <c r="R124" s="11" t="n">
        <v>0</v>
      </c>
      <c r="U124" s="64" t="n">
        <v>130</v>
      </c>
      <c r="V124" s="3">
        <f>J124-P124+D124</f>
        <v/>
      </c>
      <c r="W124" s="3">
        <f>K124-Q124+E124</f>
        <v/>
      </c>
      <c r="X124" s="3">
        <f>L124-R124+F124</f>
        <v/>
      </c>
      <c r="AA124" s="64" t="n">
        <v>130</v>
      </c>
      <c r="AB124" s="2">
        <f>IF(Demand!AU143&gt;Retailers_Cap!N126,(V124/Retailers!P125)/(Demand!AU143-Retailers_Cap!N126),"Inesgotável")</f>
        <v/>
      </c>
      <c r="AC124" s="2">
        <f>IF(Demand!AV143&gt;Retailers_Cap!O126,(W124/Retailers!Q125)/(Demand!AV143-Retailers_Cap!O126),"Inesgotável")</f>
        <v/>
      </c>
      <c r="AD124" s="2">
        <f>IF(Demand!AW143&gt;Retailers_Cap!P126,(X124/Retailers!R125)/(Demand!AW143-Retailers_Cap!P126),"Inesgotável")</f>
        <v/>
      </c>
      <c r="AG124" s="64" t="n">
        <v>130</v>
      </c>
      <c r="AH124" s="64">
        <f>Retailers!AJ125</f>
        <v/>
      </c>
      <c r="AI124" s="64">
        <f>Retailers!AK125</f>
        <v/>
      </c>
      <c r="AJ124" s="64">
        <f>Retailers!AL125</f>
        <v/>
      </c>
      <c r="AM124" s="64" t="n">
        <v>130</v>
      </c>
      <c r="AN124" s="2">
        <f>IF(P124&gt;0,IF(D124=0,"Big stock",AB124/AH124),"Inesgotável")</f>
        <v/>
      </c>
      <c r="AO124" s="2">
        <f>IF(Q124&gt;0,IF(E124=0,"Big stock",AC124/AI124),"Inesgotável")</f>
        <v/>
      </c>
      <c r="AP124" s="2">
        <f>IF(R124&gt;0,IF(F124=0,"Big stock",AD124/AJ124),"Inesgotável")</f>
        <v/>
      </c>
      <c r="AS124" s="64" t="n">
        <v>130</v>
      </c>
      <c r="AT124" s="2">
        <f>Retailers_Cap!BL126</f>
        <v/>
      </c>
      <c r="AU124" s="2">
        <f>Retailers_Cap!BM126</f>
        <v/>
      </c>
      <c r="AV124" s="2">
        <f>Retailers_Cap!BN126</f>
        <v/>
      </c>
      <c r="AY124" s="64" t="n">
        <v>130</v>
      </c>
      <c r="AZ124" s="2">
        <f>IF(D124=0,"no repl",AB124-AT124)</f>
        <v/>
      </c>
      <c r="BA124" s="2">
        <f>IF(E124=0,"no repl",AC124-AU124)</f>
        <v/>
      </c>
      <c r="BB124" s="2">
        <f>IF(F124=0,"no repl",AD124-AV124)</f>
        <v/>
      </c>
    </row>
    <row r="125">
      <c r="C125" s="64" t="n">
        <v>131</v>
      </c>
      <c r="D125" s="11" t="n">
        <v>0</v>
      </c>
      <c r="E125" s="11" t="n">
        <v>85256.9245944079</v>
      </c>
      <c r="F125" s="11" t="n">
        <v>654899.044483261</v>
      </c>
      <c r="I125" s="64" t="n">
        <v>131</v>
      </c>
      <c r="J125" s="11" t="n">
        <v>93365.06</v>
      </c>
      <c r="K125" s="11" t="n">
        <v>15105.42</v>
      </c>
      <c r="L125" s="11" t="n">
        <v>20860.39</v>
      </c>
      <c r="O125" s="64" t="n">
        <v>131</v>
      </c>
      <c r="P125" s="11" t="n">
        <v>0</v>
      </c>
      <c r="Q125" s="11" t="n">
        <v>54163.39104953337</v>
      </c>
      <c r="R125" s="11" t="n">
        <v>392098.422806186</v>
      </c>
      <c r="U125" s="64" t="n">
        <v>131</v>
      </c>
      <c r="V125" s="3">
        <f>J125-P125+D125</f>
        <v/>
      </c>
      <c r="W125" s="3">
        <f>K125-Q125+E125</f>
        <v/>
      </c>
      <c r="X125" s="3">
        <f>L125-R125+F125</f>
        <v/>
      </c>
      <c r="AA125" s="64" t="n">
        <v>131</v>
      </c>
      <c r="AB125" s="2">
        <f>IF(Demand!AU144&gt;Retailers_Cap!N127,(V125/Retailers!P126)/(Demand!AU144-Retailers_Cap!N127),"Inesgotável")</f>
        <v/>
      </c>
      <c r="AC125" s="2">
        <f>IF(Demand!AV144&gt;Retailers_Cap!O127,(W125/Retailers!Q126)/(Demand!AV144-Retailers_Cap!O127),"Inesgotável")</f>
        <v/>
      </c>
      <c r="AD125" s="2">
        <f>IF(Demand!AW144&gt;Retailers_Cap!P127,(X125/Retailers!R126)/(Demand!AW144-Retailers_Cap!P127),"Inesgotável")</f>
        <v/>
      </c>
      <c r="AG125" s="64" t="n">
        <v>131</v>
      </c>
      <c r="AH125" s="64">
        <f>Retailers!AJ126</f>
        <v/>
      </c>
      <c r="AI125" s="64">
        <f>Retailers!AK126</f>
        <v/>
      </c>
      <c r="AJ125" s="64">
        <f>Retailers!AL126</f>
        <v/>
      </c>
      <c r="AM125" s="64" t="n">
        <v>131</v>
      </c>
      <c r="AN125" s="2">
        <f>IF(P125&gt;0,IF(D125=0,"Big stock",AB125/AH125),"Inesgotável")</f>
        <v/>
      </c>
      <c r="AO125" s="2">
        <f>IF(Q125&gt;0,IF(E125=0,"Big stock",AC125/AI125),"Inesgotável")</f>
        <v/>
      </c>
      <c r="AP125" s="2">
        <f>IF(R125&gt;0,IF(F125=0,"Big stock",AD125/AJ125),"Inesgotável")</f>
        <v/>
      </c>
      <c r="AS125" s="64" t="n">
        <v>131</v>
      </c>
      <c r="AT125" s="2">
        <f>Retailers_Cap!BL127</f>
        <v/>
      </c>
      <c r="AU125" s="2">
        <f>Retailers_Cap!BM127</f>
        <v/>
      </c>
      <c r="AV125" s="2">
        <f>Retailers_Cap!BN127</f>
        <v/>
      </c>
      <c r="AY125" s="64" t="n">
        <v>131</v>
      </c>
      <c r="AZ125" s="2">
        <f>IF(D125=0,"no repl",AB125-AT125)</f>
        <v/>
      </c>
      <c r="BA125" s="2">
        <f>IF(E125=0,"no repl",AC125-AU125)</f>
        <v/>
      </c>
      <c r="BB125" s="2">
        <f>IF(F125=0,"no repl",AD125-AV125)</f>
        <v/>
      </c>
    </row>
    <row r="126">
      <c r="C126" s="64" t="n">
        <v>132</v>
      </c>
      <c r="D126" s="11" t="n">
        <v>595586.6787787459</v>
      </c>
      <c r="E126" s="11" t="n">
        <v>0</v>
      </c>
      <c r="F126" s="11" t="n">
        <v>0</v>
      </c>
      <c r="I126" s="64" t="n">
        <v>132</v>
      </c>
      <c r="J126" s="11" t="n">
        <v>16779.98</v>
      </c>
      <c r="K126" s="11" t="n">
        <v>63433.5</v>
      </c>
      <c r="L126" s="11" t="n">
        <v>55626.05</v>
      </c>
      <c r="O126" s="64" t="n">
        <v>132</v>
      </c>
      <c r="P126" s="11" t="n">
        <v>394197.8058607565</v>
      </c>
      <c r="Q126" s="11" t="n">
        <v>0</v>
      </c>
      <c r="R126" s="11" t="n">
        <v>0</v>
      </c>
      <c r="U126" s="64" t="n">
        <v>132</v>
      </c>
      <c r="V126" s="3">
        <f>J126-P126+D126</f>
        <v/>
      </c>
      <c r="W126" s="3">
        <f>K126-Q126+E126</f>
        <v/>
      </c>
      <c r="X126" s="3">
        <f>L126-R126+F126</f>
        <v/>
      </c>
      <c r="AA126" s="64" t="n">
        <v>132</v>
      </c>
      <c r="AB126" s="2">
        <f>IF(Demand!AU145&gt;Retailers_Cap!N128,(V126/Retailers!P127)/(Demand!AU145-Retailers_Cap!N128),"Inesgotável")</f>
        <v/>
      </c>
      <c r="AC126" s="2">
        <f>IF(Demand!AV145&gt;Retailers_Cap!O128,(W126/Retailers!Q127)/(Demand!AV145-Retailers_Cap!O128),"Inesgotável")</f>
        <v/>
      </c>
      <c r="AD126" s="2">
        <f>IF(Demand!AW145&gt;Retailers_Cap!P128,(X126/Retailers!R127)/(Demand!AW145-Retailers_Cap!P128),"Inesgotável")</f>
        <v/>
      </c>
      <c r="AG126" s="64" t="n">
        <v>132</v>
      </c>
      <c r="AH126" s="64">
        <f>Retailers!AJ127</f>
        <v/>
      </c>
      <c r="AI126" s="64">
        <f>Retailers!AK127</f>
        <v/>
      </c>
      <c r="AJ126" s="64">
        <f>Retailers!AL127</f>
        <v/>
      </c>
      <c r="AM126" s="64" t="n">
        <v>132</v>
      </c>
      <c r="AN126" s="2">
        <f>IF(P126&gt;0,IF(D126=0,"Big stock",AB126/AH126),"Inesgotável")</f>
        <v/>
      </c>
      <c r="AO126" s="2">
        <f>IF(Q126&gt;0,IF(E126=0,"Big stock",AC126/AI126),"Inesgotável")</f>
        <v/>
      </c>
      <c r="AP126" s="2">
        <f>IF(R126&gt;0,IF(F126=0,"Big stock",AD126/AJ126),"Inesgotável")</f>
        <v/>
      </c>
      <c r="AS126" s="64" t="n">
        <v>132</v>
      </c>
      <c r="AT126" s="2">
        <f>Retailers_Cap!BL128</f>
        <v/>
      </c>
      <c r="AU126" s="2">
        <f>Retailers_Cap!BM128</f>
        <v/>
      </c>
      <c r="AV126" s="2">
        <f>Retailers_Cap!BN128</f>
        <v/>
      </c>
      <c r="AY126" s="64" t="n">
        <v>132</v>
      </c>
      <c r="AZ126" s="2">
        <f>IF(D126=0,"no repl",AB126-AT126)</f>
        <v/>
      </c>
      <c r="BA126" s="2">
        <f>IF(E126=0,"no repl",AC126-AU126)</f>
        <v/>
      </c>
      <c r="BB126" s="2">
        <f>IF(F126=0,"no repl",AD126-AV126)</f>
        <v/>
      </c>
    </row>
    <row r="127">
      <c r="C127" s="64" t="n">
        <v>133</v>
      </c>
      <c r="D127" s="11" t="n">
        <v>55086.48904215017</v>
      </c>
      <c r="E127" s="11" t="n">
        <v>231089.6576015259</v>
      </c>
      <c r="F127" s="11" t="n">
        <v>665390.6249245309</v>
      </c>
      <c r="I127" s="64" t="n">
        <v>133</v>
      </c>
      <c r="J127" s="11" t="n">
        <v>44246.82</v>
      </c>
      <c r="K127" s="11" t="n">
        <v>19987.92</v>
      </c>
      <c r="L127" s="11" t="n">
        <v>26025.6</v>
      </c>
      <c r="O127" s="64" t="n">
        <v>133</v>
      </c>
      <c r="P127" s="11" t="n">
        <v>34073.73256639983</v>
      </c>
      <c r="Q127" s="11" t="n">
        <v>137089.3096706648</v>
      </c>
      <c r="R127" s="11" t="n">
        <v>404012.8391260628</v>
      </c>
      <c r="U127" s="64" t="n">
        <v>133</v>
      </c>
      <c r="V127" s="3">
        <f>J127-P127+D127</f>
        <v/>
      </c>
      <c r="W127" s="3">
        <f>K127-Q127+E127</f>
        <v/>
      </c>
      <c r="X127" s="3">
        <f>L127-R127+F127</f>
        <v/>
      </c>
      <c r="AA127" s="64" t="n">
        <v>133</v>
      </c>
      <c r="AB127" s="2">
        <f>IF(Demand!AU146&gt;Retailers_Cap!N129,(V127/Retailers!P128)/(Demand!AU146-Retailers_Cap!N129),"Inesgotável")</f>
        <v/>
      </c>
      <c r="AC127" s="2">
        <f>IF(Demand!AV146&gt;Retailers_Cap!O129,(W127/Retailers!Q128)/(Demand!AV146-Retailers_Cap!O129),"Inesgotável")</f>
        <v/>
      </c>
      <c r="AD127" s="2">
        <f>IF(Demand!AW146&gt;Retailers_Cap!P129,(X127/Retailers!R128)/(Demand!AW146-Retailers_Cap!P129),"Inesgotável")</f>
        <v/>
      </c>
      <c r="AG127" s="64" t="n">
        <v>133</v>
      </c>
      <c r="AH127" s="64">
        <f>Retailers!AJ128</f>
        <v/>
      </c>
      <c r="AI127" s="64">
        <f>Retailers!AK128</f>
        <v/>
      </c>
      <c r="AJ127" s="64">
        <f>Retailers!AL128</f>
        <v/>
      </c>
      <c r="AM127" s="64" t="n">
        <v>133</v>
      </c>
      <c r="AN127" s="2">
        <f>IF(P127&gt;0,IF(D127=0,"Big stock",AB127/AH127),"Inesgotável")</f>
        <v/>
      </c>
      <c r="AO127" s="2">
        <f>IF(Q127&gt;0,IF(E127=0,"Big stock",AC127/AI127),"Inesgotável")</f>
        <v/>
      </c>
      <c r="AP127" s="2">
        <f>IF(R127&gt;0,IF(F127=0,"Big stock",AD127/AJ127),"Inesgotável")</f>
        <v/>
      </c>
      <c r="AS127" s="64" t="n">
        <v>133</v>
      </c>
      <c r="AT127" s="2">
        <f>Retailers_Cap!BL129</f>
        <v/>
      </c>
      <c r="AU127" s="2">
        <f>Retailers_Cap!BM129</f>
        <v/>
      </c>
      <c r="AV127" s="2">
        <f>Retailers_Cap!BN129</f>
        <v/>
      </c>
      <c r="AY127" s="64" t="n">
        <v>133</v>
      </c>
      <c r="AZ127" s="2">
        <f>IF(D127=0,"no repl",AB127-AT127)</f>
        <v/>
      </c>
      <c r="BA127" s="2">
        <f>IF(E127=0,"no repl",AC127-AU127)</f>
        <v/>
      </c>
      <c r="BB127" s="2">
        <f>IF(F127=0,"no repl",AD127-AV127)</f>
        <v/>
      </c>
    </row>
    <row r="128">
      <c r="C128" s="64" t="n">
        <v>134</v>
      </c>
      <c r="D128" s="11" t="n">
        <v>0</v>
      </c>
      <c r="E128" s="11" t="n">
        <v>81164.95584724637</v>
      </c>
      <c r="F128" s="11" t="n">
        <v>334915.0042204465</v>
      </c>
      <c r="I128" s="64" t="n">
        <v>134</v>
      </c>
      <c r="J128" s="11" t="n">
        <v>87814.55</v>
      </c>
      <c r="K128" s="11" t="n">
        <v>14981</v>
      </c>
      <c r="L128" s="11" t="n">
        <v>105725.25</v>
      </c>
      <c r="O128" s="64" t="n">
        <v>134</v>
      </c>
      <c r="P128" s="11" t="n">
        <v>0</v>
      </c>
      <c r="Q128" s="11" t="n">
        <v>51778.91561319326</v>
      </c>
      <c r="R128" s="11" t="n">
        <v>215369.7957209559</v>
      </c>
      <c r="U128" s="64" t="n">
        <v>134</v>
      </c>
      <c r="V128" s="3">
        <f>J128-P128+D128</f>
        <v/>
      </c>
      <c r="W128" s="3">
        <f>K128-Q128+E128</f>
        <v/>
      </c>
      <c r="X128" s="3">
        <f>L128-R128+F128</f>
        <v/>
      </c>
      <c r="AA128" s="64" t="n">
        <v>134</v>
      </c>
      <c r="AB128" s="2">
        <f>IF(Demand!AU147&gt;Retailers_Cap!N130,(V128/Retailers!P129)/(Demand!AU147-Retailers_Cap!N130),"Inesgotável")</f>
        <v/>
      </c>
      <c r="AC128" s="2">
        <f>IF(Demand!AV147&gt;Retailers_Cap!O130,(W128/Retailers!Q129)/(Demand!AV147-Retailers_Cap!O130),"Inesgotável")</f>
        <v/>
      </c>
      <c r="AD128" s="2">
        <f>IF(Demand!AW147&gt;Retailers_Cap!P130,(X128/Retailers!R129)/(Demand!AW147-Retailers_Cap!P130),"Inesgotável")</f>
        <v/>
      </c>
      <c r="AG128" s="64" t="n">
        <v>134</v>
      </c>
      <c r="AH128" s="64">
        <f>Retailers!AJ129</f>
        <v/>
      </c>
      <c r="AI128" s="64">
        <f>Retailers!AK129</f>
        <v/>
      </c>
      <c r="AJ128" s="64">
        <f>Retailers!AL129</f>
        <v/>
      </c>
      <c r="AM128" s="64" t="n">
        <v>134</v>
      </c>
      <c r="AN128" s="2">
        <f>IF(P128&gt;0,IF(D128=0,"Big stock",AB128/AH128),"Inesgotável")</f>
        <v/>
      </c>
      <c r="AO128" s="2">
        <f>IF(Q128&gt;0,IF(E128=0,"Big stock",AC128/AI128),"Inesgotável")</f>
        <v/>
      </c>
      <c r="AP128" s="2">
        <f>IF(R128&gt;0,IF(F128=0,"Big stock",AD128/AJ128),"Inesgotável")</f>
        <v/>
      </c>
      <c r="AS128" s="64" t="n">
        <v>134</v>
      </c>
      <c r="AT128" s="2">
        <f>Retailers_Cap!BL130</f>
        <v/>
      </c>
      <c r="AU128" s="2">
        <f>Retailers_Cap!BM130</f>
        <v/>
      </c>
      <c r="AV128" s="2">
        <f>Retailers_Cap!BN130</f>
        <v/>
      </c>
      <c r="AY128" s="64" t="n">
        <v>134</v>
      </c>
      <c r="AZ128" s="2">
        <f>IF(D128=0,"no repl",AB128-AT128)</f>
        <v/>
      </c>
      <c r="BA128" s="2">
        <f>IF(E128=0,"no repl",AC128-AU128)</f>
        <v/>
      </c>
      <c r="BB128" s="2">
        <f>IF(F128=0,"no repl",AD128-AV128)</f>
        <v/>
      </c>
    </row>
    <row r="129">
      <c r="C129" s="64" t="n">
        <v>135</v>
      </c>
      <c r="D129" s="11" t="n">
        <v>0</v>
      </c>
      <c r="E129" s="11" t="n">
        <v>226749.6878071125</v>
      </c>
      <c r="F129" s="11" t="n">
        <v>362184.9017422608</v>
      </c>
      <c r="I129" s="64" t="n">
        <v>135</v>
      </c>
      <c r="J129" s="11" t="n">
        <v>5431.860000000001</v>
      </c>
      <c r="K129" s="11" t="n">
        <v>35301.7</v>
      </c>
      <c r="L129" s="11" t="n">
        <v>31391.32</v>
      </c>
      <c r="O129" s="64" t="n">
        <v>135</v>
      </c>
      <c r="P129" s="11" t="n">
        <v>0</v>
      </c>
      <c r="Q129" s="11" t="n">
        <v>144298.1477029659</v>
      </c>
      <c r="R129" s="11" t="n">
        <v>221865.8548938361</v>
      </c>
      <c r="U129" s="64" t="n">
        <v>135</v>
      </c>
      <c r="V129" s="3">
        <f>J129-P129+D129</f>
        <v/>
      </c>
      <c r="W129" s="3">
        <f>K129-Q129+E129</f>
        <v/>
      </c>
      <c r="X129" s="3">
        <f>L129-R129+F129</f>
        <v/>
      </c>
      <c r="AA129" s="64" t="n">
        <v>135</v>
      </c>
      <c r="AB129" s="2">
        <f>IF(Demand!AU148&gt;Retailers_Cap!N131,(V129/Retailers!P130)/(Demand!AU148-Retailers_Cap!N131),"Inesgotável")</f>
        <v/>
      </c>
      <c r="AC129" s="2">
        <f>IF(Demand!AV148&gt;Retailers_Cap!O131,(W129/Retailers!Q130)/(Demand!AV148-Retailers_Cap!O131),"Inesgotável")</f>
        <v/>
      </c>
      <c r="AD129" s="2">
        <f>IF(Demand!AW148&gt;Retailers_Cap!P131,(X129/Retailers!R130)/(Demand!AW148-Retailers_Cap!P131),"Inesgotável")</f>
        <v/>
      </c>
      <c r="AG129" s="64" t="n">
        <v>135</v>
      </c>
      <c r="AH129" s="64">
        <f>Retailers!AJ130</f>
        <v/>
      </c>
      <c r="AI129" s="64">
        <f>Retailers!AK130</f>
        <v/>
      </c>
      <c r="AJ129" s="64">
        <f>Retailers!AL130</f>
        <v/>
      </c>
      <c r="AM129" s="64" t="n">
        <v>135</v>
      </c>
      <c r="AN129" s="2">
        <f>IF(P129&gt;0,IF(D129=0,"Big stock",AB129/AH129),"Inesgotável")</f>
        <v/>
      </c>
      <c r="AO129" s="2">
        <f>IF(Q129&gt;0,IF(E129=0,"Big stock",AC129/AI129),"Inesgotável")</f>
        <v/>
      </c>
      <c r="AP129" s="2">
        <f>IF(R129&gt;0,IF(F129=0,"Big stock",AD129/AJ129),"Inesgotável")</f>
        <v/>
      </c>
      <c r="AS129" s="64" t="n">
        <v>135</v>
      </c>
      <c r="AT129" s="2">
        <f>Retailers_Cap!BL131</f>
        <v/>
      </c>
      <c r="AU129" s="2">
        <f>Retailers_Cap!BM131</f>
        <v/>
      </c>
      <c r="AV129" s="2">
        <f>Retailers_Cap!BN131</f>
        <v/>
      </c>
      <c r="AY129" s="64" t="n">
        <v>135</v>
      </c>
      <c r="AZ129" s="2">
        <f>IF(D129=0,"no repl",AB129-AT129)</f>
        <v/>
      </c>
      <c r="BA129" s="2">
        <f>IF(E129=0,"no repl",AC129-AU129)</f>
        <v/>
      </c>
      <c r="BB129" s="2">
        <f>IF(F129=0,"no repl",AD129-AV129)</f>
        <v/>
      </c>
    </row>
    <row r="130">
      <c r="C130" s="64" t="n">
        <v>136</v>
      </c>
      <c r="D130" s="11" t="n">
        <v>0</v>
      </c>
      <c r="E130" s="11" t="n">
        <v>204881.4369649054</v>
      </c>
      <c r="F130" s="11" t="n">
        <v>494719.7789002637</v>
      </c>
      <c r="I130" s="64" t="n">
        <v>136</v>
      </c>
      <c r="J130" s="11" t="n">
        <v>38767.2</v>
      </c>
      <c r="K130" s="11" t="n">
        <v>56894.4</v>
      </c>
      <c r="L130" s="11" t="n">
        <v>9028.800000000001</v>
      </c>
      <c r="O130" s="64" t="n">
        <v>136</v>
      </c>
      <c r="P130" s="11" t="n">
        <v>0</v>
      </c>
      <c r="Q130" s="11" t="n">
        <v>119973.9736799652</v>
      </c>
      <c r="R130" s="11" t="n">
        <v>288479.0103470723</v>
      </c>
      <c r="U130" s="64" t="n">
        <v>136</v>
      </c>
      <c r="V130" s="3">
        <f>J130-P130+D130</f>
        <v/>
      </c>
      <c r="W130" s="3">
        <f>K130-Q130+E130</f>
        <v/>
      </c>
      <c r="X130" s="3">
        <f>L130-R130+F130</f>
        <v/>
      </c>
      <c r="AA130" s="64" t="n">
        <v>136</v>
      </c>
      <c r="AB130" s="2">
        <f>IF(Demand!AU149&gt;Retailers_Cap!N132,(V130/Retailers!P131)/(Demand!AU149-Retailers_Cap!N132),"Inesgotável")</f>
        <v/>
      </c>
      <c r="AC130" s="2">
        <f>IF(Demand!AV149&gt;Retailers_Cap!O132,(W130/Retailers!Q131)/(Demand!AV149-Retailers_Cap!O132),"Inesgotável")</f>
        <v/>
      </c>
      <c r="AD130" s="2">
        <f>IF(Demand!AW149&gt;Retailers_Cap!P132,(X130/Retailers!R131)/(Demand!AW149-Retailers_Cap!P132),"Inesgotável")</f>
        <v/>
      </c>
      <c r="AG130" s="64" t="n">
        <v>136</v>
      </c>
      <c r="AH130" s="64">
        <f>Retailers!AJ131</f>
        <v/>
      </c>
      <c r="AI130" s="64">
        <f>Retailers!AK131</f>
        <v/>
      </c>
      <c r="AJ130" s="64">
        <f>Retailers!AL131</f>
        <v/>
      </c>
      <c r="AM130" s="64" t="n">
        <v>136</v>
      </c>
      <c r="AN130" s="2">
        <f>IF(P130&gt;0,IF(D130=0,"Big stock",AB130/AH130),"Inesgotável")</f>
        <v/>
      </c>
      <c r="AO130" s="2">
        <f>IF(Q130&gt;0,IF(E130=0,"Big stock",AC130/AI130),"Inesgotável")</f>
        <v/>
      </c>
      <c r="AP130" s="2">
        <f>IF(R130&gt;0,IF(F130=0,"Big stock",AD130/AJ130),"Inesgotável")</f>
        <v/>
      </c>
      <c r="AS130" s="64" t="n">
        <v>136</v>
      </c>
      <c r="AT130" s="2">
        <f>Retailers_Cap!BL132</f>
        <v/>
      </c>
      <c r="AU130" s="2">
        <f>Retailers_Cap!BM132</f>
        <v/>
      </c>
      <c r="AV130" s="2">
        <f>Retailers_Cap!BN132</f>
        <v/>
      </c>
      <c r="AY130" s="64" t="n">
        <v>136</v>
      </c>
      <c r="AZ130" s="2">
        <f>IF(D130=0,"no repl",AB130-AT130)</f>
        <v/>
      </c>
      <c r="BA130" s="2">
        <f>IF(E130=0,"no repl",AC130-AU130)</f>
        <v/>
      </c>
      <c r="BB130" s="2">
        <f>IF(F130=0,"no repl",AD130-AV130)</f>
        <v/>
      </c>
    </row>
    <row r="131">
      <c r="C131" s="64" t="n">
        <v>137</v>
      </c>
      <c r="D131" s="11" t="n">
        <v>667601.3119498198</v>
      </c>
      <c r="E131" s="11" t="n">
        <v>0</v>
      </c>
      <c r="F131" s="11" t="n">
        <v>79574.56339203603</v>
      </c>
      <c r="I131" s="64" t="n">
        <v>137</v>
      </c>
      <c r="J131" s="11" t="n">
        <v>59348.7</v>
      </c>
      <c r="K131" s="11" t="n">
        <v>11337.7</v>
      </c>
      <c r="L131" s="11" t="n">
        <v>2459.8</v>
      </c>
      <c r="O131" s="64" t="n">
        <v>137</v>
      </c>
      <c r="P131" s="11" t="n">
        <v>379115.0458577191</v>
      </c>
      <c r="Q131" s="11" t="n">
        <v>0</v>
      </c>
      <c r="R131" s="11" t="n">
        <v>52999.76199058426</v>
      </c>
      <c r="U131" s="64" t="n">
        <v>137</v>
      </c>
      <c r="V131" s="3">
        <f>J131-P131+D131</f>
        <v/>
      </c>
      <c r="W131" s="3">
        <f>K131-Q131+E131</f>
        <v/>
      </c>
      <c r="X131" s="3">
        <f>L131-R131+F131</f>
        <v/>
      </c>
      <c r="AA131" s="64" t="n">
        <v>137</v>
      </c>
      <c r="AB131" s="2">
        <f>IF(Demand!AU150&gt;Retailers_Cap!N133,(V131/Retailers!P132)/(Demand!AU150-Retailers_Cap!N133),"Inesgotável")</f>
        <v/>
      </c>
      <c r="AC131" s="2">
        <f>IF(Demand!AV150&gt;Retailers_Cap!O133,(W131/Retailers!Q132)/(Demand!AV150-Retailers_Cap!O133),"Inesgotável")</f>
        <v/>
      </c>
      <c r="AD131" s="2">
        <f>IF(Demand!AW150&gt;Retailers_Cap!P133,(X131/Retailers!R132)/(Demand!AW150-Retailers_Cap!P133),"Inesgotável")</f>
        <v/>
      </c>
      <c r="AG131" s="64" t="n">
        <v>137</v>
      </c>
      <c r="AH131" s="64">
        <f>Retailers!AJ132</f>
        <v/>
      </c>
      <c r="AI131" s="64">
        <f>Retailers!AK132</f>
        <v/>
      </c>
      <c r="AJ131" s="64">
        <f>Retailers!AL132</f>
        <v/>
      </c>
      <c r="AM131" s="64" t="n">
        <v>137</v>
      </c>
      <c r="AN131" s="2">
        <f>IF(P131&gt;0,IF(D131=0,"Big stock",AB131/AH131),"Inesgotável")</f>
        <v/>
      </c>
      <c r="AO131" s="2">
        <f>IF(Q131&gt;0,IF(E131=0,"Big stock",AC131/AI131),"Inesgotável")</f>
        <v/>
      </c>
      <c r="AP131" s="2">
        <f>IF(R131&gt;0,IF(F131=0,"Big stock",AD131/AJ131),"Inesgotável")</f>
        <v/>
      </c>
      <c r="AS131" s="64" t="n">
        <v>137</v>
      </c>
      <c r="AT131" s="2">
        <f>Retailers_Cap!BL133</f>
        <v/>
      </c>
      <c r="AU131" s="2">
        <f>Retailers_Cap!BM133</f>
        <v/>
      </c>
      <c r="AV131" s="2">
        <f>Retailers_Cap!BN133</f>
        <v/>
      </c>
      <c r="AY131" s="64" t="n">
        <v>137</v>
      </c>
      <c r="AZ131" s="2">
        <f>IF(D131=0,"no repl",AB131-AT131)</f>
        <v/>
      </c>
      <c r="BA131" s="2">
        <f>IF(E131=0,"no repl",AC131-AU131)</f>
        <v/>
      </c>
      <c r="BB131" s="2">
        <f>IF(F131=0,"no repl",AD131-AV131)</f>
        <v/>
      </c>
    </row>
    <row r="132">
      <c r="C132" s="64" t="n">
        <v>138</v>
      </c>
      <c r="D132" s="11" t="n">
        <v>0</v>
      </c>
      <c r="E132" s="11" t="n">
        <v>481930.1303271588</v>
      </c>
      <c r="F132" s="11" t="n">
        <v>388681.6312116705</v>
      </c>
      <c r="I132" s="64" t="n">
        <v>138</v>
      </c>
      <c r="J132" s="11" t="n">
        <v>19457.19</v>
      </c>
      <c r="K132" s="11" t="n">
        <v>13581.21</v>
      </c>
      <c r="L132" s="11" t="n">
        <v>32846.22</v>
      </c>
      <c r="O132" s="64" t="n">
        <v>138</v>
      </c>
      <c r="P132" s="11" t="n">
        <v>0</v>
      </c>
      <c r="Q132" s="11" t="n">
        <v>294214.368020067</v>
      </c>
      <c r="R132" s="11" t="n">
        <v>227075.7969602552</v>
      </c>
      <c r="U132" s="64" t="n">
        <v>138</v>
      </c>
      <c r="V132" s="3">
        <f>J132-P132+D132</f>
        <v/>
      </c>
      <c r="W132" s="3">
        <f>K132-Q132+E132</f>
        <v/>
      </c>
      <c r="X132" s="3">
        <f>L132-R132+F132</f>
        <v/>
      </c>
      <c r="AA132" s="64" t="n">
        <v>138</v>
      </c>
      <c r="AB132" s="2">
        <f>IF(Demand!AU151&gt;Retailers_Cap!N134,(V132/Retailers!P133)/(Demand!AU151-Retailers_Cap!N134),"Inesgotável")</f>
        <v/>
      </c>
      <c r="AC132" s="2">
        <f>IF(Demand!AV151&gt;Retailers_Cap!O134,(W132/Retailers!Q133)/(Demand!AV151-Retailers_Cap!O134),"Inesgotável")</f>
        <v/>
      </c>
      <c r="AD132" s="2">
        <f>IF(Demand!AW151&gt;Retailers_Cap!P134,(X132/Retailers!R133)/(Demand!AW151-Retailers_Cap!P134),"Inesgotável")</f>
        <v/>
      </c>
      <c r="AG132" s="64" t="n">
        <v>138</v>
      </c>
      <c r="AH132" s="64">
        <f>Retailers!AJ133</f>
        <v/>
      </c>
      <c r="AI132" s="64">
        <f>Retailers!AK133</f>
        <v/>
      </c>
      <c r="AJ132" s="64">
        <f>Retailers!AL133</f>
        <v/>
      </c>
      <c r="AM132" s="64" t="n">
        <v>138</v>
      </c>
      <c r="AN132" s="2">
        <f>IF(P132&gt;0,IF(D132=0,"Big stock",AB132/AH132),"Inesgotável")</f>
        <v/>
      </c>
      <c r="AO132" s="2">
        <f>IF(Q132&gt;0,IF(E132=0,"Big stock",AC132/AI132),"Inesgotável")</f>
        <v/>
      </c>
      <c r="AP132" s="2">
        <f>IF(R132&gt;0,IF(F132=0,"Big stock",AD132/AJ132),"Inesgotável")</f>
        <v/>
      </c>
      <c r="AS132" s="64" t="n">
        <v>138</v>
      </c>
      <c r="AT132" s="2">
        <f>Retailers_Cap!BL134</f>
        <v/>
      </c>
      <c r="AU132" s="2">
        <f>Retailers_Cap!BM134</f>
        <v/>
      </c>
      <c r="AV132" s="2">
        <f>Retailers_Cap!BN134</f>
        <v/>
      </c>
      <c r="AY132" s="64" t="n">
        <v>138</v>
      </c>
      <c r="AZ132" s="2">
        <f>IF(D132=0,"no repl",AB132-AT132)</f>
        <v/>
      </c>
      <c r="BA132" s="2">
        <f>IF(E132=0,"no repl",AC132-AU132)</f>
        <v/>
      </c>
      <c r="BB132" s="2">
        <f>IF(F132=0,"no repl",AD132-AV132)</f>
        <v/>
      </c>
    </row>
    <row r="133">
      <c r="C133" s="64" t="n">
        <v>139</v>
      </c>
      <c r="D133" s="11" t="n">
        <v>0</v>
      </c>
      <c r="E133" s="11" t="n">
        <v>0</v>
      </c>
      <c r="F133" s="11" t="n">
        <v>426714.8566986575</v>
      </c>
      <c r="I133" s="64" t="n">
        <v>139</v>
      </c>
      <c r="J133" s="11" t="n">
        <v>35798.6</v>
      </c>
      <c r="K133" s="11" t="n">
        <v>15617.43</v>
      </c>
      <c r="L133" s="11" t="n">
        <v>30706.49</v>
      </c>
      <c r="O133" s="64" t="n">
        <v>139</v>
      </c>
      <c r="P133" s="11" t="n">
        <v>0</v>
      </c>
      <c r="Q133" s="11" t="n">
        <v>0</v>
      </c>
      <c r="R133" s="11" t="n">
        <v>281544.7121241373</v>
      </c>
      <c r="U133" s="64" t="n">
        <v>139</v>
      </c>
      <c r="V133" s="3">
        <f>J133-P133+D133</f>
        <v/>
      </c>
      <c r="W133" s="3">
        <f>K133-Q133+E133</f>
        <v/>
      </c>
      <c r="X133" s="3">
        <f>L133-R133+F133</f>
        <v/>
      </c>
      <c r="AA133" s="64" t="n">
        <v>139</v>
      </c>
      <c r="AB133" s="2">
        <f>IF(Demand!AU152&gt;Retailers_Cap!N135,(V133/Retailers!P134)/(Demand!AU152-Retailers_Cap!N135),"Inesgotável")</f>
        <v/>
      </c>
      <c r="AC133" s="2">
        <f>IF(Demand!AV152&gt;Retailers_Cap!O135,(W133/Retailers!Q134)/(Demand!AV152-Retailers_Cap!O135),"Inesgotável")</f>
        <v/>
      </c>
      <c r="AD133" s="2">
        <f>IF(Demand!AW152&gt;Retailers_Cap!P135,(X133/Retailers!R134)/(Demand!AW152-Retailers_Cap!P135),"Inesgotável")</f>
        <v/>
      </c>
      <c r="AG133" s="64" t="n">
        <v>139</v>
      </c>
      <c r="AH133" s="64">
        <f>Retailers!AJ134</f>
        <v/>
      </c>
      <c r="AI133" s="64">
        <f>Retailers!AK134</f>
        <v/>
      </c>
      <c r="AJ133" s="64">
        <f>Retailers!AL134</f>
        <v/>
      </c>
      <c r="AM133" s="64" t="n">
        <v>139</v>
      </c>
      <c r="AN133" s="2">
        <f>IF(P133&gt;0,IF(D133=0,"Big stock",AB133/AH133),"Inesgotável")</f>
        <v/>
      </c>
      <c r="AO133" s="2">
        <f>IF(Q133&gt;0,IF(E133=0,"Big stock",AC133/AI133),"Inesgotável")</f>
        <v/>
      </c>
      <c r="AP133" s="2">
        <f>IF(R133&gt;0,IF(F133=0,"Big stock",AD133/AJ133),"Inesgotável")</f>
        <v/>
      </c>
      <c r="AS133" s="64" t="n">
        <v>139</v>
      </c>
      <c r="AT133" s="2">
        <f>Retailers_Cap!BL135</f>
        <v/>
      </c>
      <c r="AU133" s="2">
        <f>Retailers_Cap!BM135</f>
        <v/>
      </c>
      <c r="AV133" s="2">
        <f>Retailers_Cap!BN135</f>
        <v/>
      </c>
      <c r="AY133" s="64" t="n">
        <v>139</v>
      </c>
      <c r="AZ133" s="2">
        <f>IF(D133=0,"no repl",AB133-AT133)</f>
        <v/>
      </c>
      <c r="BA133" s="2">
        <f>IF(E133=0,"no repl",AC133-AU133)</f>
        <v/>
      </c>
      <c r="BB133" s="2">
        <f>IF(F133=0,"no repl",AD133-AV133)</f>
        <v/>
      </c>
    </row>
    <row r="134">
      <c r="C134" s="64" t="n">
        <v>140</v>
      </c>
      <c r="D134" s="11" t="n">
        <v>212852.5786633914</v>
      </c>
      <c r="E134" s="11" t="n">
        <v>435872.9124307086</v>
      </c>
      <c r="F134" s="11" t="n">
        <v>0</v>
      </c>
      <c r="I134" s="64" t="n">
        <v>140</v>
      </c>
      <c r="J134" s="11" t="n">
        <v>36195.78</v>
      </c>
      <c r="K134" s="11" t="n">
        <v>83862.13</v>
      </c>
      <c r="L134" s="11" t="n">
        <v>29649.54</v>
      </c>
      <c r="O134" s="64" t="n">
        <v>140</v>
      </c>
      <c r="P134" s="11" t="n">
        <v>134623.8479548271</v>
      </c>
      <c r="Q134" s="11" t="n">
        <v>271013.2667768393</v>
      </c>
      <c r="R134" s="11" t="n">
        <v>0</v>
      </c>
      <c r="U134" s="64" t="n">
        <v>140</v>
      </c>
      <c r="V134" s="3">
        <f>J134-P134+D134</f>
        <v/>
      </c>
      <c r="W134" s="3">
        <f>K134-Q134+E134</f>
        <v/>
      </c>
      <c r="X134" s="3">
        <f>L134-R134+F134</f>
        <v/>
      </c>
      <c r="AA134" s="64" t="n">
        <v>140</v>
      </c>
      <c r="AB134" s="2">
        <f>IF(Demand!AU153&gt;Retailers_Cap!N136,(V134/Retailers!P135)/(Demand!AU153-Retailers_Cap!N136),"Inesgotável")</f>
        <v/>
      </c>
      <c r="AC134" s="2">
        <f>IF(Demand!AV153&gt;Retailers_Cap!O136,(W134/Retailers!Q135)/(Demand!AV153-Retailers_Cap!O136),"Inesgotável")</f>
        <v/>
      </c>
      <c r="AD134" s="2">
        <f>IF(Demand!AW153&gt;Retailers_Cap!P136,(X134/Retailers!R135)/(Demand!AW153-Retailers_Cap!P136),"Inesgotável")</f>
        <v/>
      </c>
      <c r="AG134" s="64" t="n">
        <v>140</v>
      </c>
      <c r="AH134" s="64">
        <f>Retailers!AJ135</f>
        <v/>
      </c>
      <c r="AI134" s="64">
        <f>Retailers!AK135</f>
        <v/>
      </c>
      <c r="AJ134" s="64">
        <f>Retailers!AL135</f>
        <v/>
      </c>
      <c r="AM134" s="64" t="n">
        <v>140</v>
      </c>
      <c r="AN134" s="2">
        <f>IF(P134&gt;0,IF(D134=0,"Big stock",AB134/AH134),"Inesgotável")</f>
        <v/>
      </c>
      <c r="AO134" s="2">
        <f>IF(Q134&gt;0,IF(E134=0,"Big stock",AC134/AI134),"Inesgotável")</f>
        <v/>
      </c>
      <c r="AP134" s="2">
        <f>IF(R134&gt;0,IF(F134=0,"Big stock",AD134/AJ134),"Inesgotável")</f>
        <v/>
      </c>
      <c r="AS134" s="64" t="n">
        <v>140</v>
      </c>
      <c r="AT134" s="2">
        <f>Retailers_Cap!BL136</f>
        <v/>
      </c>
      <c r="AU134" s="2">
        <f>Retailers_Cap!BM136</f>
        <v/>
      </c>
      <c r="AV134" s="2">
        <f>Retailers_Cap!BN136</f>
        <v/>
      </c>
      <c r="AY134" s="64" t="n">
        <v>140</v>
      </c>
      <c r="AZ134" s="2">
        <f>IF(D134=0,"no repl",AB134-AT134)</f>
        <v/>
      </c>
      <c r="BA134" s="2">
        <f>IF(E134=0,"no repl",AC134-AU134)</f>
        <v/>
      </c>
      <c r="BB134" s="2">
        <f>IF(F134=0,"no repl",AD134-AV134)</f>
        <v/>
      </c>
    </row>
    <row r="135">
      <c r="C135" s="64" t="n">
        <v>141</v>
      </c>
      <c r="D135" s="11" t="n">
        <v>391943.1096598618</v>
      </c>
      <c r="E135" s="11" t="n">
        <v>176215.6350483002</v>
      </c>
      <c r="F135" s="11" t="n">
        <v>0</v>
      </c>
      <c r="I135" s="64" t="n">
        <v>141</v>
      </c>
      <c r="J135" s="11" t="n">
        <v>66013.08</v>
      </c>
      <c r="K135" s="11" t="n">
        <v>47040.9</v>
      </c>
      <c r="L135" s="11" t="n">
        <v>17395.2</v>
      </c>
      <c r="O135" s="64" t="n">
        <v>141</v>
      </c>
      <c r="P135" s="11" t="n">
        <v>225520.4884141123</v>
      </c>
      <c r="Q135" s="11" t="n">
        <v>107834.9173040895</v>
      </c>
      <c r="R135" s="11" t="n">
        <v>0</v>
      </c>
      <c r="U135" s="64" t="n">
        <v>141</v>
      </c>
      <c r="V135" s="3">
        <f>J135-P135+D135</f>
        <v/>
      </c>
      <c r="W135" s="3">
        <f>K135-Q135+E135</f>
        <v/>
      </c>
      <c r="X135" s="3">
        <f>L135-R135+F135</f>
        <v/>
      </c>
      <c r="AA135" s="64" t="n">
        <v>141</v>
      </c>
      <c r="AB135" s="2">
        <f>IF(Demand!AU154&gt;Retailers_Cap!N137,(V135/Retailers!P136)/(Demand!AU154-Retailers_Cap!N137),"Inesgotável")</f>
        <v/>
      </c>
      <c r="AC135" s="2">
        <f>IF(Demand!AV154&gt;Retailers_Cap!O137,(W135/Retailers!Q136)/(Demand!AV154-Retailers_Cap!O137),"Inesgotável")</f>
        <v/>
      </c>
      <c r="AD135" s="2">
        <f>IF(Demand!AW154&gt;Retailers_Cap!P137,(X135/Retailers!R136)/(Demand!AW154-Retailers_Cap!P137),"Inesgotável")</f>
        <v/>
      </c>
      <c r="AG135" s="64" t="n">
        <v>141</v>
      </c>
      <c r="AH135" s="64">
        <f>Retailers!AJ136</f>
        <v/>
      </c>
      <c r="AI135" s="64">
        <f>Retailers!AK136</f>
        <v/>
      </c>
      <c r="AJ135" s="64">
        <f>Retailers!AL136</f>
        <v/>
      </c>
      <c r="AM135" s="64" t="n">
        <v>141</v>
      </c>
      <c r="AN135" s="2">
        <f>IF(P135&gt;0,IF(D135=0,"Big stock",AB135/AH135),"Inesgotável")</f>
        <v/>
      </c>
      <c r="AO135" s="2">
        <f>IF(Q135&gt;0,IF(E135=0,"Big stock",AC135/AI135),"Inesgotável")</f>
        <v/>
      </c>
      <c r="AP135" s="2">
        <f>IF(R135&gt;0,IF(F135=0,"Big stock",AD135/AJ135),"Inesgotável")</f>
        <v/>
      </c>
      <c r="AS135" s="64" t="n">
        <v>141</v>
      </c>
      <c r="AT135" s="2">
        <f>Retailers_Cap!BL137</f>
        <v/>
      </c>
      <c r="AU135" s="2">
        <f>Retailers_Cap!BM137</f>
        <v/>
      </c>
      <c r="AV135" s="2">
        <f>Retailers_Cap!BN137</f>
        <v/>
      </c>
      <c r="AY135" s="64" t="n">
        <v>141</v>
      </c>
      <c r="AZ135" s="2">
        <f>IF(D135=0,"no repl",AB135-AT135)</f>
        <v/>
      </c>
      <c r="BA135" s="2">
        <f>IF(E135=0,"no repl",AC135-AU135)</f>
        <v/>
      </c>
      <c r="BB135" s="2">
        <f>IF(F135=0,"no repl",AD135-AV135)</f>
        <v/>
      </c>
    </row>
    <row r="136">
      <c r="C136" s="64" t="n">
        <v>142</v>
      </c>
      <c r="D136" s="11" t="n">
        <v>0</v>
      </c>
      <c r="E136" s="11" t="n">
        <v>0</v>
      </c>
      <c r="F136" s="11" t="n">
        <v>447472.9306096944</v>
      </c>
      <c r="I136" s="64" t="n">
        <v>142</v>
      </c>
      <c r="J136" s="11" t="n">
        <v>3381.8</v>
      </c>
      <c r="K136" s="11" t="n">
        <v>2664.76</v>
      </c>
      <c r="L136" s="11" t="n">
        <v>55052.73</v>
      </c>
      <c r="O136" s="64" t="n">
        <v>142</v>
      </c>
      <c r="P136" s="11" t="n">
        <v>0</v>
      </c>
      <c r="Q136" s="11" t="n">
        <v>0</v>
      </c>
      <c r="R136" s="11" t="n">
        <v>277704.7977094512</v>
      </c>
      <c r="U136" s="64" t="n">
        <v>142</v>
      </c>
      <c r="V136" s="3">
        <f>J136-P136+D136</f>
        <v/>
      </c>
      <c r="W136" s="3">
        <f>K136-Q136+E136</f>
        <v/>
      </c>
      <c r="X136" s="3">
        <f>L136-R136+F136</f>
        <v/>
      </c>
      <c r="AA136" s="64" t="n">
        <v>142</v>
      </c>
      <c r="AB136" s="2">
        <f>IF(Demand!AU155&gt;Retailers_Cap!N138,(V136/Retailers!P137)/(Demand!AU155-Retailers_Cap!N138),"Inesgotável")</f>
        <v/>
      </c>
      <c r="AC136" s="2">
        <f>IF(Demand!AV155&gt;Retailers_Cap!O138,(W136/Retailers!Q137)/(Demand!AV155-Retailers_Cap!O138),"Inesgotável")</f>
        <v/>
      </c>
      <c r="AD136" s="2">
        <f>IF(Demand!AW155&gt;Retailers_Cap!P138,(X136/Retailers!R137)/(Demand!AW155-Retailers_Cap!P138),"Inesgotável")</f>
        <v/>
      </c>
      <c r="AG136" s="64" t="n">
        <v>142</v>
      </c>
      <c r="AH136" s="64">
        <f>Retailers!AJ137</f>
        <v/>
      </c>
      <c r="AI136" s="64">
        <f>Retailers!AK137</f>
        <v/>
      </c>
      <c r="AJ136" s="64">
        <f>Retailers!AL137</f>
        <v/>
      </c>
      <c r="AM136" s="64" t="n">
        <v>142</v>
      </c>
      <c r="AN136" s="2">
        <f>IF(P136&gt;0,IF(D136=0,"Big stock",AB136/AH136),"Inesgotável")</f>
        <v/>
      </c>
      <c r="AO136" s="2">
        <f>IF(Q136&gt;0,IF(E136=0,"Big stock",AC136/AI136),"Inesgotável")</f>
        <v/>
      </c>
      <c r="AP136" s="2">
        <f>IF(R136&gt;0,IF(F136=0,"Big stock",AD136/AJ136),"Inesgotável")</f>
        <v/>
      </c>
      <c r="AS136" s="64" t="n">
        <v>142</v>
      </c>
      <c r="AT136" s="2">
        <f>Retailers_Cap!BL138</f>
        <v/>
      </c>
      <c r="AU136" s="2">
        <f>Retailers_Cap!BM138</f>
        <v/>
      </c>
      <c r="AV136" s="2">
        <f>Retailers_Cap!BN138</f>
        <v/>
      </c>
      <c r="AY136" s="64" t="n">
        <v>142</v>
      </c>
      <c r="AZ136" s="2">
        <f>IF(D136=0,"no repl",AB136-AT136)</f>
        <v/>
      </c>
      <c r="BA136" s="2">
        <f>IF(E136=0,"no repl",AC136-AU136)</f>
        <v/>
      </c>
      <c r="BB136" s="2">
        <f>IF(F136=0,"no repl",AD136-AV136)</f>
        <v/>
      </c>
    </row>
    <row r="137">
      <c r="C137" s="64" t="n">
        <v>143</v>
      </c>
      <c r="D137" s="11" t="n">
        <v>0</v>
      </c>
      <c r="E137" s="11" t="n">
        <v>0</v>
      </c>
      <c r="F137" s="11" t="n">
        <v>210394.3838604816</v>
      </c>
      <c r="I137" s="64" t="n">
        <v>143</v>
      </c>
      <c r="J137" s="11" t="n">
        <v>19455.6</v>
      </c>
      <c r="K137" s="11" t="n">
        <v>28052.9</v>
      </c>
      <c r="L137" s="11" t="n">
        <v>60584.37</v>
      </c>
      <c r="O137" s="64" t="n">
        <v>143</v>
      </c>
      <c r="P137" s="11" t="n">
        <v>0</v>
      </c>
      <c r="Q137" s="11" t="n">
        <v>0</v>
      </c>
      <c r="R137" s="11" t="n">
        <v>125908.8528881725</v>
      </c>
      <c r="U137" s="64" t="n">
        <v>143</v>
      </c>
      <c r="V137" s="3">
        <f>J137-P137+D137</f>
        <v/>
      </c>
      <c r="W137" s="3">
        <f>K137-Q137+E137</f>
        <v/>
      </c>
      <c r="X137" s="3">
        <f>L137-R137+F137</f>
        <v/>
      </c>
      <c r="AA137" s="64" t="n">
        <v>143</v>
      </c>
      <c r="AB137" s="2">
        <f>IF(Demand!AU156&gt;Retailers_Cap!N139,(V137/Retailers!P138)/(Demand!AU156-Retailers_Cap!N139),"Inesgotável")</f>
        <v/>
      </c>
      <c r="AC137" s="2">
        <f>IF(Demand!AV156&gt;Retailers_Cap!O139,(W137/Retailers!Q138)/(Demand!AV156-Retailers_Cap!O139),"Inesgotável")</f>
        <v/>
      </c>
      <c r="AD137" s="2">
        <f>IF(Demand!AW156&gt;Retailers_Cap!P139,(X137/Retailers!R138)/(Demand!AW156-Retailers_Cap!P139),"Inesgotável")</f>
        <v/>
      </c>
      <c r="AG137" s="64" t="n">
        <v>143</v>
      </c>
      <c r="AH137" s="64">
        <f>Retailers!AJ138</f>
        <v/>
      </c>
      <c r="AI137" s="64">
        <f>Retailers!AK138</f>
        <v/>
      </c>
      <c r="AJ137" s="64">
        <f>Retailers!AL138</f>
        <v/>
      </c>
      <c r="AM137" s="64" t="n">
        <v>143</v>
      </c>
      <c r="AN137" s="2">
        <f>IF(P137&gt;0,IF(D137=0,"Big stock",AB137/AH137),"Inesgotável")</f>
        <v/>
      </c>
      <c r="AO137" s="2">
        <f>IF(Q137&gt;0,IF(E137=0,"Big stock",AC137/AI137),"Inesgotável")</f>
        <v/>
      </c>
      <c r="AP137" s="2">
        <f>IF(R137&gt;0,IF(F137=0,"Big stock",AD137/AJ137),"Inesgotável")</f>
        <v/>
      </c>
      <c r="AS137" s="64" t="n">
        <v>143</v>
      </c>
      <c r="AT137" s="2">
        <f>Retailers_Cap!BL139</f>
        <v/>
      </c>
      <c r="AU137" s="2">
        <f>Retailers_Cap!BM139</f>
        <v/>
      </c>
      <c r="AV137" s="2">
        <f>Retailers_Cap!BN139</f>
        <v/>
      </c>
      <c r="AY137" s="64" t="n">
        <v>143</v>
      </c>
      <c r="AZ137" s="2">
        <f>IF(D137=0,"no repl",AB137-AT137)</f>
        <v/>
      </c>
      <c r="BA137" s="2">
        <f>IF(E137=0,"no repl",AC137-AU137)</f>
        <v/>
      </c>
      <c r="BB137" s="2">
        <f>IF(F137=0,"no repl",AD137-AV137)</f>
        <v/>
      </c>
    </row>
    <row r="138">
      <c r="C138" s="64" t="n">
        <v>144</v>
      </c>
      <c r="D138" s="11" t="n">
        <v>348665.7311674732</v>
      </c>
      <c r="E138" s="11" t="n">
        <v>81207.4829590531</v>
      </c>
      <c r="F138" s="11" t="n">
        <v>0</v>
      </c>
      <c r="I138" s="64" t="n">
        <v>144</v>
      </c>
      <c r="J138" s="11" t="n">
        <v>674.79</v>
      </c>
      <c r="K138" s="11" t="n">
        <v>54374.2</v>
      </c>
      <c r="L138" s="11" t="n">
        <v>16217.68</v>
      </c>
      <c r="O138" s="64" t="n">
        <v>144</v>
      </c>
      <c r="P138" s="11" t="n">
        <v>201496.143223444</v>
      </c>
      <c r="Q138" s="11" t="n">
        <v>46208.44066228352</v>
      </c>
      <c r="R138" s="11" t="n">
        <v>0</v>
      </c>
      <c r="U138" s="64" t="n">
        <v>144</v>
      </c>
      <c r="V138" s="3">
        <f>J138-P138+D138</f>
        <v/>
      </c>
      <c r="W138" s="3">
        <f>K138-Q138+E138</f>
        <v/>
      </c>
      <c r="X138" s="3">
        <f>L138-R138+F138</f>
        <v/>
      </c>
      <c r="AA138" s="64" t="n">
        <v>144</v>
      </c>
      <c r="AB138" s="2">
        <f>IF(Demand!AU157&gt;Retailers_Cap!N140,(V138/Retailers!P139)/(Demand!AU157-Retailers_Cap!N140),"Inesgotável")</f>
        <v/>
      </c>
      <c r="AC138" s="2">
        <f>IF(Demand!AV157&gt;Retailers_Cap!O140,(W138/Retailers!Q139)/(Demand!AV157-Retailers_Cap!O140),"Inesgotável")</f>
        <v/>
      </c>
      <c r="AD138" s="2">
        <f>IF(Demand!AW157&gt;Retailers_Cap!P140,(X138/Retailers!R139)/(Demand!AW157-Retailers_Cap!P140),"Inesgotável")</f>
        <v/>
      </c>
      <c r="AG138" s="64" t="n">
        <v>144</v>
      </c>
      <c r="AH138" s="64">
        <f>Retailers!AJ139</f>
        <v/>
      </c>
      <c r="AI138" s="64">
        <f>Retailers!AK139</f>
        <v/>
      </c>
      <c r="AJ138" s="64">
        <f>Retailers!AL139</f>
        <v/>
      </c>
      <c r="AM138" s="64" t="n">
        <v>144</v>
      </c>
      <c r="AN138" s="2">
        <f>IF(P138&gt;0,IF(D138=0,"Big stock",AB138/AH138),"Inesgotável")</f>
        <v/>
      </c>
      <c r="AO138" s="2">
        <f>IF(Q138&gt;0,IF(E138=0,"Big stock",AC138/AI138),"Inesgotável")</f>
        <v/>
      </c>
      <c r="AP138" s="2">
        <f>IF(R138&gt;0,IF(F138=0,"Big stock",AD138/AJ138),"Inesgotável")</f>
        <v/>
      </c>
      <c r="AS138" s="64" t="n">
        <v>144</v>
      </c>
      <c r="AT138" s="2">
        <f>Retailers_Cap!BL140</f>
        <v/>
      </c>
      <c r="AU138" s="2">
        <f>Retailers_Cap!BM140</f>
        <v/>
      </c>
      <c r="AV138" s="2">
        <f>Retailers_Cap!BN140</f>
        <v/>
      </c>
      <c r="AY138" s="64" t="n">
        <v>144</v>
      </c>
      <c r="AZ138" s="2">
        <f>IF(D138=0,"no repl",AB138-AT138)</f>
        <v/>
      </c>
      <c r="BA138" s="2">
        <f>IF(E138=0,"no repl",AC138-AU138)</f>
        <v/>
      </c>
      <c r="BB138" s="2">
        <f>IF(F138=0,"no repl",AD138-AV138)</f>
        <v/>
      </c>
    </row>
    <row r="139">
      <c r="C139" s="64" t="n">
        <v>145</v>
      </c>
      <c r="D139" s="11" t="n">
        <v>380235.8434897787</v>
      </c>
      <c r="E139" s="11" t="n">
        <v>331779.3980343752</v>
      </c>
      <c r="F139" s="11" t="n">
        <v>0</v>
      </c>
      <c r="I139" s="64" t="n">
        <v>145</v>
      </c>
      <c r="J139" s="11" t="n">
        <v>63012.36</v>
      </c>
      <c r="K139" s="11" t="n">
        <v>49056.5</v>
      </c>
      <c r="L139" s="11" t="n">
        <v>65816.55</v>
      </c>
      <c r="O139" s="64" t="n">
        <v>145</v>
      </c>
      <c r="P139" s="11" t="n">
        <v>218642.5351306333</v>
      </c>
      <c r="Q139" s="11" t="n">
        <v>205472.1004370211</v>
      </c>
      <c r="R139" s="11" t="n">
        <v>22854.3865890733</v>
      </c>
      <c r="U139" s="64" t="n">
        <v>145</v>
      </c>
      <c r="V139" s="3">
        <f>J139-P139+D139</f>
        <v/>
      </c>
      <c r="W139" s="3">
        <f>K139-Q139+E139</f>
        <v/>
      </c>
      <c r="X139" s="3">
        <f>L139-R139+F139</f>
        <v/>
      </c>
      <c r="AA139" s="64" t="n">
        <v>145</v>
      </c>
      <c r="AB139" s="2">
        <f>IF(Demand!AU158&gt;Retailers_Cap!N141,(V139/Retailers!P140)/(Demand!AU158-Retailers_Cap!N141),"Inesgotável")</f>
        <v/>
      </c>
      <c r="AC139" s="2">
        <f>IF(Demand!AV158&gt;Retailers_Cap!O141,(W139/Retailers!Q140)/(Demand!AV158-Retailers_Cap!O141),"Inesgotável")</f>
        <v/>
      </c>
      <c r="AD139" s="2">
        <f>IF(Demand!AW158&gt;Retailers_Cap!P141,(X139/Retailers!R140)/(Demand!AW158-Retailers_Cap!P141),"Inesgotável")</f>
        <v/>
      </c>
      <c r="AG139" s="64" t="n">
        <v>145</v>
      </c>
      <c r="AH139" s="64">
        <f>Retailers!AJ140</f>
        <v/>
      </c>
      <c r="AI139" s="64">
        <f>Retailers!AK140</f>
        <v/>
      </c>
      <c r="AJ139" s="64">
        <f>Retailers!AL140</f>
        <v/>
      </c>
      <c r="AM139" s="64" t="n">
        <v>145</v>
      </c>
      <c r="AN139" s="2">
        <f>IF(P139&gt;0,IF(D139=0,"Big stock",AB139/AH139),"Inesgotável")</f>
        <v/>
      </c>
      <c r="AO139" s="2">
        <f>IF(Q139&gt;0,IF(E139=0,"Big stock",AC139/AI139),"Inesgotável")</f>
        <v/>
      </c>
      <c r="AP139" s="2">
        <f>IF(R139&gt;0,IF(F139=0,"Big stock",AD139/AJ139),"Inesgotável")</f>
        <v/>
      </c>
      <c r="AS139" s="64" t="n">
        <v>145</v>
      </c>
      <c r="AT139" s="2">
        <f>Retailers_Cap!BL141</f>
        <v/>
      </c>
      <c r="AU139" s="2">
        <f>Retailers_Cap!BM141</f>
        <v/>
      </c>
      <c r="AV139" s="2">
        <f>Retailers_Cap!BN141</f>
        <v/>
      </c>
      <c r="AY139" s="64" t="n">
        <v>145</v>
      </c>
      <c r="AZ139" s="2">
        <f>IF(D139=0,"no repl",AB139-AT139)</f>
        <v/>
      </c>
      <c r="BA139" s="2">
        <f>IF(E139=0,"no repl",AC139-AU139)</f>
        <v/>
      </c>
      <c r="BB139" s="2">
        <f>IF(F139=0,"no repl",AD139-AV139)</f>
        <v/>
      </c>
    </row>
    <row r="140">
      <c r="C140" s="64" t="n">
        <v>146</v>
      </c>
      <c r="D140" s="11" t="n">
        <v>102513.7976480032</v>
      </c>
      <c r="E140" s="11" t="n">
        <v>192289.1271197366</v>
      </c>
      <c r="F140" s="11" t="n">
        <v>223321.3373632392</v>
      </c>
      <c r="I140" s="64" t="n">
        <v>146</v>
      </c>
      <c r="J140" s="11" t="n">
        <v>39421.15</v>
      </c>
      <c r="K140" s="11" t="n">
        <v>18053.92</v>
      </c>
      <c r="L140" s="11" t="n">
        <v>52060.16</v>
      </c>
      <c r="O140" s="64" t="n">
        <v>146</v>
      </c>
      <c r="P140" s="11" t="n">
        <v>69772.11372229664</v>
      </c>
      <c r="Q140" s="11" t="n">
        <v>112773.0692693105</v>
      </c>
      <c r="R140" s="11" t="n">
        <v>147311.0520644689</v>
      </c>
      <c r="U140" s="64" t="n">
        <v>146</v>
      </c>
      <c r="V140" s="3">
        <f>J140-P140+D140</f>
        <v/>
      </c>
      <c r="W140" s="3">
        <f>K140-Q140+E140</f>
        <v/>
      </c>
      <c r="X140" s="3">
        <f>L140-R140+F140</f>
        <v/>
      </c>
      <c r="AA140" s="64" t="n">
        <v>146</v>
      </c>
      <c r="AB140" s="2">
        <f>IF(Demand!AU159&gt;Retailers_Cap!N142,(V140/Retailers!P141)/(Demand!AU159-Retailers_Cap!N142),"Inesgotável")</f>
        <v/>
      </c>
      <c r="AC140" s="2">
        <f>IF(Demand!AV159&gt;Retailers_Cap!O142,(W140/Retailers!Q141)/(Demand!AV159-Retailers_Cap!O142),"Inesgotável")</f>
        <v/>
      </c>
      <c r="AD140" s="2">
        <f>IF(Demand!AW159&gt;Retailers_Cap!P142,(X140/Retailers!R141)/(Demand!AW159-Retailers_Cap!P142),"Inesgotável")</f>
        <v/>
      </c>
      <c r="AG140" s="64" t="n">
        <v>146</v>
      </c>
      <c r="AH140" s="64">
        <f>Retailers!AJ141</f>
        <v/>
      </c>
      <c r="AI140" s="64">
        <f>Retailers!AK141</f>
        <v/>
      </c>
      <c r="AJ140" s="64">
        <f>Retailers!AL141</f>
        <v/>
      </c>
      <c r="AM140" s="64" t="n">
        <v>146</v>
      </c>
      <c r="AN140" s="2">
        <f>IF(P140&gt;0,IF(D140=0,"Big stock",AB140/AH140),"Inesgotável")</f>
        <v/>
      </c>
      <c r="AO140" s="2">
        <f>IF(Q140&gt;0,IF(E140=0,"Big stock",AC140/AI140),"Inesgotável")</f>
        <v/>
      </c>
      <c r="AP140" s="2">
        <f>IF(R140&gt;0,IF(F140=0,"Big stock",AD140/AJ140),"Inesgotável")</f>
        <v/>
      </c>
      <c r="AS140" s="64" t="n">
        <v>146</v>
      </c>
      <c r="AT140" s="2">
        <f>Retailers_Cap!BL142</f>
        <v/>
      </c>
      <c r="AU140" s="2">
        <f>Retailers_Cap!BM142</f>
        <v/>
      </c>
      <c r="AV140" s="2">
        <f>Retailers_Cap!BN142</f>
        <v/>
      </c>
      <c r="AY140" s="64" t="n">
        <v>146</v>
      </c>
      <c r="AZ140" s="2">
        <f>IF(D140=0,"no repl",AB140-AT140)</f>
        <v/>
      </c>
      <c r="BA140" s="2">
        <f>IF(E140=0,"no repl",AC140-AU140)</f>
        <v/>
      </c>
      <c r="BB140" s="2">
        <f>IF(F140=0,"no repl",AD140-AV140)</f>
        <v/>
      </c>
    </row>
    <row r="141">
      <c r="C141" s="64" t="n">
        <v>147</v>
      </c>
      <c r="D141" s="11" t="n">
        <v>0</v>
      </c>
      <c r="E141" s="11" t="n">
        <v>0</v>
      </c>
      <c r="F141" s="11" t="n">
        <v>0</v>
      </c>
      <c r="I141" s="64" t="n">
        <v>147</v>
      </c>
      <c r="J141" s="11" t="n">
        <v>40298.16</v>
      </c>
      <c r="K141" s="11" t="n">
        <v>17759.06</v>
      </c>
      <c r="L141" s="11" t="n">
        <v>20339.93</v>
      </c>
      <c r="O141" s="64" t="n">
        <v>147</v>
      </c>
      <c r="P141" s="11" t="n">
        <v>0</v>
      </c>
      <c r="Q141" s="11" t="n">
        <v>0</v>
      </c>
      <c r="R141" s="11" t="n">
        <v>0</v>
      </c>
      <c r="U141" s="64" t="n">
        <v>147</v>
      </c>
      <c r="V141" s="3">
        <f>J141-P141+D141</f>
        <v/>
      </c>
      <c r="W141" s="3">
        <f>K141-Q141+E141</f>
        <v/>
      </c>
      <c r="X141" s="3">
        <f>L141-R141+F141</f>
        <v/>
      </c>
      <c r="AA141" s="64" t="n">
        <v>147</v>
      </c>
      <c r="AB141" s="2">
        <f>IF(Demand!AU160&gt;Retailers_Cap!N143,(V141/Retailers!P142)/(Demand!AU160-Retailers_Cap!N143),"Inesgotável")</f>
        <v/>
      </c>
      <c r="AC141" s="2">
        <f>IF(Demand!AV160&gt;Retailers_Cap!O143,(W141/Retailers!Q142)/(Demand!AV160-Retailers_Cap!O143),"Inesgotável")</f>
        <v/>
      </c>
      <c r="AD141" s="2">
        <f>IF(Demand!AW160&gt;Retailers_Cap!P143,(X141/Retailers!R142)/(Demand!AW160-Retailers_Cap!P143),"Inesgotável")</f>
        <v/>
      </c>
      <c r="AG141" s="64" t="n">
        <v>147</v>
      </c>
      <c r="AH141" s="64">
        <f>Retailers!AJ142</f>
        <v/>
      </c>
      <c r="AI141" s="64">
        <f>Retailers!AK142</f>
        <v/>
      </c>
      <c r="AJ141" s="64">
        <f>Retailers!AL142</f>
        <v/>
      </c>
      <c r="AM141" s="64" t="n">
        <v>147</v>
      </c>
      <c r="AN141" s="2">
        <f>IF(P141&gt;0,IF(D141=0,"Big stock",AB141/AH141),"Inesgotável")</f>
        <v/>
      </c>
      <c r="AO141" s="2">
        <f>IF(Q141&gt;0,IF(E141=0,"Big stock",AC141/AI141),"Inesgotável")</f>
        <v/>
      </c>
      <c r="AP141" s="2">
        <f>IF(R141&gt;0,IF(F141=0,"Big stock",AD141/AJ141),"Inesgotável")</f>
        <v/>
      </c>
      <c r="AS141" s="64" t="n">
        <v>147</v>
      </c>
      <c r="AT141" s="2">
        <f>Retailers_Cap!BL143</f>
        <v/>
      </c>
      <c r="AU141" s="2">
        <f>Retailers_Cap!BM143</f>
        <v/>
      </c>
      <c r="AV141" s="2">
        <f>Retailers_Cap!BN143</f>
        <v/>
      </c>
      <c r="AY141" s="64" t="n">
        <v>147</v>
      </c>
      <c r="AZ141" s="2">
        <f>IF(D141=0,"no repl",AB141-AT141)</f>
        <v/>
      </c>
      <c r="BA141" s="2">
        <f>IF(E141=0,"no repl",AC141-AU141)</f>
        <v/>
      </c>
      <c r="BB141" s="2">
        <f>IF(F141=0,"no repl",AD141-AV141)</f>
        <v/>
      </c>
    </row>
    <row r="142">
      <c r="C142" s="64" t="n">
        <v>148</v>
      </c>
      <c r="D142" s="11" t="n">
        <v>64770.60127969489</v>
      </c>
      <c r="E142" s="11" t="n">
        <v>0</v>
      </c>
      <c r="F142" s="11" t="n">
        <v>0</v>
      </c>
      <c r="I142" s="64" t="n">
        <v>148</v>
      </c>
      <c r="J142" s="11" t="n">
        <v>49352</v>
      </c>
      <c r="K142" s="11" t="n">
        <v>27463.67</v>
      </c>
      <c r="L142" s="11" t="n">
        <v>68295.97</v>
      </c>
      <c r="O142" s="64" t="n">
        <v>148</v>
      </c>
      <c r="P142" s="11" t="n">
        <v>41454.0291612581</v>
      </c>
      <c r="Q142" s="11" t="n">
        <v>0</v>
      </c>
      <c r="R142" s="11" t="n">
        <v>0</v>
      </c>
      <c r="U142" s="64" t="n">
        <v>148</v>
      </c>
      <c r="V142" s="3">
        <f>J142-P142+D142</f>
        <v/>
      </c>
      <c r="W142" s="3">
        <f>K142-Q142+E142</f>
        <v/>
      </c>
      <c r="X142" s="3">
        <f>L142-R142+F142</f>
        <v/>
      </c>
      <c r="AA142" s="64" t="n">
        <v>148</v>
      </c>
      <c r="AB142" s="2">
        <f>IF(Demand!AU161&gt;Retailers_Cap!N144,(V142/Retailers!P143)/(Demand!AU161-Retailers_Cap!N144),"Inesgotável")</f>
        <v/>
      </c>
      <c r="AC142" s="2">
        <f>IF(Demand!AV161&gt;Retailers_Cap!O144,(W142/Retailers!Q143)/(Demand!AV161-Retailers_Cap!O144),"Inesgotável")</f>
        <v/>
      </c>
      <c r="AD142" s="2">
        <f>IF(Demand!AW161&gt;Retailers_Cap!P144,(X142/Retailers!R143)/(Demand!AW161-Retailers_Cap!P144),"Inesgotável")</f>
        <v/>
      </c>
      <c r="AG142" s="64" t="n">
        <v>148</v>
      </c>
      <c r="AH142" s="64">
        <f>Retailers!AJ143</f>
        <v/>
      </c>
      <c r="AI142" s="64">
        <f>Retailers!AK143</f>
        <v/>
      </c>
      <c r="AJ142" s="64">
        <f>Retailers!AL143</f>
        <v/>
      </c>
      <c r="AM142" s="64" t="n">
        <v>148</v>
      </c>
      <c r="AN142" s="2">
        <f>IF(P142&gt;0,IF(D142=0,"Big stock",AB142/AH142),"Inesgotável")</f>
        <v/>
      </c>
      <c r="AO142" s="2">
        <f>IF(Q142&gt;0,IF(E142=0,"Big stock",AC142/AI142),"Inesgotável")</f>
        <v/>
      </c>
      <c r="AP142" s="2">
        <f>IF(R142&gt;0,IF(F142=0,"Big stock",AD142/AJ142),"Inesgotável")</f>
        <v/>
      </c>
      <c r="AS142" s="64" t="n">
        <v>148</v>
      </c>
      <c r="AT142" s="2">
        <f>Retailers_Cap!BL144</f>
        <v/>
      </c>
      <c r="AU142" s="2">
        <f>Retailers_Cap!BM144</f>
        <v/>
      </c>
      <c r="AV142" s="2">
        <f>Retailers_Cap!BN144</f>
        <v/>
      </c>
      <c r="AY142" s="64" t="n">
        <v>148</v>
      </c>
      <c r="AZ142" s="2">
        <f>IF(D142=0,"no repl",AB142-AT142)</f>
        <v/>
      </c>
      <c r="BA142" s="2">
        <f>IF(E142=0,"no repl",AC142-AU142)</f>
        <v/>
      </c>
      <c r="BB142" s="2">
        <f>IF(F142=0,"no repl",AD142-AV142)</f>
        <v/>
      </c>
    </row>
    <row r="143">
      <c r="C143" s="64" t="n">
        <v>149</v>
      </c>
      <c r="D143" s="11" t="n">
        <v>297537.9895557743</v>
      </c>
      <c r="E143" s="11" t="n">
        <v>0</v>
      </c>
      <c r="F143" s="11" t="n">
        <v>63775.13026110861</v>
      </c>
      <c r="I143" s="64" t="n">
        <v>149</v>
      </c>
      <c r="J143" s="11" t="n">
        <v>9574.6</v>
      </c>
      <c r="K143" s="11" t="n">
        <v>14464.96</v>
      </c>
      <c r="L143" s="11" t="n">
        <v>34465.05</v>
      </c>
      <c r="O143" s="64" t="n">
        <v>149</v>
      </c>
      <c r="P143" s="11" t="n">
        <v>177720.6667522585</v>
      </c>
      <c r="Q143" s="11" t="n">
        <v>0</v>
      </c>
      <c r="R143" s="11" t="n">
        <v>40160.21400780381</v>
      </c>
      <c r="U143" s="64" t="n">
        <v>149</v>
      </c>
      <c r="V143" s="3">
        <f>J143-P143+D143</f>
        <v/>
      </c>
      <c r="W143" s="3">
        <f>K143-Q143+E143</f>
        <v/>
      </c>
      <c r="X143" s="3">
        <f>L143-R143+F143</f>
        <v/>
      </c>
      <c r="AA143" s="64" t="n">
        <v>149</v>
      </c>
      <c r="AB143" s="2">
        <f>IF(Demand!AU162&gt;Retailers_Cap!N145,(V143/Retailers!P144)/(Demand!AU162-Retailers_Cap!N145),"Inesgotável")</f>
        <v/>
      </c>
      <c r="AC143" s="2">
        <f>IF(Demand!AV162&gt;Retailers_Cap!O145,(W143/Retailers!Q144)/(Demand!AV162-Retailers_Cap!O145),"Inesgotável")</f>
        <v/>
      </c>
      <c r="AD143" s="2">
        <f>IF(Demand!AW162&gt;Retailers_Cap!P145,(X143/Retailers!R144)/(Demand!AW162-Retailers_Cap!P145),"Inesgotável")</f>
        <v/>
      </c>
      <c r="AG143" s="64" t="n">
        <v>149</v>
      </c>
      <c r="AH143" s="64">
        <f>Retailers!AJ144</f>
        <v/>
      </c>
      <c r="AI143" s="64">
        <f>Retailers!AK144</f>
        <v/>
      </c>
      <c r="AJ143" s="64">
        <f>Retailers!AL144</f>
        <v/>
      </c>
      <c r="AM143" s="64" t="n">
        <v>149</v>
      </c>
      <c r="AN143" s="2">
        <f>IF(P143&gt;0,IF(D143=0,"Big stock",AB143/AH143),"Inesgotável")</f>
        <v/>
      </c>
      <c r="AO143" s="2">
        <f>IF(Q143&gt;0,IF(E143=0,"Big stock",AC143/AI143),"Inesgotável")</f>
        <v/>
      </c>
      <c r="AP143" s="2">
        <f>IF(R143&gt;0,IF(F143=0,"Big stock",AD143/AJ143),"Inesgotável")</f>
        <v/>
      </c>
      <c r="AS143" s="64" t="n">
        <v>149</v>
      </c>
      <c r="AT143" s="2">
        <f>Retailers_Cap!BL145</f>
        <v/>
      </c>
      <c r="AU143" s="2">
        <f>Retailers_Cap!BM145</f>
        <v/>
      </c>
      <c r="AV143" s="2">
        <f>Retailers_Cap!BN145</f>
        <v/>
      </c>
      <c r="AY143" s="64" t="n">
        <v>149</v>
      </c>
      <c r="AZ143" s="2">
        <f>IF(D143=0,"no repl",AB143-AT143)</f>
        <v/>
      </c>
      <c r="BA143" s="2">
        <f>IF(E143=0,"no repl",AC143-AU143)</f>
        <v/>
      </c>
      <c r="BB143" s="2">
        <f>IF(F143=0,"no repl",AD143-AV143)</f>
        <v/>
      </c>
    </row>
    <row r="144">
      <c r="C144" s="64" t="n">
        <v>150</v>
      </c>
      <c r="D144" s="11" t="n">
        <v>0</v>
      </c>
      <c r="E144" s="11" t="n">
        <v>0</v>
      </c>
      <c r="F144" s="11" t="n">
        <v>48422.55605728157</v>
      </c>
      <c r="I144" s="64" t="n">
        <v>150</v>
      </c>
      <c r="J144" s="11" t="n">
        <v>128059.92</v>
      </c>
      <c r="K144" s="11" t="n">
        <v>50115.84</v>
      </c>
      <c r="L144" s="11" t="n">
        <v>39654.9</v>
      </c>
      <c r="O144" s="64" t="n">
        <v>150</v>
      </c>
      <c r="P144" s="11" t="n">
        <v>0</v>
      </c>
      <c r="Q144" s="11" t="n">
        <v>0</v>
      </c>
      <c r="R144" s="11" t="n">
        <v>27898.3192030954</v>
      </c>
      <c r="U144" s="64" t="n">
        <v>150</v>
      </c>
      <c r="V144" s="3">
        <f>J144-P144+D144</f>
        <v/>
      </c>
      <c r="W144" s="3">
        <f>K144-Q144+E144</f>
        <v/>
      </c>
      <c r="X144" s="3">
        <f>L144-R144+F144</f>
        <v/>
      </c>
      <c r="AA144" s="64" t="n">
        <v>150</v>
      </c>
      <c r="AB144" s="2">
        <f>IF(Demand!AU163&gt;Retailers_Cap!N146,(V144/Retailers!P145)/(Demand!AU163-Retailers_Cap!N146),"Inesgotável")</f>
        <v/>
      </c>
      <c r="AC144" s="2">
        <f>IF(Demand!AV163&gt;Retailers_Cap!O146,(W144/Retailers!Q145)/(Demand!AV163-Retailers_Cap!O146),"Inesgotável")</f>
        <v/>
      </c>
      <c r="AD144" s="2">
        <f>IF(Demand!AW163&gt;Retailers_Cap!P146,(X144/Retailers!R145)/(Demand!AW163-Retailers_Cap!P146),"Inesgotável")</f>
        <v/>
      </c>
      <c r="AG144" s="64" t="n">
        <v>150</v>
      </c>
      <c r="AH144" s="64">
        <f>Retailers!AJ145</f>
        <v/>
      </c>
      <c r="AI144" s="64">
        <f>Retailers!AK145</f>
        <v/>
      </c>
      <c r="AJ144" s="64">
        <f>Retailers!AL145</f>
        <v/>
      </c>
      <c r="AM144" s="64" t="n">
        <v>150</v>
      </c>
      <c r="AN144" s="2">
        <f>IF(P144&gt;0,IF(D144=0,"Big stock",AB144/AH144),"Inesgotável")</f>
        <v/>
      </c>
      <c r="AO144" s="2">
        <f>IF(Q144&gt;0,IF(E144=0,"Big stock",AC144/AI144),"Inesgotável")</f>
        <v/>
      </c>
      <c r="AP144" s="2">
        <f>IF(R144&gt;0,IF(F144=0,"Big stock",AD144/AJ144),"Inesgotável")</f>
        <v/>
      </c>
      <c r="AS144" s="64" t="n">
        <v>150</v>
      </c>
      <c r="AT144" s="2">
        <f>Retailers_Cap!BL146</f>
        <v/>
      </c>
      <c r="AU144" s="2">
        <f>Retailers_Cap!BM146</f>
        <v/>
      </c>
      <c r="AV144" s="2">
        <f>Retailers_Cap!BN146</f>
        <v/>
      </c>
      <c r="AY144" s="64" t="n">
        <v>150</v>
      </c>
      <c r="AZ144" s="2">
        <f>IF(D144=0,"no repl",AB144-AT144)</f>
        <v/>
      </c>
      <c r="BA144" s="2">
        <f>IF(E144=0,"no repl",AC144-AU144)</f>
        <v/>
      </c>
      <c r="BB144" s="2">
        <f>IF(F144=0,"no repl",AD144-AV144)</f>
        <v/>
      </c>
    </row>
    <row r="145">
      <c r="C145" s="64" t="n">
        <v>151</v>
      </c>
      <c r="D145" s="11" t="n">
        <v>0</v>
      </c>
      <c r="E145" s="11" t="n">
        <v>0</v>
      </c>
      <c r="F145" s="11" t="n">
        <v>0</v>
      </c>
      <c r="I145" s="64" t="n">
        <v>151</v>
      </c>
      <c r="J145" s="11" t="n">
        <v>76322.17999999999</v>
      </c>
      <c r="K145" s="11" t="n">
        <v>143701.98</v>
      </c>
      <c r="L145" s="11" t="n">
        <v>48978.93</v>
      </c>
      <c r="O145" s="64" t="n">
        <v>151</v>
      </c>
      <c r="P145" s="11" t="n">
        <v>0</v>
      </c>
      <c r="Q145" s="11" t="n">
        <v>0</v>
      </c>
      <c r="R145" s="11" t="n">
        <v>0</v>
      </c>
      <c r="U145" s="64" t="n">
        <v>151</v>
      </c>
      <c r="V145" s="3">
        <f>J145-P145+D145</f>
        <v/>
      </c>
      <c r="W145" s="3">
        <f>K145-Q145+E145</f>
        <v/>
      </c>
      <c r="X145" s="3">
        <f>L145-R145+F145</f>
        <v/>
      </c>
      <c r="AA145" s="64" t="n">
        <v>151</v>
      </c>
      <c r="AB145" s="2">
        <f>IF(Demand!AU164&gt;Retailers_Cap!N147,(V145/Retailers!P146)/(Demand!AU164-Retailers_Cap!N147),"Inesgotável")</f>
        <v/>
      </c>
      <c r="AC145" s="2">
        <f>IF(Demand!AV164&gt;Retailers_Cap!O147,(W145/Retailers!Q146)/(Demand!AV164-Retailers_Cap!O147),"Inesgotável")</f>
        <v/>
      </c>
      <c r="AD145" s="2">
        <f>IF(Demand!AW164&gt;Retailers_Cap!P147,(X145/Retailers!R146)/(Demand!AW164-Retailers_Cap!P147),"Inesgotável")</f>
        <v/>
      </c>
      <c r="AG145" s="64" t="n">
        <v>151</v>
      </c>
      <c r="AH145" s="64">
        <f>Retailers!AJ146</f>
        <v/>
      </c>
      <c r="AI145" s="64">
        <f>Retailers!AK146</f>
        <v/>
      </c>
      <c r="AJ145" s="64">
        <f>Retailers!AL146</f>
        <v/>
      </c>
      <c r="AM145" s="64" t="n">
        <v>151</v>
      </c>
      <c r="AN145" s="2">
        <f>IF(P145&gt;0,IF(D145=0,"Big stock",AB145/AH145),"Inesgotável")</f>
        <v/>
      </c>
      <c r="AO145" s="2">
        <f>IF(Q145&gt;0,IF(E145=0,"Big stock",AC145/AI145),"Inesgotável")</f>
        <v/>
      </c>
      <c r="AP145" s="2">
        <f>IF(R145&gt;0,IF(F145=0,"Big stock",AD145/AJ145),"Inesgotável")</f>
        <v/>
      </c>
      <c r="AS145" s="64" t="n">
        <v>151</v>
      </c>
      <c r="AT145" s="2">
        <f>Retailers_Cap!BL147</f>
        <v/>
      </c>
      <c r="AU145" s="2">
        <f>Retailers_Cap!BM147</f>
        <v/>
      </c>
      <c r="AV145" s="2">
        <f>Retailers_Cap!BN147</f>
        <v/>
      </c>
      <c r="AY145" s="64" t="n">
        <v>151</v>
      </c>
      <c r="AZ145" s="2">
        <f>IF(D145=0,"no repl",AB145-AT145)</f>
        <v/>
      </c>
      <c r="BA145" s="2">
        <f>IF(E145=0,"no repl",AC145-AU145)</f>
        <v/>
      </c>
      <c r="BB145" s="2">
        <f>IF(F145=0,"no repl",AD145-AV145)</f>
        <v/>
      </c>
    </row>
    <row r="146">
      <c r="C146" s="64" t="n">
        <v>152</v>
      </c>
      <c r="D146" s="11" t="n">
        <v>613485.4120276582</v>
      </c>
      <c r="E146" s="11" t="n">
        <v>0</v>
      </c>
      <c r="F146" s="11" t="n">
        <v>0</v>
      </c>
      <c r="I146" s="64" t="n">
        <v>152</v>
      </c>
      <c r="J146" s="11" t="n">
        <v>14830.92</v>
      </c>
      <c r="K146" s="11" t="n">
        <v>84424.67999999999</v>
      </c>
      <c r="L146" s="11" t="n">
        <v>13576.96</v>
      </c>
      <c r="O146" s="64" t="n">
        <v>152</v>
      </c>
      <c r="P146" s="11" t="n">
        <v>363815.9989266926</v>
      </c>
      <c r="Q146" s="11" t="n">
        <v>0</v>
      </c>
      <c r="R146" s="11" t="n">
        <v>0</v>
      </c>
      <c r="U146" s="64" t="n">
        <v>152</v>
      </c>
      <c r="V146" s="3">
        <f>J146-P146+D146</f>
        <v/>
      </c>
      <c r="W146" s="3">
        <f>K146-Q146+E146</f>
        <v/>
      </c>
      <c r="X146" s="3">
        <f>L146-R146+F146</f>
        <v/>
      </c>
      <c r="AA146" s="64" t="n">
        <v>152</v>
      </c>
      <c r="AB146" s="2">
        <f>IF(Demand!AU165&gt;Retailers_Cap!N148,(V146/Retailers!P147)/(Demand!AU165-Retailers_Cap!N148),"Inesgotável")</f>
        <v/>
      </c>
      <c r="AC146" s="2">
        <f>IF(Demand!AV165&gt;Retailers_Cap!O148,(W146/Retailers!Q147)/(Demand!AV165-Retailers_Cap!O148),"Inesgotável")</f>
        <v/>
      </c>
      <c r="AD146" s="2">
        <f>IF(Demand!AW165&gt;Retailers_Cap!P148,(X146/Retailers!R147)/(Demand!AW165-Retailers_Cap!P148),"Inesgotável")</f>
        <v/>
      </c>
      <c r="AG146" s="64" t="n">
        <v>152</v>
      </c>
      <c r="AH146" s="64">
        <f>Retailers!AJ147</f>
        <v/>
      </c>
      <c r="AI146" s="64">
        <f>Retailers!AK147</f>
        <v/>
      </c>
      <c r="AJ146" s="64">
        <f>Retailers!AL147</f>
        <v/>
      </c>
      <c r="AM146" s="64" t="n">
        <v>152</v>
      </c>
      <c r="AN146" s="2">
        <f>IF(P146&gt;0,IF(D146=0,"Big stock",AB146/AH146),"Inesgotável")</f>
        <v/>
      </c>
      <c r="AO146" s="2">
        <f>IF(Q146&gt;0,IF(E146=0,"Big stock",AC146/AI146),"Inesgotável")</f>
        <v/>
      </c>
      <c r="AP146" s="2">
        <f>IF(R146&gt;0,IF(F146=0,"Big stock",AD146/AJ146),"Inesgotável")</f>
        <v/>
      </c>
      <c r="AS146" s="64" t="n">
        <v>152</v>
      </c>
      <c r="AT146" s="2">
        <f>Retailers_Cap!BL148</f>
        <v/>
      </c>
      <c r="AU146" s="2">
        <f>Retailers_Cap!BM148</f>
        <v/>
      </c>
      <c r="AV146" s="2">
        <f>Retailers_Cap!BN148</f>
        <v/>
      </c>
      <c r="AY146" s="64" t="n">
        <v>152</v>
      </c>
      <c r="AZ146" s="2">
        <f>IF(D146=0,"no repl",AB146-AT146)</f>
        <v/>
      </c>
      <c r="BA146" s="2">
        <f>IF(E146=0,"no repl",AC146-AU146)</f>
        <v/>
      </c>
      <c r="BB146" s="2">
        <f>IF(F146=0,"no repl",AD146-AV146)</f>
        <v/>
      </c>
    </row>
    <row r="147">
      <c r="C147" s="64" t="n">
        <v>153</v>
      </c>
      <c r="D147" s="11" t="n">
        <v>0</v>
      </c>
      <c r="E147" s="11" t="n">
        <v>0</v>
      </c>
      <c r="F147" s="11" t="n">
        <v>0</v>
      </c>
      <c r="I147" s="64" t="n">
        <v>153</v>
      </c>
      <c r="J147" s="11" t="n">
        <v>28067.28</v>
      </c>
      <c r="K147" s="11" t="n">
        <v>73203.22</v>
      </c>
      <c r="L147" s="11" t="n">
        <v>46213.44</v>
      </c>
      <c r="O147" s="64" t="n">
        <v>153</v>
      </c>
      <c r="P147" s="11" t="n">
        <v>0</v>
      </c>
      <c r="Q147" s="11" t="n">
        <v>0</v>
      </c>
      <c r="R147" s="11" t="n">
        <v>0</v>
      </c>
      <c r="U147" s="64" t="n">
        <v>153</v>
      </c>
      <c r="V147" s="3">
        <f>J147-P147+D147</f>
        <v/>
      </c>
      <c r="W147" s="3">
        <f>K147-Q147+E147</f>
        <v/>
      </c>
      <c r="X147" s="3">
        <f>L147-R147+F147</f>
        <v/>
      </c>
      <c r="AA147" s="64" t="n">
        <v>153</v>
      </c>
      <c r="AB147" s="2">
        <f>IF(Demand!AU166&gt;Retailers_Cap!N149,(V147/Retailers!P148)/(Demand!AU166-Retailers_Cap!N149),"Inesgotável")</f>
        <v/>
      </c>
      <c r="AC147" s="2">
        <f>IF(Demand!AV166&gt;Retailers_Cap!O149,(W147/Retailers!Q148)/(Demand!AV166-Retailers_Cap!O149),"Inesgotável")</f>
        <v/>
      </c>
      <c r="AD147" s="2">
        <f>IF(Demand!AW166&gt;Retailers_Cap!P149,(X147/Retailers!R148)/(Demand!AW166-Retailers_Cap!P149),"Inesgotável")</f>
        <v/>
      </c>
      <c r="AG147" s="64" t="n">
        <v>153</v>
      </c>
      <c r="AH147" s="64">
        <f>Retailers!AJ148</f>
        <v/>
      </c>
      <c r="AI147" s="64">
        <f>Retailers!AK148</f>
        <v/>
      </c>
      <c r="AJ147" s="64">
        <f>Retailers!AL148</f>
        <v/>
      </c>
      <c r="AM147" s="64" t="n">
        <v>153</v>
      </c>
      <c r="AN147" s="2">
        <f>IF(P147&gt;0,IF(D147=0,"Big stock",AB147/AH147),"Inesgotável")</f>
        <v/>
      </c>
      <c r="AO147" s="2">
        <f>IF(Q147&gt;0,IF(E147=0,"Big stock",AC147/AI147),"Inesgotável")</f>
        <v/>
      </c>
      <c r="AP147" s="2">
        <f>IF(R147&gt;0,IF(F147=0,"Big stock",AD147/AJ147),"Inesgotável")</f>
        <v/>
      </c>
      <c r="AS147" s="64" t="n">
        <v>153</v>
      </c>
      <c r="AT147" s="2">
        <f>Retailers_Cap!BL149</f>
        <v/>
      </c>
      <c r="AU147" s="2">
        <f>Retailers_Cap!BM149</f>
        <v/>
      </c>
      <c r="AV147" s="2">
        <f>Retailers_Cap!BN149</f>
        <v/>
      </c>
      <c r="AY147" s="64" t="n">
        <v>153</v>
      </c>
      <c r="AZ147" s="2">
        <f>IF(D147=0,"no repl",AB147-AT147)</f>
        <v/>
      </c>
      <c r="BA147" s="2">
        <f>IF(E147=0,"no repl",AC147-AU147)</f>
        <v/>
      </c>
      <c r="BB147" s="2">
        <f>IF(F147=0,"no repl",AD147-AV147)</f>
        <v/>
      </c>
    </row>
    <row r="148">
      <c r="C148" s="64" t="n">
        <v>154</v>
      </c>
      <c r="D148" s="11" t="n">
        <v>0</v>
      </c>
      <c r="E148" s="11" t="n">
        <v>624922.7853559322</v>
      </c>
      <c r="F148" s="11" t="n">
        <v>604644.7650925543</v>
      </c>
      <c r="I148" s="64" t="n">
        <v>154</v>
      </c>
      <c r="J148" s="11" t="n">
        <v>44742.88</v>
      </c>
      <c r="K148" s="11" t="n">
        <v>32580.64</v>
      </c>
      <c r="L148" s="11" t="n">
        <v>36796.78</v>
      </c>
      <c r="O148" s="64" t="n">
        <v>154</v>
      </c>
      <c r="P148" s="11" t="n">
        <v>0</v>
      </c>
      <c r="Q148" s="11" t="n">
        <v>373955.4935335031</v>
      </c>
      <c r="R148" s="11" t="n">
        <v>344676.4345580807</v>
      </c>
      <c r="U148" s="64" t="n">
        <v>154</v>
      </c>
      <c r="V148" s="3">
        <f>J148-P148+D148</f>
        <v/>
      </c>
      <c r="W148" s="3">
        <f>K148-Q148+E148</f>
        <v/>
      </c>
      <c r="X148" s="3">
        <f>L148-R148+F148</f>
        <v/>
      </c>
      <c r="AA148" s="64" t="n">
        <v>154</v>
      </c>
      <c r="AB148" s="2">
        <f>IF(Demand!AU167&gt;Retailers_Cap!N150,(V148/Retailers!P149)/(Demand!AU167-Retailers_Cap!N150),"Inesgotável")</f>
        <v/>
      </c>
      <c r="AC148" s="2">
        <f>IF(Demand!AV167&gt;Retailers_Cap!O150,(W148/Retailers!Q149)/(Demand!AV167-Retailers_Cap!O150),"Inesgotável")</f>
        <v/>
      </c>
      <c r="AD148" s="2">
        <f>IF(Demand!AW167&gt;Retailers_Cap!P150,(X148/Retailers!R149)/(Demand!AW167-Retailers_Cap!P150),"Inesgotável")</f>
        <v/>
      </c>
      <c r="AG148" s="64" t="n">
        <v>154</v>
      </c>
      <c r="AH148" s="64">
        <f>Retailers!AJ149</f>
        <v/>
      </c>
      <c r="AI148" s="64">
        <f>Retailers!AK149</f>
        <v/>
      </c>
      <c r="AJ148" s="64">
        <f>Retailers!AL149</f>
        <v/>
      </c>
      <c r="AM148" s="64" t="n">
        <v>154</v>
      </c>
      <c r="AN148" s="2">
        <f>IF(P148&gt;0,IF(D148=0,"Big stock",AB148/AH148),"Inesgotável")</f>
        <v/>
      </c>
      <c r="AO148" s="2">
        <f>IF(Q148&gt;0,IF(E148=0,"Big stock",AC148/AI148),"Inesgotável")</f>
        <v/>
      </c>
      <c r="AP148" s="2">
        <f>IF(R148&gt;0,IF(F148=0,"Big stock",AD148/AJ148),"Inesgotável")</f>
        <v/>
      </c>
      <c r="AS148" s="64" t="n">
        <v>154</v>
      </c>
      <c r="AT148" s="2">
        <f>Retailers_Cap!BL150</f>
        <v/>
      </c>
      <c r="AU148" s="2">
        <f>Retailers_Cap!BM150</f>
        <v/>
      </c>
      <c r="AV148" s="2">
        <f>Retailers_Cap!BN150</f>
        <v/>
      </c>
      <c r="AY148" s="64" t="n">
        <v>154</v>
      </c>
      <c r="AZ148" s="2">
        <f>IF(D148=0,"no repl",AB148-AT148)</f>
        <v/>
      </c>
      <c r="BA148" s="2">
        <f>IF(E148=0,"no repl",AC148-AU148)</f>
        <v/>
      </c>
      <c r="BB148" s="2">
        <f>IF(F148=0,"no repl",AD148-AV148)</f>
        <v/>
      </c>
    </row>
    <row r="149">
      <c r="C149" s="64" t="n">
        <v>155</v>
      </c>
      <c r="D149" s="11" t="n">
        <v>0</v>
      </c>
      <c r="E149" s="11" t="n">
        <v>0</v>
      </c>
      <c r="F149" s="11" t="n">
        <v>402062.5144489534</v>
      </c>
      <c r="I149" s="64" t="n">
        <v>155</v>
      </c>
      <c r="J149" s="11" t="n">
        <v>37009.06</v>
      </c>
      <c r="K149" s="11" t="n">
        <v>47546.89</v>
      </c>
      <c r="L149" s="11" t="n">
        <v>66153.36</v>
      </c>
      <c r="O149" s="64" t="n">
        <v>155</v>
      </c>
      <c r="P149" s="11" t="n">
        <v>0</v>
      </c>
      <c r="Q149" s="11" t="n">
        <v>0</v>
      </c>
      <c r="R149" s="11" t="n">
        <v>244218.2337200615</v>
      </c>
      <c r="U149" s="64" t="n">
        <v>155</v>
      </c>
      <c r="V149" s="3">
        <f>J149-P149+D149</f>
        <v/>
      </c>
      <c r="W149" s="3">
        <f>K149-Q149+E149</f>
        <v/>
      </c>
      <c r="X149" s="3">
        <f>L149-R149+F149</f>
        <v/>
      </c>
      <c r="AA149" s="64" t="n">
        <v>155</v>
      </c>
      <c r="AB149" s="2">
        <f>IF(Demand!AU168&gt;Retailers_Cap!N151,(V149/Retailers!P150)/(Demand!AU168-Retailers_Cap!N151),"Inesgotável")</f>
        <v/>
      </c>
      <c r="AC149" s="2">
        <f>IF(Demand!AV168&gt;Retailers_Cap!O151,(W149/Retailers!Q150)/(Demand!AV168-Retailers_Cap!O151),"Inesgotável")</f>
        <v/>
      </c>
      <c r="AD149" s="2">
        <f>IF(Demand!AW168&gt;Retailers_Cap!P151,(X149/Retailers!R150)/(Demand!AW168-Retailers_Cap!P151),"Inesgotável")</f>
        <v/>
      </c>
      <c r="AG149" s="64" t="n">
        <v>155</v>
      </c>
      <c r="AH149" s="64">
        <f>Retailers!AJ150</f>
        <v/>
      </c>
      <c r="AI149" s="64">
        <f>Retailers!AK150</f>
        <v/>
      </c>
      <c r="AJ149" s="64">
        <f>Retailers!AL150</f>
        <v/>
      </c>
      <c r="AM149" s="64" t="n">
        <v>155</v>
      </c>
      <c r="AN149" s="2">
        <f>IF(P149&gt;0,IF(D149=0,"Big stock",AB149/AH149),"Inesgotável")</f>
        <v/>
      </c>
      <c r="AO149" s="2">
        <f>IF(Q149&gt;0,IF(E149=0,"Big stock",AC149/AI149),"Inesgotável")</f>
        <v/>
      </c>
      <c r="AP149" s="2">
        <f>IF(R149&gt;0,IF(F149=0,"Big stock",AD149/AJ149),"Inesgotável")</f>
        <v/>
      </c>
      <c r="AS149" s="64" t="n">
        <v>155</v>
      </c>
      <c r="AT149" s="2">
        <f>Retailers_Cap!BL151</f>
        <v/>
      </c>
      <c r="AU149" s="2">
        <f>Retailers_Cap!BM151</f>
        <v/>
      </c>
      <c r="AV149" s="2">
        <f>Retailers_Cap!BN151</f>
        <v/>
      </c>
      <c r="AY149" s="64" t="n">
        <v>155</v>
      </c>
      <c r="AZ149" s="2">
        <f>IF(D149=0,"no repl",AB149-AT149)</f>
        <v/>
      </c>
      <c r="BA149" s="2">
        <f>IF(E149=0,"no repl",AC149-AU149)</f>
        <v/>
      </c>
      <c r="BB149" s="2">
        <f>IF(F149=0,"no repl",AD149-AV149)</f>
        <v/>
      </c>
    </row>
    <row r="150">
      <c r="C150" s="64" t="n">
        <v>156</v>
      </c>
      <c r="D150" s="11" t="n">
        <v>54391.34063062113</v>
      </c>
      <c r="E150" s="11" t="n">
        <v>75140.67277862753</v>
      </c>
      <c r="F150" s="11" t="n">
        <v>0</v>
      </c>
      <c r="I150" s="64" t="n">
        <v>156</v>
      </c>
      <c r="J150" s="11" t="n">
        <v>30306.68</v>
      </c>
      <c r="K150" s="11" t="n">
        <v>23030.8</v>
      </c>
      <c r="L150" s="11" t="n">
        <v>48599.88</v>
      </c>
      <c r="O150" s="64" t="n">
        <v>156</v>
      </c>
      <c r="P150" s="11" t="n">
        <v>32789.01910959449</v>
      </c>
      <c r="Q150" s="11" t="n">
        <v>45063.25101873611</v>
      </c>
      <c r="R150" s="11" t="n">
        <v>0</v>
      </c>
      <c r="U150" s="64" t="n">
        <v>156</v>
      </c>
      <c r="V150" s="3">
        <f>J150-P150+D150</f>
        <v/>
      </c>
      <c r="W150" s="3">
        <f>K150-Q150+E150</f>
        <v/>
      </c>
      <c r="X150" s="3">
        <f>L150-R150+F150</f>
        <v/>
      </c>
      <c r="AA150" s="64" t="n">
        <v>156</v>
      </c>
      <c r="AB150" s="2">
        <f>IF(Demand!AU169&gt;Retailers_Cap!N152,(V150/Retailers!P151)/(Demand!AU169-Retailers_Cap!N152),"Inesgotável")</f>
        <v/>
      </c>
      <c r="AC150" s="2">
        <f>IF(Demand!AV169&gt;Retailers_Cap!O152,(W150/Retailers!Q151)/(Demand!AV169-Retailers_Cap!O152),"Inesgotável")</f>
        <v/>
      </c>
      <c r="AD150" s="2">
        <f>IF(Demand!AW169&gt;Retailers_Cap!P152,(X150/Retailers!R151)/(Demand!AW169-Retailers_Cap!P152),"Inesgotável")</f>
        <v/>
      </c>
      <c r="AG150" s="64" t="n">
        <v>156</v>
      </c>
      <c r="AH150" s="64">
        <f>Retailers!AJ151</f>
        <v/>
      </c>
      <c r="AI150" s="64">
        <f>Retailers!AK151</f>
        <v/>
      </c>
      <c r="AJ150" s="64">
        <f>Retailers!AL151</f>
        <v/>
      </c>
      <c r="AM150" s="64" t="n">
        <v>156</v>
      </c>
      <c r="AN150" s="2">
        <f>IF(P150&gt;0,IF(D150=0,"Big stock",AB150/AH150),"Inesgotável")</f>
        <v/>
      </c>
      <c r="AO150" s="2">
        <f>IF(Q150&gt;0,IF(E150=0,"Big stock",AC150/AI150),"Inesgotável")</f>
        <v/>
      </c>
      <c r="AP150" s="2">
        <f>IF(R150&gt;0,IF(F150=0,"Big stock",AD150/AJ150),"Inesgotável")</f>
        <v/>
      </c>
      <c r="AS150" s="64" t="n">
        <v>156</v>
      </c>
      <c r="AT150" s="2">
        <f>Retailers_Cap!BL152</f>
        <v/>
      </c>
      <c r="AU150" s="2">
        <f>Retailers_Cap!BM152</f>
        <v/>
      </c>
      <c r="AV150" s="2">
        <f>Retailers_Cap!BN152</f>
        <v/>
      </c>
      <c r="AY150" s="64" t="n">
        <v>156</v>
      </c>
      <c r="AZ150" s="2">
        <f>IF(D150=0,"no repl",AB150-AT150)</f>
        <v/>
      </c>
      <c r="BA150" s="2">
        <f>IF(E150=0,"no repl",AC150-AU150)</f>
        <v/>
      </c>
      <c r="BB150" s="2">
        <f>IF(F150=0,"no repl",AD150-AV150)</f>
        <v/>
      </c>
    </row>
    <row r="151">
      <c r="C151" s="64" t="n">
        <v>157</v>
      </c>
      <c r="D151" s="11" t="n">
        <v>0</v>
      </c>
      <c r="E151" s="11" t="n">
        <v>96778.97158733671</v>
      </c>
      <c r="F151" s="11" t="n">
        <v>297111.1581405249</v>
      </c>
      <c r="I151" s="64" t="n">
        <v>157</v>
      </c>
      <c r="J151" s="11" t="n">
        <v>47806.5</v>
      </c>
      <c r="K151" s="11" t="n">
        <v>26486.68</v>
      </c>
      <c r="L151" s="11" t="n">
        <v>20991.6</v>
      </c>
      <c r="O151" s="64" t="n">
        <v>157</v>
      </c>
      <c r="P151" s="11" t="n">
        <v>0</v>
      </c>
      <c r="Q151" s="11" t="n">
        <v>56573.98181467736</v>
      </c>
      <c r="R151" s="11" t="n">
        <v>186901.2361737875</v>
      </c>
      <c r="U151" s="64" t="n">
        <v>157</v>
      </c>
      <c r="V151" s="3">
        <f>J151-P151+D151</f>
        <v/>
      </c>
      <c r="W151" s="3">
        <f>K151-Q151+E151</f>
        <v/>
      </c>
      <c r="X151" s="3">
        <f>L151-R151+F151</f>
        <v/>
      </c>
      <c r="AA151" s="64" t="n">
        <v>157</v>
      </c>
      <c r="AB151" s="2">
        <f>IF(Demand!AU170&gt;Retailers_Cap!N153,(V151/Retailers!P152)/(Demand!AU170-Retailers_Cap!N153),"Inesgotável")</f>
        <v/>
      </c>
      <c r="AC151" s="2">
        <f>IF(Demand!AV170&gt;Retailers_Cap!O153,(W151/Retailers!Q152)/(Demand!AV170-Retailers_Cap!O153),"Inesgotável")</f>
        <v/>
      </c>
      <c r="AD151" s="2">
        <f>IF(Demand!AW170&gt;Retailers_Cap!P153,(X151/Retailers!R152)/(Demand!AW170-Retailers_Cap!P153),"Inesgotável")</f>
        <v/>
      </c>
      <c r="AG151" s="64" t="n">
        <v>157</v>
      </c>
      <c r="AH151" s="64">
        <f>Retailers!AJ152</f>
        <v/>
      </c>
      <c r="AI151" s="64">
        <f>Retailers!AK152</f>
        <v/>
      </c>
      <c r="AJ151" s="64">
        <f>Retailers!AL152</f>
        <v/>
      </c>
      <c r="AM151" s="64" t="n">
        <v>157</v>
      </c>
      <c r="AN151" s="2">
        <f>IF(P151&gt;0,IF(D151=0,"Big stock",AB151/AH151),"Inesgotável")</f>
        <v/>
      </c>
      <c r="AO151" s="2">
        <f>IF(Q151&gt;0,IF(E151=0,"Big stock",AC151/AI151),"Inesgotável")</f>
        <v/>
      </c>
      <c r="AP151" s="2">
        <f>IF(R151&gt;0,IF(F151=0,"Big stock",AD151/AJ151),"Inesgotável")</f>
        <v/>
      </c>
      <c r="AS151" s="64" t="n">
        <v>157</v>
      </c>
      <c r="AT151" s="2">
        <f>Retailers_Cap!BL153</f>
        <v/>
      </c>
      <c r="AU151" s="2">
        <f>Retailers_Cap!BM153</f>
        <v/>
      </c>
      <c r="AV151" s="2">
        <f>Retailers_Cap!BN153</f>
        <v/>
      </c>
      <c r="AY151" s="64" t="n">
        <v>157</v>
      </c>
      <c r="AZ151" s="2">
        <f>IF(D151=0,"no repl",AB151-AT151)</f>
        <v/>
      </c>
      <c r="BA151" s="2">
        <f>IF(E151=0,"no repl",AC151-AU151)</f>
        <v/>
      </c>
      <c r="BB151" s="2">
        <f>IF(F151=0,"no repl",AD151-AV151)</f>
        <v/>
      </c>
    </row>
    <row r="152">
      <c r="C152" s="64" t="n">
        <v>158</v>
      </c>
      <c r="D152" s="11" t="n">
        <v>202610.6764239094</v>
      </c>
      <c r="E152" s="11" t="n">
        <v>248154.5076974008</v>
      </c>
      <c r="F152" s="11" t="n">
        <v>0</v>
      </c>
      <c r="I152" s="64" t="n">
        <v>158</v>
      </c>
      <c r="J152" s="11" t="n">
        <v>15422.22</v>
      </c>
      <c r="K152" s="11" t="n">
        <v>46566.91</v>
      </c>
      <c r="L152" s="11" t="n">
        <v>60981.45</v>
      </c>
      <c r="O152" s="64" t="n">
        <v>158</v>
      </c>
      <c r="P152" s="11" t="n">
        <v>120559.0577072132</v>
      </c>
      <c r="Q152" s="11" t="n">
        <v>155195.5549354638</v>
      </c>
      <c r="R152" s="11" t="n">
        <v>0</v>
      </c>
      <c r="U152" s="64" t="n">
        <v>158</v>
      </c>
      <c r="V152" s="3">
        <f>J152-P152+D152</f>
        <v/>
      </c>
      <c r="W152" s="3">
        <f>K152-Q152+E152</f>
        <v/>
      </c>
      <c r="X152" s="3">
        <f>L152-R152+F152</f>
        <v/>
      </c>
      <c r="AA152" s="64" t="n">
        <v>158</v>
      </c>
      <c r="AB152" s="2">
        <f>IF(Demand!AU171&gt;Retailers_Cap!N154,(V152/Retailers!P153)/(Demand!AU171-Retailers_Cap!N154),"Inesgotável")</f>
        <v/>
      </c>
      <c r="AC152" s="2">
        <f>IF(Demand!AV171&gt;Retailers_Cap!O154,(W152/Retailers!Q153)/(Demand!AV171-Retailers_Cap!O154),"Inesgotável")</f>
        <v/>
      </c>
      <c r="AD152" s="2">
        <f>IF(Demand!AW171&gt;Retailers_Cap!P154,(X152/Retailers!R153)/(Demand!AW171-Retailers_Cap!P154),"Inesgotável")</f>
        <v/>
      </c>
      <c r="AG152" s="64" t="n">
        <v>158</v>
      </c>
      <c r="AH152" s="64">
        <f>Retailers!AJ153</f>
        <v/>
      </c>
      <c r="AI152" s="64">
        <f>Retailers!AK153</f>
        <v/>
      </c>
      <c r="AJ152" s="64">
        <f>Retailers!AL153</f>
        <v/>
      </c>
      <c r="AM152" s="64" t="n">
        <v>158</v>
      </c>
      <c r="AN152" s="2">
        <f>IF(P152&gt;0,IF(D152=0,"Big stock",AB152/AH152),"Inesgotável")</f>
        <v/>
      </c>
      <c r="AO152" s="2">
        <f>IF(Q152&gt;0,IF(E152=0,"Big stock",AC152/AI152),"Inesgotável")</f>
        <v/>
      </c>
      <c r="AP152" s="2">
        <f>IF(R152&gt;0,IF(F152=0,"Big stock",AD152/AJ152),"Inesgotável")</f>
        <v/>
      </c>
      <c r="AS152" s="64" t="n">
        <v>158</v>
      </c>
      <c r="AT152" s="2">
        <f>Retailers_Cap!BL154</f>
        <v/>
      </c>
      <c r="AU152" s="2">
        <f>Retailers_Cap!BM154</f>
        <v/>
      </c>
      <c r="AV152" s="2">
        <f>Retailers_Cap!BN154</f>
        <v/>
      </c>
      <c r="AY152" s="64" t="n">
        <v>158</v>
      </c>
      <c r="AZ152" s="2">
        <f>IF(D152=0,"no repl",AB152-AT152)</f>
        <v/>
      </c>
      <c r="BA152" s="2">
        <f>IF(E152=0,"no repl",AC152-AU152)</f>
        <v/>
      </c>
      <c r="BB152" s="2">
        <f>IF(F152=0,"no repl",AD152-AV152)</f>
        <v/>
      </c>
    </row>
    <row r="153">
      <c r="C153" s="64" t="n">
        <v>159</v>
      </c>
      <c r="D153" s="11" t="n">
        <v>0</v>
      </c>
      <c r="E153" s="11" t="n">
        <v>0</v>
      </c>
      <c r="F153" s="11" t="n">
        <v>0</v>
      </c>
      <c r="I153" s="64" t="n">
        <v>159</v>
      </c>
      <c r="J153" s="11" t="n">
        <v>68935.36</v>
      </c>
      <c r="K153" s="11" t="n">
        <v>44763</v>
      </c>
      <c r="L153" s="11" t="n">
        <v>18446.46</v>
      </c>
      <c r="O153" s="64" t="n">
        <v>159</v>
      </c>
      <c r="P153" s="11" t="n">
        <v>0</v>
      </c>
      <c r="Q153" s="11" t="n">
        <v>0</v>
      </c>
      <c r="R153" s="11" t="n">
        <v>0</v>
      </c>
      <c r="U153" s="64" t="n">
        <v>159</v>
      </c>
      <c r="V153" s="3">
        <f>J153-P153+D153</f>
        <v/>
      </c>
      <c r="W153" s="3">
        <f>K153-Q153+E153</f>
        <v/>
      </c>
      <c r="X153" s="3">
        <f>L153-R153+F153</f>
        <v/>
      </c>
      <c r="AA153" s="64" t="n">
        <v>159</v>
      </c>
      <c r="AB153" s="2">
        <f>IF(Demand!AU172&gt;Retailers_Cap!N155,(V153/Retailers!P154)/(Demand!AU172-Retailers_Cap!N155),"Inesgotável")</f>
        <v/>
      </c>
      <c r="AC153" s="2">
        <f>IF(Demand!AV172&gt;Retailers_Cap!O155,(W153/Retailers!Q154)/(Demand!AV172-Retailers_Cap!O155),"Inesgotável")</f>
        <v/>
      </c>
      <c r="AD153" s="2">
        <f>IF(Demand!AW172&gt;Retailers_Cap!P155,(X153/Retailers!R154)/(Demand!AW172-Retailers_Cap!P155),"Inesgotável")</f>
        <v/>
      </c>
      <c r="AG153" s="64" t="n">
        <v>159</v>
      </c>
      <c r="AH153" s="64">
        <f>Retailers!AJ154</f>
        <v/>
      </c>
      <c r="AI153" s="64">
        <f>Retailers!AK154</f>
        <v/>
      </c>
      <c r="AJ153" s="64">
        <f>Retailers!AL154</f>
        <v/>
      </c>
      <c r="AM153" s="64" t="n">
        <v>159</v>
      </c>
      <c r="AN153" s="2">
        <f>IF(P153&gt;0,IF(D153=0,"Big stock",AB153/AH153),"Inesgotável")</f>
        <v/>
      </c>
      <c r="AO153" s="2">
        <f>IF(Q153&gt;0,IF(E153=0,"Big stock",AC153/AI153),"Inesgotável")</f>
        <v/>
      </c>
      <c r="AP153" s="2">
        <f>IF(R153&gt;0,IF(F153=0,"Big stock",AD153/AJ153),"Inesgotável")</f>
        <v/>
      </c>
      <c r="AS153" s="64" t="n">
        <v>159</v>
      </c>
      <c r="AT153" s="2">
        <f>Retailers_Cap!BL155</f>
        <v/>
      </c>
      <c r="AU153" s="2">
        <f>Retailers_Cap!BM155</f>
        <v/>
      </c>
      <c r="AV153" s="2">
        <f>Retailers_Cap!BN155</f>
        <v/>
      </c>
      <c r="AY153" s="64" t="n">
        <v>159</v>
      </c>
      <c r="AZ153" s="2">
        <f>IF(D153=0,"no repl",AB153-AT153)</f>
        <v/>
      </c>
      <c r="BA153" s="2">
        <f>IF(E153=0,"no repl",AC153-AU153)</f>
        <v/>
      </c>
      <c r="BB153" s="2">
        <f>IF(F153=0,"no repl",AD153-AV153)</f>
        <v/>
      </c>
    </row>
    <row r="154">
      <c r="C154" s="64" t="n">
        <v>160</v>
      </c>
      <c r="D154" s="11" t="n">
        <v>113130.9131258001</v>
      </c>
      <c r="E154" s="11" t="n">
        <v>160322.3996686979</v>
      </c>
      <c r="F154" s="11" t="n">
        <v>242320.0116752809</v>
      </c>
      <c r="I154" s="64" t="n">
        <v>160</v>
      </c>
      <c r="J154" s="11" t="n">
        <v>46340.7</v>
      </c>
      <c r="K154" s="11" t="n">
        <v>45090.33</v>
      </c>
      <c r="L154" s="11" t="n">
        <v>65262.4</v>
      </c>
      <c r="O154" s="64" t="n">
        <v>160</v>
      </c>
      <c r="P154" s="11" t="n">
        <v>75739.71979007391</v>
      </c>
      <c r="Q154" s="11" t="n">
        <v>98711.0715864743</v>
      </c>
      <c r="R154" s="11" t="n">
        <v>143220.0636095079</v>
      </c>
      <c r="U154" s="64" t="n">
        <v>160</v>
      </c>
      <c r="V154" s="3">
        <f>J154-P154+D154</f>
        <v/>
      </c>
      <c r="W154" s="3">
        <f>K154-Q154+E154</f>
        <v/>
      </c>
      <c r="X154" s="3">
        <f>L154-R154+F154</f>
        <v/>
      </c>
      <c r="AA154" s="64" t="n">
        <v>160</v>
      </c>
      <c r="AB154" s="2">
        <f>IF(Demand!AU173&gt;Retailers_Cap!N156,(V154/Retailers!P155)/(Demand!AU173-Retailers_Cap!N156),"Inesgotável")</f>
        <v/>
      </c>
      <c r="AC154" s="2">
        <f>IF(Demand!AV173&gt;Retailers_Cap!O156,(W154/Retailers!Q155)/(Demand!AV173-Retailers_Cap!O156),"Inesgotável")</f>
        <v/>
      </c>
      <c r="AD154" s="2">
        <f>IF(Demand!AW173&gt;Retailers_Cap!P156,(X154/Retailers!R155)/(Demand!AW173-Retailers_Cap!P156),"Inesgotável")</f>
        <v/>
      </c>
      <c r="AG154" s="64" t="n">
        <v>160</v>
      </c>
      <c r="AH154" s="64">
        <f>Retailers!AJ155</f>
        <v/>
      </c>
      <c r="AI154" s="64">
        <f>Retailers!AK155</f>
        <v/>
      </c>
      <c r="AJ154" s="64">
        <f>Retailers!AL155</f>
        <v/>
      </c>
      <c r="AM154" s="64" t="n">
        <v>160</v>
      </c>
      <c r="AN154" s="2">
        <f>IF(P154&gt;0,IF(D154=0,"Big stock",AB154/AH154),"Inesgotável")</f>
        <v/>
      </c>
      <c r="AO154" s="2">
        <f>IF(Q154&gt;0,IF(E154=0,"Big stock",AC154/AI154),"Inesgotável")</f>
        <v/>
      </c>
      <c r="AP154" s="2">
        <f>IF(R154&gt;0,IF(F154=0,"Big stock",AD154/AJ154),"Inesgotável")</f>
        <v/>
      </c>
      <c r="AS154" s="64" t="n">
        <v>160</v>
      </c>
      <c r="AT154" s="2">
        <f>Retailers_Cap!BL156</f>
        <v/>
      </c>
      <c r="AU154" s="2">
        <f>Retailers_Cap!BM156</f>
        <v/>
      </c>
      <c r="AV154" s="2">
        <f>Retailers_Cap!BN156</f>
        <v/>
      </c>
      <c r="AY154" s="64" t="n">
        <v>160</v>
      </c>
      <c r="AZ154" s="2">
        <f>IF(D154=0,"no repl",AB154-AT154)</f>
        <v/>
      </c>
      <c r="BA154" s="2">
        <f>IF(E154=0,"no repl",AC154-AU154)</f>
        <v/>
      </c>
      <c r="BB154" s="2">
        <f>IF(F154=0,"no repl",AD154-AV154)</f>
        <v/>
      </c>
    </row>
    <row r="155">
      <c r="C155" s="64" t="n">
        <v>161</v>
      </c>
      <c r="D155" s="11" t="n">
        <v>0</v>
      </c>
      <c r="E155" s="11" t="n">
        <v>229278.6061026696</v>
      </c>
      <c r="F155" s="11" t="n">
        <v>0</v>
      </c>
      <c r="I155" s="64" t="n">
        <v>161</v>
      </c>
      <c r="J155" s="11" t="n">
        <v>26032</v>
      </c>
      <c r="K155" s="11" t="n">
        <v>35346.5</v>
      </c>
      <c r="L155" s="11" t="n">
        <v>6898.58</v>
      </c>
      <c r="O155" s="64" t="n">
        <v>161</v>
      </c>
      <c r="P155" s="11" t="n">
        <v>0</v>
      </c>
      <c r="Q155" s="11" t="n">
        <v>137408.1812804142</v>
      </c>
      <c r="R155" s="11" t="n">
        <v>0</v>
      </c>
      <c r="U155" s="64" t="n">
        <v>161</v>
      </c>
      <c r="V155" s="3">
        <f>J155-P155+D155</f>
        <v/>
      </c>
      <c r="W155" s="3">
        <f>K155-Q155+E155</f>
        <v/>
      </c>
      <c r="X155" s="3">
        <f>L155-R155+F155</f>
        <v/>
      </c>
      <c r="AA155" s="64" t="n">
        <v>161</v>
      </c>
      <c r="AB155" s="2">
        <f>IF(Demand!AU174&gt;Retailers_Cap!N157,(V155/Retailers!P156)/(Demand!AU174-Retailers_Cap!N157),"Inesgotável")</f>
        <v/>
      </c>
      <c r="AC155" s="2">
        <f>IF(Demand!AV174&gt;Retailers_Cap!O157,(W155/Retailers!Q156)/(Demand!AV174-Retailers_Cap!O157),"Inesgotável")</f>
        <v/>
      </c>
      <c r="AD155" s="2">
        <f>IF(Demand!AW174&gt;Retailers_Cap!P157,(X155/Retailers!R156)/(Demand!AW174-Retailers_Cap!P157),"Inesgotável")</f>
        <v/>
      </c>
      <c r="AG155" s="64" t="n">
        <v>161</v>
      </c>
      <c r="AH155" s="64">
        <f>Retailers!AJ156</f>
        <v/>
      </c>
      <c r="AI155" s="64">
        <f>Retailers!AK156</f>
        <v/>
      </c>
      <c r="AJ155" s="64">
        <f>Retailers!AL156</f>
        <v/>
      </c>
      <c r="AM155" s="64" t="n">
        <v>161</v>
      </c>
      <c r="AN155" s="2">
        <f>IF(P155&gt;0,IF(D155=0,"Big stock",AB155/AH155),"Inesgotável")</f>
        <v/>
      </c>
      <c r="AO155" s="2">
        <f>IF(Q155&gt;0,IF(E155=0,"Big stock",AC155/AI155),"Inesgotável")</f>
        <v/>
      </c>
      <c r="AP155" s="2">
        <f>IF(R155&gt;0,IF(F155=0,"Big stock",AD155/AJ155),"Inesgotável")</f>
        <v/>
      </c>
      <c r="AS155" s="64" t="n">
        <v>161</v>
      </c>
      <c r="AT155" s="2">
        <f>Retailers_Cap!BL157</f>
        <v/>
      </c>
      <c r="AU155" s="2">
        <f>Retailers_Cap!BM157</f>
        <v/>
      </c>
      <c r="AV155" s="2">
        <f>Retailers_Cap!BN157</f>
        <v/>
      </c>
      <c r="AY155" s="64" t="n">
        <v>161</v>
      </c>
      <c r="AZ155" s="2">
        <f>IF(D155=0,"no repl",AB155-AT155)</f>
        <v/>
      </c>
      <c r="BA155" s="2">
        <f>IF(E155=0,"no repl",AC155-AU155)</f>
        <v/>
      </c>
      <c r="BB155" s="2">
        <f>IF(F155=0,"no repl",AD155-AV155)</f>
        <v/>
      </c>
    </row>
    <row r="156">
      <c r="C156" s="64" t="n">
        <v>162</v>
      </c>
      <c r="D156" s="11" t="n">
        <v>201487.8978759387</v>
      </c>
      <c r="E156" s="11" t="n">
        <v>271931.9252977142</v>
      </c>
      <c r="F156" s="11" t="n">
        <v>244840.7736826377</v>
      </c>
      <c r="I156" s="64" t="n">
        <v>162</v>
      </c>
      <c r="J156" s="11" t="n">
        <v>39261.81</v>
      </c>
      <c r="K156" s="11" t="n">
        <v>65888</v>
      </c>
      <c r="L156" s="11" t="n">
        <v>37674.19</v>
      </c>
      <c r="O156" s="64" t="n">
        <v>162</v>
      </c>
      <c r="P156" s="11" t="n">
        <v>118826.2640672128</v>
      </c>
      <c r="Q156" s="11" t="n">
        <v>166264.2585798855</v>
      </c>
      <c r="R156" s="11" t="n">
        <v>150004.9054964005</v>
      </c>
      <c r="U156" s="64" t="n">
        <v>162</v>
      </c>
      <c r="V156" s="3">
        <f>J156-P156+D156</f>
        <v/>
      </c>
      <c r="W156" s="3">
        <f>K156-Q156+E156</f>
        <v/>
      </c>
      <c r="X156" s="3">
        <f>L156-R156+F156</f>
        <v/>
      </c>
      <c r="AA156" s="64" t="n">
        <v>162</v>
      </c>
      <c r="AB156" s="2">
        <f>IF(Demand!AU175&gt;Retailers_Cap!N158,(V156/Retailers!P157)/(Demand!AU175-Retailers_Cap!N158),"Inesgotável")</f>
        <v/>
      </c>
      <c r="AC156" s="2">
        <f>IF(Demand!AV175&gt;Retailers_Cap!O158,(W156/Retailers!Q157)/(Demand!AV175-Retailers_Cap!O158),"Inesgotável")</f>
        <v/>
      </c>
      <c r="AD156" s="2">
        <f>IF(Demand!AW175&gt;Retailers_Cap!P158,(X156/Retailers!R157)/(Demand!AW175-Retailers_Cap!P158),"Inesgotável")</f>
        <v/>
      </c>
      <c r="AG156" s="64" t="n">
        <v>162</v>
      </c>
      <c r="AH156" s="64">
        <f>Retailers!AJ157</f>
        <v/>
      </c>
      <c r="AI156" s="64">
        <f>Retailers!AK157</f>
        <v/>
      </c>
      <c r="AJ156" s="64">
        <f>Retailers!AL157</f>
        <v/>
      </c>
      <c r="AM156" s="64" t="n">
        <v>162</v>
      </c>
      <c r="AN156" s="2">
        <f>IF(P156&gt;0,IF(D156=0,"Big stock",AB156/AH156),"Inesgotável")</f>
        <v/>
      </c>
      <c r="AO156" s="2">
        <f>IF(Q156&gt;0,IF(E156=0,"Big stock",AC156/AI156),"Inesgotável")</f>
        <v/>
      </c>
      <c r="AP156" s="2">
        <f>IF(R156&gt;0,IF(F156=0,"Big stock",AD156/AJ156),"Inesgotável")</f>
        <v/>
      </c>
      <c r="AS156" s="64" t="n">
        <v>162</v>
      </c>
      <c r="AT156" s="2">
        <f>Retailers_Cap!BL158</f>
        <v/>
      </c>
      <c r="AU156" s="2">
        <f>Retailers_Cap!BM158</f>
        <v/>
      </c>
      <c r="AV156" s="2">
        <f>Retailers_Cap!BN158</f>
        <v/>
      </c>
      <c r="AY156" s="64" t="n">
        <v>162</v>
      </c>
      <c r="AZ156" s="2">
        <f>IF(D156=0,"no repl",AB156-AT156)</f>
        <v/>
      </c>
      <c r="BA156" s="2">
        <f>IF(E156=0,"no repl",AC156-AU156)</f>
        <v/>
      </c>
      <c r="BB156" s="2">
        <f>IF(F156=0,"no repl",AD156-AV156)</f>
        <v/>
      </c>
    </row>
    <row r="157">
      <c r="C157" s="64" t="n">
        <v>163</v>
      </c>
      <c r="D157" s="11" t="n">
        <v>259085.5328095119</v>
      </c>
      <c r="E157" s="11" t="n">
        <v>194732.6704305504</v>
      </c>
      <c r="F157" s="11" t="n">
        <v>0</v>
      </c>
      <c r="I157" s="64" t="n">
        <v>163</v>
      </c>
      <c r="J157" s="11" t="n">
        <v>26738.11</v>
      </c>
      <c r="K157" s="11" t="n">
        <v>32045.07</v>
      </c>
      <c r="L157" s="11" t="n">
        <v>133334.53</v>
      </c>
      <c r="O157" s="64" t="n">
        <v>163</v>
      </c>
      <c r="P157" s="11" t="n">
        <v>161259.5362545137</v>
      </c>
      <c r="Q157" s="11" t="n">
        <v>124221.8373727536</v>
      </c>
      <c r="R157" s="11" t="n">
        <v>19386.62517712138</v>
      </c>
      <c r="U157" s="64" t="n">
        <v>163</v>
      </c>
      <c r="V157" s="3">
        <f>J157-P157+D157</f>
        <v/>
      </c>
      <c r="W157" s="3">
        <f>K157-Q157+E157</f>
        <v/>
      </c>
      <c r="X157" s="3">
        <f>L157-R157+F157</f>
        <v/>
      </c>
      <c r="AA157" s="64" t="n">
        <v>163</v>
      </c>
      <c r="AB157" s="2">
        <f>IF(Demand!AU176&gt;Retailers_Cap!N159,(V157/Retailers!P158)/(Demand!AU176-Retailers_Cap!N159),"Inesgotável")</f>
        <v/>
      </c>
      <c r="AC157" s="2">
        <f>IF(Demand!AV176&gt;Retailers_Cap!O159,(W157/Retailers!Q158)/(Demand!AV176-Retailers_Cap!O159),"Inesgotável")</f>
        <v/>
      </c>
      <c r="AD157" s="2">
        <f>IF(Demand!AW176&gt;Retailers_Cap!P159,(X157/Retailers!R158)/(Demand!AW176-Retailers_Cap!P159),"Inesgotável")</f>
        <v/>
      </c>
      <c r="AG157" s="64" t="n">
        <v>163</v>
      </c>
      <c r="AH157" s="64">
        <f>Retailers!AJ158</f>
        <v/>
      </c>
      <c r="AI157" s="64">
        <f>Retailers!AK158</f>
        <v/>
      </c>
      <c r="AJ157" s="64">
        <f>Retailers!AL158</f>
        <v/>
      </c>
      <c r="AM157" s="64" t="n">
        <v>163</v>
      </c>
      <c r="AN157" s="2">
        <f>IF(P157&gt;0,IF(D157=0,"Big stock",AB157/AH157),"Inesgotável")</f>
        <v/>
      </c>
      <c r="AO157" s="2">
        <f>IF(Q157&gt;0,IF(E157=0,"Big stock",AC157/AI157),"Inesgotável")</f>
        <v/>
      </c>
      <c r="AP157" s="2">
        <f>IF(R157&gt;0,IF(F157=0,"Big stock",AD157/AJ157),"Inesgotável")</f>
        <v/>
      </c>
      <c r="AS157" s="64" t="n">
        <v>163</v>
      </c>
      <c r="AT157" s="2">
        <f>Retailers_Cap!BL159</f>
        <v/>
      </c>
      <c r="AU157" s="2">
        <f>Retailers_Cap!BM159</f>
        <v/>
      </c>
      <c r="AV157" s="2">
        <f>Retailers_Cap!BN159</f>
        <v/>
      </c>
      <c r="AY157" s="64" t="n">
        <v>163</v>
      </c>
      <c r="AZ157" s="2">
        <f>IF(D157=0,"no repl",AB157-AT157)</f>
        <v/>
      </c>
      <c r="BA157" s="2">
        <f>IF(E157=0,"no repl",AC157-AU157)</f>
        <v/>
      </c>
      <c r="BB157" s="2">
        <f>IF(F157=0,"no repl",AD157-AV157)</f>
        <v/>
      </c>
    </row>
    <row r="158">
      <c r="C158" s="64" t="n">
        <v>164</v>
      </c>
      <c r="D158" s="11" t="n">
        <v>0</v>
      </c>
      <c r="E158" s="11" t="n">
        <v>169661.9036625639</v>
      </c>
      <c r="F158" s="11" t="n">
        <v>0</v>
      </c>
      <c r="I158" s="64" t="n">
        <v>164</v>
      </c>
      <c r="J158" s="11" t="n">
        <v>18719.91</v>
      </c>
      <c r="K158" s="11" t="n">
        <v>51760.62</v>
      </c>
      <c r="L158" s="11" t="n">
        <v>20901.43</v>
      </c>
      <c r="O158" s="64" t="n">
        <v>164</v>
      </c>
      <c r="P158" s="11" t="n">
        <v>0</v>
      </c>
      <c r="Q158" s="11" t="n">
        <v>97173.52186835423</v>
      </c>
      <c r="R158" s="11" t="n">
        <v>0</v>
      </c>
      <c r="U158" s="64" t="n">
        <v>164</v>
      </c>
      <c r="V158" s="3">
        <f>J158-P158+D158</f>
        <v/>
      </c>
      <c r="W158" s="3">
        <f>K158-Q158+E158</f>
        <v/>
      </c>
      <c r="X158" s="3">
        <f>L158-R158+F158</f>
        <v/>
      </c>
      <c r="AA158" s="64" t="n">
        <v>164</v>
      </c>
      <c r="AB158" s="2">
        <f>IF(Demand!AU177&gt;Retailers_Cap!N160,(V158/Retailers!P159)/(Demand!AU177-Retailers_Cap!N160),"Inesgotável")</f>
        <v/>
      </c>
      <c r="AC158" s="2">
        <f>IF(Demand!AV177&gt;Retailers_Cap!O160,(W158/Retailers!Q159)/(Demand!AV177-Retailers_Cap!O160),"Inesgotável")</f>
        <v/>
      </c>
      <c r="AD158" s="2">
        <f>IF(Demand!AW177&gt;Retailers_Cap!P160,(X158/Retailers!R159)/(Demand!AW177-Retailers_Cap!P160),"Inesgotável")</f>
        <v/>
      </c>
      <c r="AG158" s="64" t="n">
        <v>164</v>
      </c>
      <c r="AH158" s="64">
        <f>Retailers!AJ159</f>
        <v/>
      </c>
      <c r="AI158" s="64">
        <f>Retailers!AK159</f>
        <v/>
      </c>
      <c r="AJ158" s="64">
        <f>Retailers!AL159</f>
        <v/>
      </c>
      <c r="AM158" s="64" t="n">
        <v>164</v>
      </c>
      <c r="AN158" s="2">
        <f>IF(P158&gt;0,IF(D158=0,"Big stock",AB158/AH158),"Inesgotável")</f>
        <v/>
      </c>
      <c r="AO158" s="2">
        <f>IF(Q158&gt;0,IF(E158=0,"Big stock",AC158/AI158),"Inesgotável")</f>
        <v/>
      </c>
      <c r="AP158" s="2">
        <f>IF(R158&gt;0,IF(F158=0,"Big stock",AD158/AJ158),"Inesgotável")</f>
        <v/>
      </c>
      <c r="AS158" s="64" t="n">
        <v>164</v>
      </c>
      <c r="AT158" s="2">
        <f>Retailers_Cap!BL160</f>
        <v/>
      </c>
      <c r="AU158" s="2">
        <f>Retailers_Cap!BM160</f>
        <v/>
      </c>
      <c r="AV158" s="2">
        <f>Retailers_Cap!BN160</f>
        <v/>
      </c>
      <c r="AY158" s="64" t="n">
        <v>164</v>
      </c>
      <c r="AZ158" s="2">
        <f>IF(D158=0,"no repl",AB158-AT158)</f>
        <v/>
      </c>
      <c r="BA158" s="2">
        <f>IF(E158=0,"no repl",AC158-AU158)</f>
        <v/>
      </c>
      <c r="BB158" s="2">
        <f>IF(F158=0,"no repl",AD158-AV158)</f>
        <v/>
      </c>
    </row>
    <row r="159">
      <c r="C159" s="64" t="n">
        <v>165</v>
      </c>
      <c r="D159" s="11" t="n">
        <v>0</v>
      </c>
      <c r="E159" s="11" t="n">
        <v>0</v>
      </c>
      <c r="F159" s="11" t="n">
        <v>0</v>
      </c>
      <c r="I159" s="64" t="n">
        <v>165</v>
      </c>
      <c r="J159" s="11" t="n">
        <v>53524.94</v>
      </c>
      <c r="K159" s="11" t="n">
        <v>47919.60000000001</v>
      </c>
      <c r="L159" s="11" t="n">
        <v>57700.21999999999</v>
      </c>
      <c r="O159" s="64" t="n">
        <v>165</v>
      </c>
      <c r="P159" s="11" t="n">
        <v>0</v>
      </c>
      <c r="Q159" s="11" t="n">
        <v>0</v>
      </c>
      <c r="R159" s="11" t="n">
        <v>0</v>
      </c>
      <c r="U159" s="64" t="n">
        <v>165</v>
      </c>
      <c r="V159" s="3">
        <f>J159-P159+D159</f>
        <v/>
      </c>
      <c r="W159" s="3">
        <f>K159-Q159+E159</f>
        <v/>
      </c>
      <c r="X159" s="3">
        <f>L159-R159+F159</f>
        <v/>
      </c>
      <c r="AA159" s="64" t="n">
        <v>165</v>
      </c>
      <c r="AB159" s="2">
        <f>IF(Demand!AU178&gt;Retailers_Cap!N161,(V159/Retailers!P160)/(Demand!AU178-Retailers_Cap!N161),"Inesgotável")</f>
        <v/>
      </c>
      <c r="AC159" s="2">
        <f>IF(Demand!AV178&gt;Retailers_Cap!O161,(W159/Retailers!Q160)/(Demand!AV178-Retailers_Cap!O161),"Inesgotável")</f>
        <v/>
      </c>
      <c r="AD159" s="2">
        <f>IF(Demand!AW178&gt;Retailers_Cap!P161,(X159/Retailers!R160)/(Demand!AW178-Retailers_Cap!P161),"Inesgotável")</f>
        <v/>
      </c>
      <c r="AG159" s="64" t="n">
        <v>165</v>
      </c>
      <c r="AH159" s="64">
        <f>Retailers!AJ160</f>
        <v/>
      </c>
      <c r="AI159" s="64">
        <f>Retailers!AK160</f>
        <v/>
      </c>
      <c r="AJ159" s="64">
        <f>Retailers!AL160</f>
        <v/>
      </c>
      <c r="AM159" s="64" t="n">
        <v>165</v>
      </c>
      <c r="AN159" s="2">
        <f>IF(P159&gt;0,IF(D159=0,"Big stock",AB159/AH159),"Inesgotável")</f>
        <v/>
      </c>
      <c r="AO159" s="2">
        <f>IF(Q159&gt;0,IF(E159=0,"Big stock",AC159/AI159),"Inesgotável")</f>
        <v/>
      </c>
      <c r="AP159" s="2">
        <f>IF(R159&gt;0,IF(F159=0,"Big stock",AD159/AJ159),"Inesgotável")</f>
        <v/>
      </c>
      <c r="AS159" s="64" t="n">
        <v>165</v>
      </c>
      <c r="AT159" s="2">
        <f>Retailers_Cap!BL161</f>
        <v/>
      </c>
      <c r="AU159" s="2">
        <f>Retailers_Cap!BM161</f>
        <v/>
      </c>
      <c r="AV159" s="2">
        <f>Retailers_Cap!BN161</f>
        <v/>
      </c>
      <c r="AY159" s="64" t="n">
        <v>165</v>
      </c>
      <c r="AZ159" s="2">
        <f>IF(D159=0,"no repl",AB159-AT159)</f>
        <v/>
      </c>
      <c r="BA159" s="2">
        <f>IF(E159=0,"no repl",AC159-AU159)</f>
        <v/>
      </c>
      <c r="BB159" s="2">
        <f>IF(F159=0,"no repl",AD159-AV159)</f>
        <v/>
      </c>
    </row>
    <row r="160">
      <c r="C160" s="64" t="n">
        <v>166</v>
      </c>
      <c r="D160" s="11" t="n">
        <v>67447.98981352727</v>
      </c>
      <c r="E160" s="11" t="n">
        <v>88194.39494253416</v>
      </c>
      <c r="F160" s="11" t="n">
        <v>0</v>
      </c>
      <c r="I160" s="64" t="n">
        <v>166</v>
      </c>
      <c r="J160" s="11" t="n">
        <v>27764.88</v>
      </c>
      <c r="K160" s="11" t="n">
        <v>44053.22</v>
      </c>
      <c r="L160" s="11" t="n">
        <v>14563.8</v>
      </c>
      <c r="O160" s="64" t="n">
        <v>166</v>
      </c>
      <c r="P160" s="11" t="n">
        <v>39510.09788820728</v>
      </c>
      <c r="Q160" s="11" t="n">
        <v>55986.12466411943</v>
      </c>
      <c r="R160" s="11" t="n">
        <v>0</v>
      </c>
      <c r="U160" s="64" t="n">
        <v>166</v>
      </c>
      <c r="V160" s="3">
        <f>J160-P160+D160</f>
        <v/>
      </c>
      <c r="W160" s="3">
        <f>K160-Q160+E160</f>
        <v/>
      </c>
      <c r="X160" s="3">
        <f>L160-R160+F160</f>
        <v/>
      </c>
      <c r="AA160" s="64" t="n">
        <v>166</v>
      </c>
      <c r="AB160" s="2">
        <f>IF(Demand!AU179&gt;Retailers_Cap!N162,(V160/Retailers!P161)/(Demand!AU179-Retailers_Cap!N162),"Inesgotável")</f>
        <v/>
      </c>
      <c r="AC160" s="2">
        <f>IF(Demand!AV179&gt;Retailers_Cap!O162,(W160/Retailers!Q161)/(Demand!AV179-Retailers_Cap!O162),"Inesgotável")</f>
        <v/>
      </c>
      <c r="AD160" s="2">
        <f>IF(Demand!AW179&gt;Retailers_Cap!P162,(X160/Retailers!R161)/(Demand!AW179-Retailers_Cap!P162),"Inesgotável")</f>
        <v/>
      </c>
      <c r="AG160" s="64" t="n">
        <v>166</v>
      </c>
      <c r="AH160" s="64">
        <f>Retailers!AJ161</f>
        <v/>
      </c>
      <c r="AI160" s="64">
        <f>Retailers!AK161</f>
        <v/>
      </c>
      <c r="AJ160" s="64">
        <f>Retailers!AL161</f>
        <v/>
      </c>
      <c r="AM160" s="64" t="n">
        <v>166</v>
      </c>
      <c r="AN160" s="2">
        <f>IF(P160&gt;0,IF(D160=0,"Big stock",AB160/AH160),"Inesgotável")</f>
        <v/>
      </c>
      <c r="AO160" s="2">
        <f>IF(Q160&gt;0,IF(E160=0,"Big stock",AC160/AI160),"Inesgotável")</f>
        <v/>
      </c>
      <c r="AP160" s="2">
        <f>IF(R160&gt;0,IF(F160=0,"Big stock",AD160/AJ160),"Inesgotável")</f>
        <v/>
      </c>
      <c r="AS160" s="64" t="n">
        <v>166</v>
      </c>
      <c r="AT160" s="2">
        <f>Retailers_Cap!BL162</f>
        <v/>
      </c>
      <c r="AU160" s="2">
        <f>Retailers_Cap!BM162</f>
        <v/>
      </c>
      <c r="AV160" s="2">
        <f>Retailers_Cap!BN162</f>
        <v/>
      </c>
      <c r="AY160" s="64" t="n">
        <v>166</v>
      </c>
      <c r="AZ160" s="2">
        <f>IF(D160=0,"no repl",AB160-AT160)</f>
        <v/>
      </c>
      <c r="BA160" s="2">
        <f>IF(E160=0,"no repl",AC160-AU160)</f>
        <v/>
      </c>
      <c r="BB160" s="2">
        <f>IF(F160=0,"no repl",AD160-AV160)</f>
        <v/>
      </c>
    </row>
    <row r="161">
      <c r="C161" s="64" t="n">
        <v>167</v>
      </c>
      <c r="D161" s="11" t="n">
        <v>0</v>
      </c>
      <c r="E161" s="11" t="n">
        <v>0</v>
      </c>
      <c r="F161" s="11" t="n">
        <v>591148.7252264435</v>
      </c>
      <c r="I161" s="64" t="n">
        <v>167</v>
      </c>
      <c r="J161" s="11" t="n">
        <v>21444.15</v>
      </c>
      <c r="K161" s="11" t="n">
        <v>74833.2</v>
      </c>
      <c r="L161" s="11" t="n">
        <v>65110.54</v>
      </c>
      <c r="O161" s="64" t="n">
        <v>167</v>
      </c>
      <c r="P161" s="11" t="n">
        <v>0</v>
      </c>
      <c r="Q161" s="11" t="n">
        <v>0</v>
      </c>
      <c r="R161" s="11" t="n">
        <v>351594.2859862499</v>
      </c>
      <c r="U161" s="64" t="n">
        <v>167</v>
      </c>
      <c r="V161" s="3">
        <f>J161-P161+D161</f>
        <v/>
      </c>
      <c r="W161" s="3">
        <f>K161-Q161+E161</f>
        <v/>
      </c>
      <c r="X161" s="3">
        <f>L161-R161+F161</f>
        <v/>
      </c>
      <c r="AA161" s="64" t="n">
        <v>167</v>
      </c>
      <c r="AB161" s="2">
        <f>IF(Demand!AU180&gt;Retailers_Cap!N163,(V161/Retailers!P162)/(Demand!AU180-Retailers_Cap!N163),"Inesgotável")</f>
        <v/>
      </c>
      <c r="AC161" s="2">
        <f>IF(Demand!AV180&gt;Retailers_Cap!O163,(W161/Retailers!Q162)/(Demand!AV180-Retailers_Cap!O163),"Inesgotável")</f>
        <v/>
      </c>
      <c r="AD161" s="2">
        <f>IF(Demand!AW180&gt;Retailers_Cap!P163,(X161/Retailers!R162)/(Demand!AW180-Retailers_Cap!P163),"Inesgotável")</f>
        <v/>
      </c>
      <c r="AG161" s="64" t="n">
        <v>167</v>
      </c>
      <c r="AH161" s="64">
        <f>Retailers!AJ162</f>
        <v/>
      </c>
      <c r="AI161" s="64">
        <f>Retailers!AK162</f>
        <v/>
      </c>
      <c r="AJ161" s="64">
        <f>Retailers!AL162</f>
        <v/>
      </c>
      <c r="AM161" s="64" t="n">
        <v>167</v>
      </c>
      <c r="AN161" s="2">
        <f>IF(P161&gt;0,IF(D161=0,"Big stock",AB161/AH161),"Inesgotável")</f>
        <v/>
      </c>
      <c r="AO161" s="2">
        <f>IF(Q161&gt;0,IF(E161=0,"Big stock",AC161/AI161),"Inesgotável")</f>
        <v/>
      </c>
      <c r="AP161" s="2">
        <f>IF(R161&gt;0,IF(F161=0,"Big stock",AD161/AJ161),"Inesgotável")</f>
        <v/>
      </c>
      <c r="AS161" s="64" t="n">
        <v>167</v>
      </c>
      <c r="AT161" s="2">
        <f>Retailers_Cap!BL163</f>
        <v/>
      </c>
      <c r="AU161" s="2">
        <f>Retailers_Cap!BM163</f>
        <v/>
      </c>
      <c r="AV161" s="2">
        <f>Retailers_Cap!BN163</f>
        <v/>
      </c>
      <c r="AY161" s="64" t="n">
        <v>167</v>
      </c>
      <c r="AZ161" s="2">
        <f>IF(D161=0,"no repl",AB161-AT161)</f>
        <v/>
      </c>
      <c r="BA161" s="2">
        <f>IF(E161=0,"no repl",AC161-AU161)</f>
        <v/>
      </c>
      <c r="BB161" s="2">
        <f>IF(F161=0,"no repl",AD161-AV161)</f>
        <v/>
      </c>
    </row>
    <row r="162">
      <c r="C162" s="64" t="n">
        <v>168</v>
      </c>
      <c r="D162" s="11" t="n">
        <v>0</v>
      </c>
      <c r="E162" s="11" t="n">
        <v>0</v>
      </c>
      <c r="F162" s="11" t="n">
        <v>121727.0334520955</v>
      </c>
      <c r="I162" s="64" t="n">
        <v>168</v>
      </c>
      <c r="J162" s="11" t="n">
        <v>69144.63</v>
      </c>
      <c r="K162" s="11" t="n">
        <v>59969.14999999999</v>
      </c>
      <c r="L162" s="11" t="n">
        <v>17620.84</v>
      </c>
      <c r="O162" s="64" t="n">
        <v>168</v>
      </c>
      <c r="P162" s="11" t="n">
        <v>0</v>
      </c>
      <c r="Q162" s="11" t="n">
        <v>0</v>
      </c>
      <c r="R162" s="11" t="n">
        <v>77796.25194999538</v>
      </c>
      <c r="U162" s="64" t="n">
        <v>168</v>
      </c>
      <c r="V162" s="3">
        <f>J162-P162+D162</f>
        <v/>
      </c>
      <c r="W162" s="3">
        <f>K162-Q162+E162</f>
        <v/>
      </c>
      <c r="X162" s="3">
        <f>L162-R162+F162</f>
        <v/>
      </c>
      <c r="AA162" s="64" t="n">
        <v>168</v>
      </c>
      <c r="AB162" s="2">
        <f>IF(Demand!AU181&gt;Retailers_Cap!N164,(V162/Retailers!P163)/(Demand!AU181-Retailers_Cap!N164),"Inesgotável")</f>
        <v/>
      </c>
      <c r="AC162" s="2">
        <f>IF(Demand!AV181&gt;Retailers_Cap!O164,(W162/Retailers!Q163)/(Demand!AV181-Retailers_Cap!O164),"Inesgotável")</f>
        <v/>
      </c>
      <c r="AD162" s="2">
        <f>IF(Demand!AW181&gt;Retailers_Cap!P164,(X162/Retailers!R163)/(Demand!AW181-Retailers_Cap!P164),"Inesgotável")</f>
        <v/>
      </c>
      <c r="AG162" s="64" t="n">
        <v>168</v>
      </c>
      <c r="AH162" s="64">
        <f>Retailers!AJ163</f>
        <v/>
      </c>
      <c r="AI162" s="64">
        <f>Retailers!AK163</f>
        <v/>
      </c>
      <c r="AJ162" s="64">
        <f>Retailers!AL163</f>
        <v/>
      </c>
      <c r="AM162" s="64" t="n">
        <v>168</v>
      </c>
      <c r="AN162" s="2">
        <f>IF(P162&gt;0,IF(D162=0,"Big stock",AB162/AH162),"Inesgotável")</f>
        <v/>
      </c>
      <c r="AO162" s="2">
        <f>IF(Q162&gt;0,IF(E162=0,"Big stock",AC162/AI162),"Inesgotável")</f>
        <v/>
      </c>
      <c r="AP162" s="2">
        <f>IF(R162&gt;0,IF(F162=0,"Big stock",AD162/AJ162),"Inesgotável")</f>
        <v/>
      </c>
      <c r="AS162" s="64" t="n">
        <v>168</v>
      </c>
      <c r="AT162" s="2">
        <f>Retailers_Cap!BL164</f>
        <v/>
      </c>
      <c r="AU162" s="2">
        <f>Retailers_Cap!BM164</f>
        <v/>
      </c>
      <c r="AV162" s="2">
        <f>Retailers_Cap!BN164</f>
        <v/>
      </c>
      <c r="AY162" s="64" t="n">
        <v>168</v>
      </c>
      <c r="AZ162" s="2">
        <f>IF(D162=0,"no repl",AB162-AT162)</f>
        <v/>
      </c>
      <c r="BA162" s="2">
        <f>IF(E162=0,"no repl",AC162-AU162)</f>
        <v/>
      </c>
      <c r="BB162" s="2">
        <f>IF(F162=0,"no repl",AD162-AV162)</f>
        <v/>
      </c>
    </row>
    <row r="163">
      <c r="C163" s="64" t="n">
        <v>169</v>
      </c>
      <c r="D163" s="11" t="n">
        <v>68798.3821704935</v>
      </c>
      <c r="E163" s="11" t="n">
        <v>0</v>
      </c>
      <c r="F163" s="11" t="n">
        <v>84668.80934326848</v>
      </c>
      <c r="I163" s="64" t="n">
        <v>169</v>
      </c>
      <c r="J163" s="11" t="n">
        <v>30128.56</v>
      </c>
      <c r="K163" s="11" t="n">
        <v>108525.11</v>
      </c>
      <c r="L163" s="11" t="n">
        <v>3225.8</v>
      </c>
      <c r="O163" s="64" t="n">
        <v>169</v>
      </c>
      <c r="P163" s="11" t="n">
        <v>38956.31994314417</v>
      </c>
      <c r="Q163" s="11" t="n">
        <v>30919.66247483377</v>
      </c>
      <c r="R163" s="11" t="n">
        <v>55954.91613508641</v>
      </c>
      <c r="U163" s="64" t="n">
        <v>169</v>
      </c>
      <c r="V163" s="3">
        <f>J163-P163+D163</f>
        <v/>
      </c>
      <c r="W163" s="3">
        <f>K163-Q163+E163</f>
        <v/>
      </c>
      <c r="X163" s="3">
        <f>L163-R163+F163</f>
        <v/>
      </c>
      <c r="AA163" s="64" t="n">
        <v>169</v>
      </c>
      <c r="AB163" s="2">
        <f>IF(Demand!AU182&gt;Retailers_Cap!N165,(V163/Retailers!P164)/(Demand!AU182-Retailers_Cap!N165),"Inesgotável")</f>
        <v/>
      </c>
      <c r="AC163" s="2">
        <f>IF(Demand!AV182&gt;Retailers_Cap!O165,(W163/Retailers!Q164)/(Demand!AV182-Retailers_Cap!O165),"Inesgotável")</f>
        <v/>
      </c>
      <c r="AD163" s="2">
        <f>IF(Demand!AW182&gt;Retailers_Cap!P165,(X163/Retailers!R164)/(Demand!AW182-Retailers_Cap!P165),"Inesgotável")</f>
        <v/>
      </c>
      <c r="AG163" s="64" t="n">
        <v>169</v>
      </c>
      <c r="AH163" s="64">
        <f>Retailers!AJ164</f>
        <v/>
      </c>
      <c r="AI163" s="64">
        <f>Retailers!AK164</f>
        <v/>
      </c>
      <c r="AJ163" s="64">
        <f>Retailers!AL164</f>
        <v/>
      </c>
      <c r="AM163" s="64" t="n">
        <v>169</v>
      </c>
      <c r="AN163" s="2">
        <f>IF(P163&gt;0,IF(D163=0,"Big stock",AB163/AH163),"Inesgotável")</f>
        <v/>
      </c>
      <c r="AO163" s="2">
        <f>IF(Q163&gt;0,IF(E163=0,"Big stock",AC163/AI163),"Inesgotável")</f>
        <v/>
      </c>
      <c r="AP163" s="2">
        <f>IF(R163&gt;0,IF(F163=0,"Big stock",AD163/AJ163),"Inesgotável")</f>
        <v/>
      </c>
      <c r="AS163" s="64" t="n">
        <v>169</v>
      </c>
      <c r="AT163" s="2">
        <f>Retailers_Cap!BL165</f>
        <v/>
      </c>
      <c r="AU163" s="2">
        <f>Retailers_Cap!BM165</f>
        <v/>
      </c>
      <c r="AV163" s="2">
        <f>Retailers_Cap!BN165</f>
        <v/>
      </c>
      <c r="AY163" s="64" t="n">
        <v>169</v>
      </c>
      <c r="AZ163" s="2">
        <f>IF(D163=0,"no repl",AB163-AT163)</f>
        <v/>
      </c>
      <c r="BA163" s="2">
        <f>IF(E163=0,"no repl",AC163-AU163)</f>
        <v/>
      </c>
      <c r="BB163" s="2">
        <f>IF(F163=0,"no repl",AD163-AV163)</f>
        <v/>
      </c>
    </row>
    <row r="164">
      <c r="C164" s="64" t="n">
        <v>170</v>
      </c>
      <c r="D164" s="11" t="n">
        <v>0</v>
      </c>
      <c r="E164" s="11" t="n">
        <v>0</v>
      </c>
      <c r="F164" s="11" t="n">
        <v>555181.449979863</v>
      </c>
      <c r="I164" s="64" t="n">
        <v>170</v>
      </c>
      <c r="J164" s="11" t="n">
        <v>33258.52</v>
      </c>
      <c r="K164" s="11" t="n">
        <v>122574.42</v>
      </c>
      <c r="L164" s="11" t="n">
        <v>37314.3</v>
      </c>
      <c r="O164" s="64" t="n">
        <v>170</v>
      </c>
      <c r="P164" s="11" t="n">
        <v>0</v>
      </c>
      <c r="Q164" s="11" t="n">
        <v>31021.78657540653</v>
      </c>
      <c r="R164" s="11" t="n">
        <v>316527.1892679149</v>
      </c>
      <c r="U164" s="64" t="n">
        <v>170</v>
      </c>
      <c r="V164" s="3">
        <f>J164-P164+D164</f>
        <v/>
      </c>
      <c r="W164" s="3">
        <f>K164-Q164+E164</f>
        <v/>
      </c>
      <c r="X164" s="3">
        <f>L164-R164+F164</f>
        <v/>
      </c>
      <c r="AA164" s="64" t="n">
        <v>170</v>
      </c>
      <c r="AB164" s="2">
        <f>IF(Demand!AU183&gt;Retailers_Cap!N166,(V164/Retailers!P165)/(Demand!AU183-Retailers_Cap!N166),"Inesgotável")</f>
        <v/>
      </c>
      <c r="AC164" s="2">
        <f>IF(Demand!AV183&gt;Retailers_Cap!O166,(W164/Retailers!Q165)/(Demand!AV183-Retailers_Cap!O166),"Inesgotável")</f>
        <v/>
      </c>
      <c r="AD164" s="2">
        <f>IF(Demand!AW183&gt;Retailers_Cap!P166,(X164/Retailers!R165)/(Demand!AW183-Retailers_Cap!P166),"Inesgotável")</f>
        <v/>
      </c>
      <c r="AG164" s="64" t="n">
        <v>170</v>
      </c>
      <c r="AH164" s="64">
        <f>Retailers!AJ165</f>
        <v/>
      </c>
      <c r="AI164" s="64">
        <f>Retailers!AK165</f>
        <v/>
      </c>
      <c r="AJ164" s="64">
        <f>Retailers!AL165</f>
        <v/>
      </c>
      <c r="AM164" s="64" t="n">
        <v>170</v>
      </c>
      <c r="AN164" s="2">
        <f>IF(P164&gt;0,IF(D164=0,"Big stock",AB164/AH164),"Inesgotável")</f>
        <v/>
      </c>
      <c r="AO164" s="2">
        <f>IF(Q164&gt;0,IF(E164=0,"Big stock",AC164/AI164),"Inesgotável")</f>
        <v/>
      </c>
      <c r="AP164" s="2">
        <f>IF(R164&gt;0,IF(F164=0,"Big stock",AD164/AJ164),"Inesgotável")</f>
        <v/>
      </c>
      <c r="AS164" s="64" t="n">
        <v>170</v>
      </c>
      <c r="AT164" s="2">
        <f>Retailers_Cap!BL166</f>
        <v/>
      </c>
      <c r="AU164" s="2">
        <f>Retailers_Cap!BM166</f>
        <v/>
      </c>
      <c r="AV164" s="2">
        <f>Retailers_Cap!BN166</f>
        <v/>
      </c>
      <c r="AY164" s="64" t="n">
        <v>170</v>
      </c>
      <c r="AZ164" s="2">
        <f>IF(D164=0,"no repl",AB164-AT164)</f>
        <v/>
      </c>
      <c r="BA164" s="2">
        <f>IF(E164=0,"no repl",AC164-AU164)</f>
        <v/>
      </c>
      <c r="BB164" s="2">
        <f>IF(F164=0,"no repl",AD164-AV164)</f>
        <v/>
      </c>
    </row>
    <row r="165">
      <c r="C165" s="64" t="n">
        <v>171</v>
      </c>
      <c r="D165" s="11" t="n">
        <v>197007.8086279865</v>
      </c>
      <c r="E165" s="11" t="n">
        <v>218125.0959856942</v>
      </c>
      <c r="F165" s="11" t="n">
        <v>0</v>
      </c>
      <c r="I165" s="64" t="n">
        <v>171</v>
      </c>
      <c r="J165" s="11" t="n">
        <v>9588.35</v>
      </c>
      <c r="K165" s="11" t="n">
        <v>35217.73</v>
      </c>
      <c r="L165" s="11" t="n">
        <v>31083.33</v>
      </c>
      <c r="O165" s="64" t="n">
        <v>171</v>
      </c>
      <c r="P165" s="11" t="n">
        <v>116017.9300272113</v>
      </c>
      <c r="Q165" s="11" t="n">
        <v>129704.1413840052</v>
      </c>
      <c r="R165" s="11" t="n">
        <v>0</v>
      </c>
      <c r="U165" s="64" t="n">
        <v>171</v>
      </c>
      <c r="V165" s="3">
        <f>J165-P165+D165</f>
        <v/>
      </c>
      <c r="W165" s="3">
        <f>K165-Q165+E165</f>
        <v/>
      </c>
      <c r="X165" s="3">
        <f>L165-R165+F165</f>
        <v/>
      </c>
      <c r="AA165" s="64" t="n">
        <v>171</v>
      </c>
      <c r="AB165" s="2">
        <f>IF(Demand!AU184&gt;Retailers_Cap!N167,(V165/Retailers!P166)/(Demand!AU184-Retailers_Cap!N167),"Inesgotável")</f>
        <v/>
      </c>
      <c r="AC165" s="2">
        <f>IF(Demand!AV184&gt;Retailers_Cap!O167,(W165/Retailers!Q166)/(Demand!AV184-Retailers_Cap!O167),"Inesgotável")</f>
        <v/>
      </c>
      <c r="AD165" s="2">
        <f>IF(Demand!AW184&gt;Retailers_Cap!P167,(X165/Retailers!R166)/(Demand!AW184-Retailers_Cap!P167),"Inesgotável")</f>
        <v/>
      </c>
      <c r="AG165" s="64" t="n">
        <v>171</v>
      </c>
      <c r="AH165" s="64">
        <f>Retailers!AJ166</f>
        <v/>
      </c>
      <c r="AI165" s="64">
        <f>Retailers!AK166</f>
        <v/>
      </c>
      <c r="AJ165" s="64">
        <f>Retailers!AL166</f>
        <v/>
      </c>
      <c r="AM165" s="64" t="n">
        <v>171</v>
      </c>
      <c r="AN165" s="2">
        <f>IF(P165&gt;0,IF(D165=0,"Big stock",AB165/AH165),"Inesgotável")</f>
        <v/>
      </c>
      <c r="AO165" s="2">
        <f>IF(Q165&gt;0,IF(E165=0,"Big stock",AC165/AI165),"Inesgotável")</f>
        <v/>
      </c>
      <c r="AP165" s="2">
        <f>IF(R165&gt;0,IF(F165=0,"Big stock",AD165/AJ165),"Inesgotável")</f>
        <v/>
      </c>
      <c r="AS165" s="64" t="n">
        <v>171</v>
      </c>
      <c r="AT165" s="2">
        <f>Retailers_Cap!BL167</f>
        <v/>
      </c>
      <c r="AU165" s="2">
        <f>Retailers_Cap!BM167</f>
        <v/>
      </c>
      <c r="AV165" s="2">
        <f>Retailers_Cap!BN167</f>
        <v/>
      </c>
      <c r="AY165" s="64" t="n">
        <v>171</v>
      </c>
      <c r="AZ165" s="2">
        <f>IF(D165=0,"no repl",AB165-AT165)</f>
        <v/>
      </c>
      <c r="BA165" s="2">
        <f>IF(E165=0,"no repl",AC165-AU165)</f>
        <v/>
      </c>
      <c r="BB165" s="2">
        <f>IF(F165=0,"no repl",AD165-AV165)</f>
        <v/>
      </c>
    </row>
    <row r="166">
      <c r="C166" s="64" t="n">
        <v>172</v>
      </c>
      <c r="D166" s="11" t="n">
        <v>0</v>
      </c>
      <c r="E166" s="11" t="n">
        <v>186099.153133331</v>
      </c>
      <c r="F166" s="11" t="n">
        <v>0</v>
      </c>
      <c r="I166" s="64" t="n">
        <v>172</v>
      </c>
      <c r="J166" s="11" t="n">
        <v>21789.15</v>
      </c>
      <c r="K166" s="11" t="n">
        <v>142204.42</v>
      </c>
      <c r="L166" s="11" t="n">
        <v>37045.9</v>
      </c>
      <c r="O166" s="64" t="n">
        <v>172</v>
      </c>
      <c r="P166" s="11" t="n">
        <v>0</v>
      </c>
      <c r="Q166" s="11" t="n">
        <v>120208.1086302742</v>
      </c>
      <c r="R166" s="11" t="n">
        <v>0</v>
      </c>
      <c r="U166" s="64" t="n">
        <v>172</v>
      </c>
      <c r="V166" s="3">
        <f>J166-P166+D166</f>
        <v/>
      </c>
      <c r="W166" s="3">
        <f>K166-Q166+E166</f>
        <v/>
      </c>
      <c r="X166" s="3">
        <f>L166-R166+F166</f>
        <v/>
      </c>
      <c r="AA166" s="64" t="n">
        <v>172</v>
      </c>
      <c r="AB166" s="2">
        <f>IF(Demand!AU185&gt;Retailers_Cap!N168,(V166/Retailers!P167)/(Demand!AU185-Retailers_Cap!N168),"Inesgotável")</f>
        <v/>
      </c>
      <c r="AC166" s="2">
        <f>IF(Demand!AV185&gt;Retailers_Cap!O168,(W166/Retailers!Q167)/(Demand!AV185-Retailers_Cap!O168),"Inesgotável")</f>
        <v/>
      </c>
      <c r="AD166" s="2">
        <f>IF(Demand!AW185&gt;Retailers_Cap!P168,(X166/Retailers!R167)/(Demand!AW185-Retailers_Cap!P168),"Inesgotável")</f>
        <v/>
      </c>
      <c r="AG166" s="64" t="n">
        <v>172</v>
      </c>
      <c r="AH166" s="64">
        <f>Retailers!AJ167</f>
        <v/>
      </c>
      <c r="AI166" s="64">
        <f>Retailers!AK167</f>
        <v/>
      </c>
      <c r="AJ166" s="64">
        <f>Retailers!AL167</f>
        <v/>
      </c>
      <c r="AM166" s="64" t="n">
        <v>172</v>
      </c>
      <c r="AN166" s="2">
        <f>IF(P166&gt;0,IF(D166=0,"Big stock",AB166/AH166),"Inesgotável")</f>
        <v/>
      </c>
      <c r="AO166" s="2">
        <f>IF(Q166&gt;0,IF(E166=0,"Big stock",AC166/AI166),"Inesgotável")</f>
        <v/>
      </c>
      <c r="AP166" s="2">
        <f>IF(R166&gt;0,IF(F166=0,"Big stock",AD166/AJ166),"Inesgotável")</f>
        <v/>
      </c>
      <c r="AS166" s="64" t="n">
        <v>172</v>
      </c>
      <c r="AT166" s="2">
        <f>Retailers_Cap!BL168</f>
        <v/>
      </c>
      <c r="AU166" s="2">
        <f>Retailers_Cap!BM168</f>
        <v/>
      </c>
      <c r="AV166" s="2">
        <f>Retailers_Cap!BN168</f>
        <v/>
      </c>
      <c r="AY166" s="64" t="n">
        <v>172</v>
      </c>
      <c r="AZ166" s="2">
        <f>IF(D166=0,"no repl",AB166-AT166)</f>
        <v/>
      </c>
      <c r="BA166" s="2">
        <f>IF(E166=0,"no repl",AC166-AU166)</f>
        <v/>
      </c>
      <c r="BB166" s="2">
        <f>IF(F166=0,"no repl",AD166-AV166)</f>
        <v/>
      </c>
    </row>
    <row r="167">
      <c r="C167" s="64" t="n">
        <v>173</v>
      </c>
      <c r="D167" s="11" t="n">
        <v>25636.68129207863</v>
      </c>
      <c r="E167" s="11" t="n">
        <v>0</v>
      </c>
      <c r="F167" s="11" t="n">
        <v>0</v>
      </c>
      <c r="I167" s="64" t="n">
        <v>173</v>
      </c>
      <c r="J167" s="11" t="n">
        <v>25332.48</v>
      </c>
      <c r="K167" s="11" t="n">
        <v>19036.92</v>
      </c>
      <c r="L167" s="11" t="n">
        <v>32938.1</v>
      </c>
      <c r="O167" s="64" t="n">
        <v>173</v>
      </c>
      <c r="P167" s="11" t="n">
        <v>14291.25434178982</v>
      </c>
      <c r="Q167" s="11" t="n">
        <v>0</v>
      </c>
      <c r="R167" s="11" t="n">
        <v>0</v>
      </c>
      <c r="U167" s="64" t="n">
        <v>173</v>
      </c>
      <c r="V167" s="3">
        <f>J167-P167+D167</f>
        <v/>
      </c>
      <c r="W167" s="3">
        <f>K167-Q167+E167</f>
        <v/>
      </c>
      <c r="X167" s="3">
        <f>L167-R167+F167</f>
        <v/>
      </c>
      <c r="AA167" s="64" t="n">
        <v>173</v>
      </c>
      <c r="AB167" s="2">
        <f>IF(Demand!AU186&gt;Retailers_Cap!N169,(V167/Retailers!P168)/(Demand!AU186-Retailers_Cap!N169),"Inesgotável")</f>
        <v/>
      </c>
      <c r="AC167" s="2">
        <f>IF(Demand!AV186&gt;Retailers_Cap!O169,(W167/Retailers!Q168)/(Demand!AV186-Retailers_Cap!O169),"Inesgotável")</f>
        <v/>
      </c>
      <c r="AD167" s="2">
        <f>IF(Demand!AW186&gt;Retailers_Cap!P169,(X167/Retailers!R168)/(Demand!AW186-Retailers_Cap!P169),"Inesgotável")</f>
        <v/>
      </c>
      <c r="AG167" s="64" t="n">
        <v>173</v>
      </c>
      <c r="AH167" s="64">
        <f>Retailers!AJ168</f>
        <v/>
      </c>
      <c r="AI167" s="64">
        <f>Retailers!AK168</f>
        <v/>
      </c>
      <c r="AJ167" s="64">
        <f>Retailers!AL168</f>
        <v/>
      </c>
      <c r="AM167" s="64" t="n">
        <v>173</v>
      </c>
      <c r="AN167" s="2">
        <f>IF(P167&gt;0,IF(D167=0,"Big stock",AB167/AH167),"Inesgotável")</f>
        <v/>
      </c>
      <c r="AO167" s="2">
        <f>IF(Q167&gt;0,IF(E167=0,"Big stock",AC167/AI167),"Inesgotável")</f>
        <v/>
      </c>
      <c r="AP167" s="2">
        <f>IF(R167&gt;0,IF(F167=0,"Big stock",AD167/AJ167),"Inesgotável")</f>
        <v/>
      </c>
      <c r="AS167" s="64" t="n">
        <v>173</v>
      </c>
      <c r="AT167" s="2">
        <f>Retailers_Cap!BL169</f>
        <v/>
      </c>
      <c r="AU167" s="2">
        <f>Retailers_Cap!BM169</f>
        <v/>
      </c>
      <c r="AV167" s="2">
        <f>Retailers_Cap!BN169</f>
        <v/>
      </c>
      <c r="AY167" s="64" t="n">
        <v>173</v>
      </c>
      <c r="AZ167" s="2">
        <f>IF(D167=0,"no repl",AB167-AT167)</f>
        <v/>
      </c>
      <c r="BA167" s="2">
        <f>IF(E167=0,"no repl",AC167-AU167)</f>
        <v/>
      </c>
      <c r="BB167" s="2">
        <f>IF(F167=0,"no repl",AD167-AV167)</f>
        <v/>
      </c>
    </row>
    <row r="168">
      <c r="C168" s="64" t="n">
        <v>174</v>
      </c>
      <c r="D168" s="11" t="n">
        <v>0</v>
      </c>
      <c r="E168" s="11" t="n">
        <v>0</v>
      </c>
      <c r="F168" s="11" t="n">
        <v>0</v>
      </c>
      <c r="I168" s="64" t="n">
        <v>174</v>
      </c>
      <c r="J168" s="11" t="n">
        <v>33790.5</v>
      </c>
      <c r="K168" s="11" t="n">
        <v>129931.76</v>
      </c>
      <c r="L168" s="11" t="n">
        <v>75309.78</v>
      </c>
      <c r="O168" s="64" t="n">
        <v>174</v>
      </c>
      <c r="P168" s="11" t="n">
        <v>0</v>
      </c>
      <c r="Q168" s="11" t="n">
        <v>0</v>
      </c>
      <c r="R168" s="11" t="n">
        <v>0</v>
      </c>
      <c r="U168" s="64" t="n">
        <v>174</v>
      </c>
      <c r="V168" s="3">
        <f>J168-P168+D168</f>
        <v/>
      </c>
      <c r="W168" s="3">
        <f>K168-Q168+E168</f>
        <v/>
      </c>
      <c r="X168" s="3">
        <f>L168-R168+F168</f>
        <v/>
      </c>
      <c r="AA168" s="64" t="n">
        <v>174</v>
      </c>
      <c r="AB168" s="2">
        <f>IF(Demand!AU187&gt;Retailers_Cap!N170,(V168/Retailers!P169)/(Demand!AU187-Retailers_Cap!N170),"Inesgotável")</f>
        <v/>
      </c>
      <c r="AC168" s="2">
        <f>IF(Demand!AV187&gt;Retailers_Cap!O170,(W168/Retailers!Q169)/(Demand!AV187-Retailers_Cap!O170),"Inesgotável")</f>
        <v/>
      </c>
      <c r="AD168" s="2">
        <f>IF(Demand!AW187&gt;Retailers_Cap!P170,(X168/Retailers!R169)/(Demand!AW187-Retailers_Cap!P170),"Inesgotável")</f>
        <v/>
      </c>
      <c r="AG168" s="64" t="n">
        <v>174</v>
      </c>
      <c r="AH168" s="64">
        <f>Retailers!AJ169</f>
        <v/>
      </c>
      <c r="AI168" s="64">
        <f>Retailers!AK169</f>
        <v/>
      </c>
      <c r="AJ168" s="64">
        <f>Retailers!AL169</f>
        <v/>
      </c>
      <c r="AM168" s="64" t="n">
        <v>174</v>
      </c>
      <c r="AN168" s="2">
        <f>IF(P168&gt;0,IF(D168=0,"Big stock",AB168/AH168),"Inesgotável")</f>
        <v/>
      </c>
      <c r="AO168" s="2">
        <f>IF(Q168&gt;0,IF(E168=0,"Big stock",AC168/AI168),"Inesgotável")</f>
        <v/>
      </c>
      <c r="AP168" s="2">
        <f>IF(R168&gt;0,IF(F168=0,"Big stock",AD168/AJ168),"Inesgotável")</f>
        <v/>
      </c>
      <c r="AS168" s="64" t="n">
        <v>174</v>
      </c>
      <c r="AT168" s="2">
        <f>Retailers_Cap!BL170</f>
        <v/>
      </c>
      <c r="AU168" s="2">
        <f>Retailers_Cap!BM170</f>
        <v/>
      </c>
      <c r="AV168" s="2">
        <f>Retailers_Cap!BN170</f>
        <v/>
      </c>
      <c r="AY168" s="64" t="n">
        <v>174</v>
      </c>
      <c r="AZ168" s="2">
        <f>IF(D168=0,"no repl",AB168-AT168)</f>
        <v/>
      </c>
      <c r="BA168" s="2">
        <f>IF(E168=0,"no repl",AC168-AU168)</f>
        <v/>
      </c>
      <c r="BB168" s="2">
        <f>IF(F168=0,"no repl",AD168-AV168)</f>
        <v/>
      </c>
    </row>
    <row r="169">
      <c r="C169" s="64" t="n">
        <v>175</v>
      </c>
      <c r="D169" s="11" t="n">
        <v>0</v>
      </c>
      <c r="E169" s="11" t="n">
        <v>0</v>
      </c>
      <c r="F169" s="11" t="n">
        <v>0</v>
      </c>
      <c r="I169" s="64" t="n">
        <v>175</v>
      </c>
      <c r="J169" s="11" t="n">
        <v>77188.49000000001</v>
      </c>
      <c r="K169" s="11" t="n">
        <v>13846.84</v>
      </c>
      <c r="L169" s="11" t="n">
        <v>75925.44</v>
      </c>
      <c r="O169" s="64" t="n">
        <v>175</v>
      </c>
      <c r="P169" s="11" t="n">
        <v>0</v>
      </c>
      <c r="Q169" s="11" t="n">
        <v>0</v>
      </c>
      <c r="R169" s="11" t="n">
        <v>0</v>
      </c>
      <c r="U169" s="64" t="n">
        <v>175</v>
      </c>
      <c r="V169" s="3">
        <f>J169-P169+D169</f>
        <v/>
      </c>
      <c r="W169" s="3">
        <f>K169-Q169+E169</f>
        <v/>
      </c>
      <c r="X169" s="3">
        <f>L169-R169+F169</f>
        <v/>
      </c>
      <c r="AA169" s="64" t="n">
        <v>175</v>
      </c>
      <c r="AB169" s="2">
        <f>IF(Demand!AU188&gt;Retailers_Cap!N171,(V169/Retailers!P170)/(Demand!AU188-Retailers_Cap!N171),"Inesgotável")</f>
        <v/>
      </c>
      <c r="AC169" s="2">
        <f>IF(Demand!AV188&gt;Retailers_Cap!O171,(W169/Retailers!Q170)/(Demand!AV188-Retailers_Cap!O171),"Inesgotável")</f>
        <v/>
      </c>
      <c r="AD169" s="2">
        <f>IF(Demand!AW188&gt;Retailers_Cap!P171,(X169/Retailers!R170)/(Demand!AW188-Retailers_Cap!P171),"Inesgotável")</f>
        <v/>
      </c>
      <c r="AG169" s="64" t="n">
        <v>175</v>
      </c>
      <c r="AH169" s="64">
        <f>Retailers!AJ170</f>
        <v/>
      </c>
      <c r="AI169" s="64">
        <f>Retailers!AK170</f>
        <v/>
      </c>
      <c r="AJ169" s="64">
        <f>Retailers!AL170</f>
        <v/>
      </c>
      <c r="AM169" s="64" t="n">
        <v>175</v>
      </c>
      <c r="AN169" s="2">
        <f>IF(P169&gt;0,IF(D169=0,"Big stock",AB169/AH169),"Inesgotável")</f>
        <v/>
      </c>
      <c r="AO169" s="2">
        <f>IF(Q169&gt;0,IF(E169=0,"Big stock",AC169/AI169),"Inesgotável")</f>
        <v/>
      </c>
      <c r="AP169" s="2">
        <f>IF(R169&gt;0,IF(F169=0,"Big stock",AD169/AJ169),"Inesgotável")</f>
        <v/>
      </c>
      <c r="AS169" s="64" t="n">
        <v>175</v>
      </c>
      <c r="AT169" s="2">
        <f>Retailers_Cap!BL171</f>
        <v/>
      </c>
      <c r="AU169" s="2">
        <f>Retailers_Cap!BM171</f>
        <v/>
      </c>
      <c r="AV169" s="2">
        <f>Retailers_Cap!BN171</f>
        <v/>
      </c>
      <c r="AY169" s="64" t="n">
        <v>175</v>
      </c>
      <c r="AZ169" s="2">
        <f>IF(D169=0,"no repl",AB169-AT169)</f>
        <v/>
      </c>
      <c r="BA169" s="2">
        <f>IF(E169=0,"no repl",AC169-AU169)</f>
        <v/>
      </c>
      <c r="BB169" s="2">
        <f>IF(F169=0,"no repl",AD169-AV169)</f>
        <v/>
      </c>
    </row>
    <row r="170">
      <c r="C170" s="64" t="n">
        <v>176</v>
      </c>
      <c r="D170" s="11" t="n">
        <v>421698.258721914</v>
      </c>
      <c r="E170" s="11" t="n">
        <v>516784.937672039</v>
      </c>
      <c r="F170" s="11" t="n">
        <v>124430.7208599873</v>
      </c>
      <c r="I170" s="64" t="n">
        <v>176</v>
      </c>
      <c r="J170" s="11" t="n">
        <v>35823.34</v>
      </c>
      <c r="K170" s="11" t="n">
        <v>62910.18</v>
      </c>
      <c r="L170" s="11" t="n">
        <v>30201.25</v>
      </c>
      <c r="O170" s="64" t="n">
        <v>176</v>
      </c>
      <c r="P170" s="11" t="n">
        <v>253314.2245783292</v>
      </c>
      <c r="Q170" s="11" t="n">
        <v>314537.9410209571</v>
      </c>
      <c r="R170" s="11" t="n">
        <v>75017.17585267121</v>
      </c>
      <c r="U170" s="64" t="n">
        <v>176</v>
      </c>
      <c r="V170" s="3">
        <f>J170-P170+D170</f>
        <v/>
      </c>
      <c r="W170" s="3">
        <f>K170-Q170+E170</f>
        <v/>
      </c>
      <c r="X170" s="3">
        <f>L170-R170+F170</f>
        <v/>
      </c>
      <c r="AA170" s="64" t="n">
        <v>176</v>
      </c>
      <c r="AB170" s="2">
        <f>IF(Demand!AU189&gt;Retailers_Cap!N172,(V170/Retailers!P171)/(Demand!AU189-Retailers_Cap!N172),"Inesgotável")</f>
        <v/>
      </c>
      <c r="AC170" s="2">
        <f>IF(Demand!AV189&gt;Retailers_Cap!O172,(W170/Retailers!Q171)/(Demand!AV189-Retailers_Cap!O172),"Inesgotável")</f>
        <v/>
      </c>
      <c r="AD170" s="2">
        <f>IF(Demand!AW189&gt;Retailers_Cap!P172,(X170/Retailers!R171)/(Demand!AW189-Retailers_Cap!P172),"Inesgotável")</f>
        <v/>
      </c>
      <c r="AG170" s="64" t="n">
        <v>176</v>
      </c>
      <c r="AH170" s="64">
        <f>Retailers!AJ171</f>
        <v/>
      </c>
      <c r="AI170" s="64">
        <f>Retailers!AK171</f>
        <v/>
      </c>
      <c r="AJ170" s="64">
        <f>Retailers!AL171</f>
        <v/>
      </c>
      <c r="AM170" s="64" t="n">
        <v>176</v>
      </c>
      <c r="AN170" s="2">
        <f>IF(P170&gt;0,IF(D170=0,"Big stock",AB170/AH170),"Inesgotável")</f>
        <v/>
      </c>
      <c r="AO170" s="2">
        <f>IF(Q170&gt;0,IF(E170=0,"Big stock",AC170/AI170),"Inesgotável")</f>
        <v/>
      </c>
      <c r="AP170" s="2">
        <f>IF(R170&gt;0,IF(F170=0,"Big stock",AD170/AJ170),"Inesgotável")</f>
        <v/>
      </c>
      <c r="AS170" s="64" t="n">
        <v>176</v>
      </c>
      <c r="AT170" s="2">
        <f>Retailers_Cap!BL172</f>
        <v/>
      </c>
      <c r="AU170" s="2">
        <f>Retailers_Cap!BM172</f>
        <v/>
      </c>
      <c r="AV170" s="2">
        <f>Retailers_Cap!BN172</f>
        <v/>
      </c>
      <c r="AY170" s="64" t="n">
        <v>176</v>
      </c>
      <c r="AZ170" s="2">
        <f>IF(D170=0,"no repl",AB170-AT170)</f>
        <v/>
      </c>
      <c r="BA170" s="2">
        <f>IF(E170=0,"no repl",AC170-AU170)</f>
        <v/>
      </c>
      <c r="BB170" s="2">
        <f>IF(F170=0,"no repl",AD170-AV170)</f>
        <v/>
      </c>
    </row>
    <row r="171">
      <c r="C171" s="64" t="n">
        <v>177</v>
      </c>
      <c r="D171" s="11" t="n">
        <v>0</v>
      </c>
      <c r="E171" s="11" t="n">
        <v>183176.6058384517</v>
      </c>
      <c r="F171" s="11" t="n">
        <v>0</v>
      </c>
      <c r="I171" s="64" t="n">
        <v>177</v>
      </c>
      <c r="J171" s="11" t="n">
        <v>15426.67</v>
      </c>
      <c r="K171" s="11" t="n">
        <v>88566.32000000001</v>
      </c>
      <c r="L171" s="11" t="n">
        <v>70299.08</v>
      </c>
      <c r="O171" s="64" t="n">
        <v>177</v>
      </c>
      <c r="P171" s="11" t="n">
        <v>0</v>
      </c>
      <c r="Q171" s="11" t="n">
        <v>118120.5260807803</v>
      </c>
      <c r="R171" s="11" t="n">
        <v>0</v>
      </c>
      <c r="U171" s="64" t="n">
        <v>177</v>
      </c>
      <c r="V171" s="3">
        <f>J171-P171+D171</f>
        <v/>
      </c>
      <c r="W171" s="3">
        <f>K171-Q171+E171</f>
        <v/>
      </c>
      <c r="X171" s="3">
        <f>L171-R171+F171</f>
        <v/>
      </c>
      <c r="AA171" s="64" t="n">
        <v>177</v>
      </c>
      <c r="AB171" s="2">
        <f>IF(Demand!AU190&gt;Retailers_Cap!N173,(V171/Retailers!P172)/(Demand!AU190-Retailers_Cap!N173),"Inesgotável")</f>
        <v/>
      </c>
      <c r="AC171" s="2">
        <f>IF(Demand!AV190&gt;Retailers_Cap!O173,(W171/Retailers!Q172)/(Demand!AV190-Retailers_Cap!O173),"Inesgotável")</f>
        <v/>
      </c>
      <c r="AD171" s="2">
        <f>IF(Demand!AW190&gt;Retailers_Cap!P173,(X171/Retailers!R172)/(Demand!AW190-Retailers_Cap!P173),"Inesgotável")</f>
        <v/>
      </c>
      <c r="AG171" s="64" t="n">
        <v>177</v>
      </c>
      <c r="AH171" s="64">
        <f>Retailers!AJ172</f>
        <v/>
      </c>
      <c r="AI171" s="64">
        <f>Retailers!AK172</f>
        <v/>
      </c>
      <c r="AJ171" s="64">
        <f>Retailers!AL172</f>
        <v/>
      </c>
      <c r="AM171" s="64" t="n">
        <v>177</v>
      </c>
      <c r="AN171" s="2">
        <f>IF(P171&gt;0,IF(D171=0,"Big stock",AB171/AH171),"Inesgotável")</f>
        <v/>
      </c>
      <c r="AO171" s="2">
        <f>IF(Q171&gt;0,IF(E171=0,"Big stock",AC171/AI171),"Inesgotável")</f>
        <v/>
      </c>
      <c r="AP171" s="2">
        <f>IF(R171&gt;0,IF(F171=0,"Big stock",AD171/AJ171),"Inesgotável")</f>
        <v/>
      </c>
      <c r="AS171" s="64" t="n">
        <v>177</v>
      </c>
      <c r="AT171" s="2">
        <f>Retailers_Cap!BL173</f>
        <v/>
      </c>
      <c r="AU171" s="2">
        <f>Retailers_Cap!BM173</f>
        <v/>
      </c>
      <c r="AV171" s="2">
        <f>Retailers_Cap!BN173</f>
        <v/>
      </c>
      <c r="AY171" s="64" t="n">
        <v>177</v>
      </c>
      <c r="AZ171" s="2">
        <f>IF(D171=0,"no repl",AB171-AT171)</f>
        <v/>
      </c>
      <c r="BA171" s="2">
        <f>IF(E171=0,"no repl",AC171-AU171)</f>
        <v/>
      </c>
      <c r="BB171" s="2">
        <f>IF(F171=0,"no repl",AD171-AV171)</f>
        <v/>
      </c>
    </row>
    <row r="172">
      <c r="C172" s="64" t="n">
        <v>178</v>
      </c>
      <c r="D172" s="11" t="n">
        <v>0</v>
      </c>
      <c r="E172" s="11" t="n">
        <v>52260.15038711955</v>
      </c>
      <c r="F172" s="11" t="n">
        <v>72548.80479396379</v>
      </c>
      <c r="I172" s="64" t="n">
        <v>178</v>
      </c>
      <c r="J172" s="11" t="n">
        <v>13767.12</v>
      </c>
      <c r="K172" s="11" t="n">
        <v>10061.07</v>
      </c>
      <c r="L172" s="11" t="n">
        <v>41177.75999999999</v>
      </c>
      <c r="O172" s="64" t="n">
        <v>178</v>
      </c>
      <c r="P172" s="11" t="n">
        <v>0</v>
      </c>
      <c r="Q172" s="11" t="n">
        <v>30899.5704606153</v>
      </c>
      <c r="R172" s="11" t="n">
        <v>43930.45882293362</v>
      </c>
      <c r="U172" s="64" t="n">
        <v>178</v>
      </c>
      <c r="V172" s="3">
        <f>J172-P172+D172</f>
        <v/>
      </c>
      <c r="W172" s="3">
        <f>K172-Q172+E172</f>
        <v/>
      </c>
      <c r="X172" s="3">
        <f>L172-R172+F172</f>
        <v/>
      </c>
      <c r="AA172" s="64" t="n">
        <v>178</v>
      </c>
      <c r="AB172" s="2">
        <f>IF(Demand!AU191&gt;Retailers_Cap!N174,(V172/Retailers!P173)/(Demand!AU191-Retailers_Cap!N174),"Inesgotável")</f>
        <v/>
      </c>
      <c r="AC172" s="2">
        <f>IF(Demand!AV191&gt;Retailers_Cap!O174,(W172/Retailers!Q173)/(Demand!AV191-Retailers_Cap!O174),"Inesgotável")</f>
        <v/>
      </c>
      <c r="AD172" s="2">
        <f>IF(Demand!AW191&gt;Retailers_Cap!P174,(X172/Retailers!R173)/(Demand!AW191-Retailers_Cap!P174),"Inesgotável")</f>
        <v/>
      </c>
      <c r="AG172" s="64" t="n">
        <v>178</v>
      </c>
      <c r="AH172" s="64">
        <f>Retailers!AJ173</f>
        <v/>
      </c>
      <c r="AI172" s="64">
        <f>Retailers!AK173</f>
        <v/>
      </c>
      <c r="AJ172" s="64">
        <f>Retailers!AL173</f>
        <v/>
      </c>
      <c r="AM172" s="64" t="n">
        <v>178</v>
      </c>
      <c r="AN172" s="2">
        <f>IF(P172&gt;0,IF(D172=0,"Big stock",AB172/AH172),"Inesgotável")</f>
        <v/>
      </c>
      <c r="AO172" s="2">
        <f>IF(Q172&gt;0,IF(E172=0,"Big stock",AC172/AI172),"Inesgotável")</f>
        <v/>
      </c>
      <c r="AP172" s="2">
        <f>IF(R172&gt;0,IF(F172=0,"Big stock",AD172/AJ172),"Inesgotável")</f>
        <v/>
      </c>
      <c r="AS172" s="64" t="n">
        <v>178</v>
      </c>
      <c r="AT172" s="2">
        <f>Retailers_Cap!BL174</f>
        <v/>
      </c>
      <c r="AU172" s="2">
        <f>Retailers_Cap!BM174</f>
        <v/>
      </c>
      <c r="AV172" s="2">
        <f>Retailers_Cap!BN174</f>
        <v/>
      </c>
      <c r="AY172" s="64" t="n">
        <v>178</v>
      </c>
      <c r="AZ172" s="2">
        <f>IF(D172=0,"no repl",AB172-AT172)</f>
        <v/>
      </c>
      <c r="BA172" s="2">
        <f>IF(E172=0,"no repl",AC172-AU172)</f>
        <v/>
      </c>
      <c r="BB172" s="2">
        <f>IF(F172=0,"no repl",AD172-AV172)</f>
        <v/>
      </c>
    </row>
    <row r="173">
      <c r="C173" s="64" t="n">
        <v>179</v>
      </c>
      <c r="D173" s="11" t="n">
        <v>0</v>
      </c>
      <c r="E173" s="11" t="n">
        <v>0</v>
      </c>
      <c r="F173" s="11" t="n">
        <v>0</v>
      </c>
      <c r="I173" s="64" t="n">
        <v>179</v>
      </c>
      <c r="J173" s="11" t="n">
        <v>9520.84</v>
      </c>
      <c r="K173" s="11" t="n">
        <v>20936.24</v>
      </c>
      <c r="L173" s="11" t="n">
        <v>50884.55</v>
      </c>
      <c r="O173" s="64" t="n">
        <v>179</v>
      </c>
      <c r="P173" s="11" t="n">
        <v>0</v>
      </c>
      <c r="Q173" s="11" t="n">
        <v>0</v>
      </c>
      <c r="R173" s="11" t="n">
        <v>0</v>
      </c>
      <c r="U173" s="64" t="n">
        <v>179</v>
      </c>
      <c r="V173" s="3">
        <f>J173-P173+D173</f>
        <v/>
      </c>
      <c r="W173" s="3">
        <f>K173-Q173+E173</f>
        <v/>
      </c>
      <c r="X173" s="3">
        <f>L173-R173+F173</f>
        <v/>
      </c>
      <c r="AA173" s="64" t="n">
        <v>179</v>
      </c>
      <c r="AB173" s="2">
        <f>IF(Demand!AU192&gt;Retailers_Cap!N175,(V173/Retailers!P174)/(Demand!AU192-Retailers_Cap!N175),"Inesgotável")</f>
        <v/>
      </c>
      <c r="AC173" s="2">
        <f>IF(Demand!AV192&gt;Retailers_Cap!O175,(W173/Retailers!Q174)/(Demand!AV192-Retailers_Cap!O175),"Inesgotável")</f>
        <v/>
      </c>
      <c r="AD173" s="2">
        <f>IF(Demand!AW192&gt;Retailers_Cap!P175,(X173/Retailers!R174)/(Demand!AW192-Retailers_Cap!P175),"Inesgotável")</f>
        <v/>
      </c>
      <c r="AG173" s="64" t="n">
        <v>179</v>
      </c>
      <c r="AH173" s="64">
        <f>Retailers!AJ174</f>
        <v/>
      </c>
      <c r="AI173" s="64">
        <f>Retailers!AK174</f>
        <v/>
      </c>
      <c r="AJ173" s="64">
        <f>Retailers!AL174</f>
        <v/>
      </c>
      <c r="AM173" s="64" t="n">
        <v>179</v>
      </c>
      <c r="AN173" s="2">
        <f>IF(P173&gt;0,IF(D173=0,"Big stock",AB173/AH173),"Inesgotável")</f>
        <v/>
      </c>
      <c r="AO173" s="2">
        <f>IF(Q173&gt;0,IF(E173=0,"Big stock",AC173/AI173),"Inesgotável")</f>
        <v/>
      </c>
      <c r="AP173" s="2">
        <f>IF(R173&gt;0,IF(F173=0,"Big stock",AD173/AJ173),"Inesgotável")</f>
        <v/>
      </c>
      <c r="AS173" s="64" t="n">
        <v>179</v>
      </c>
      <c r="AT173" s="2">
        <f>Retailers_Cap!BL175</f>
        <v/>
      </c>
      <c r="AU173" s="2">
        <f>Retailers_Cap!BM175</f>
        <v/>
      </c>
      <c r="AV173" s="2">
        <f>Retailers_Cap!BN175</f>
        <v/>
      </c>
      <c r="AY173" s="64" t="n">
        <v>179</v>
      </c>
      <c r="AZ173" s="2">
        <f>IF(D173=0,"no repl",AB173-AT173)</f>
        <v/>
      </c>
      <c r="BA173" s="2">
        <f>IF(E173=0,"no repl",AC173-AU173)</f>
        <v/>
      </c>
      <c r="BB173" s="2">
        <f>IF(F173=0,"no repl",AD173-AV173)</f>
        <v/>
      </c>
    </row>
    <row r="174">
      <c r="C174" s="64" t="n">
        <v>180</v>
      </c>
      <c r="D174" s="11" t="n">
        <v>0</v>
      </c>
      <c r="E174" s="11" t="n">
        <v>167752.4899910302</v>
      </c>
      <c r="F174" s="11" t="n">
        <v>75289.98077138084</v>
      </c>
      <c r="I174" s="64" t="n">
        <v>180</v>
      </c>
      <c r="J174" s="11" t="n">
        <v>40566.2</v>
      </c>
      <c r="K174" s="11" t="n">
        <v>83618.42999999999</v>
      </c>
      <c r="L174" s="11" t="n">
        <v>44931.68</v>
      </c>
      <c r="O174" s="64" t="n">
        <v>180</v>
      </c>
      <c r="P174" s="11" t="n">
        <v>0</v>
      </c>
      <c r="Q174" s="11" t="n">
        <v>99512.46481000719</v>
      </c>
      <c r="R174" s="11" t="n">
        <v>45562.82214793078</v>
      </c>
      <c r="U174" s="64" t="n">
        <v>180</v>
      </c>
      <c r="V174" s="3">
        <f>J174-P174+D174</f>
        <v/>
      </c>
      <c r="W174" s="3">
        <f>K174-Q174+E174</f>
        <v/>
      </c>
      <c r="X174" s="3">
        <f>L174-R174+F174</f>
        <v/>
      </c>
      <c r="AA174" s="64" t="n">
        <v>180</v>
      </c>
      <c r="AB174" s="2">
        <f>IF(Demand!AU193&gt;Retailers_Cap!N176,(V174/Retailers!P175)/(Demand!AU193-Retailers_Cap!N176),"Inesgotável")</f>
        <v/>
      </c>
      <c r="AC174" s="2">
        <f>IF(Demand!AV193&gt;Retailers_Cap!O176,(W174/Retailers!Q175)/(Demand!AV193-Retailers_Cap!O176),"Inesgotável")</f>
        <v/>
      </c>
      <c r="AD174" s="2">
        <f>IF(Demand!AW193&gt;Retailers_Cap!P176,(X174/Retailers!R175)/(Demand!AW193-Retailers_Cap!P176),"Inesgotável")</f>
        <v/>
      </c>
      <c r="AG174" s="64" t="n">
        <v>180</v>
      </c>
      <c r="AH174" s="64">
        <f>Retailers!AJ175</f>
        <v/>
      </c>
      <c r="AI174" s="64">
        <f>Retailers!AK175</f>
        <v/>
      </c>
      <c r="AJ174" s="64">
        <f>Retailers!AL175</f>
        <v/>
      </c>
      <c r="AM174" s="64" t="n">
        <v>180</v>
      </c>
      <c r="AN174" s="2">
        <f>IF(P174&gt;0,IF(D174=0,"Big stock",AB174/AH174),"Inesgotável")</f>
        <v/>
      </c>
      <c r="AO174" s="2">
        <f>IF(Q174&gt;0,IF(E174=0,"Big stock",AC174/AI174),"Inesgotável")</f>
        <v/>
      </c>
      <c r="AP174" s="2">
        <f>IF(R174&gt;0,IF(F174=0,"Big stock",AD174/AJ174),"Inesgotável")</f>
        <v/>
      </c>
      <c r="AS174" s="64" t="n">
        <v>180</v>
      </c>
      <c r="AT174" s="2">
        <f>Retailers_Cap!BL176</f>
        <v/>
      </c>
      <c r="AU174" s="2">
        <f>Retailers_Cap!BM176</f>
        <v/>
      </c>
      <c r="AV174" s="2">
        <f>Retailers_Cap!BN176</f>
        <v/>
      </c>
      <c r="AY174" s="64" t="n">
        <v>180</v>
      </c>
      <c r="AZ174" s="2">
        <f>IF(D174=0,"no repl",AB174-AT174)</f>
        <v/>
      </c>
      <c r="BA174" s="2">
        <f>IF(E174=0,"no repl",AC174-AU174)</f>
        <v/>
      </c>
      <c r="BB174" s="2">
        <f>IF(F174=0,"no repl",AD174-AV174)</f>
        <v/>
      </c>
    </row>
    <row r="175">
      <c r="C175" s="64" t="n">
        <v>181</v>
      </c>
      <c r="D175" s="11" t="n">
        <v>0</v>
      </c>
      <c r="E175" s="11" t="n">
        <v>0</v>
      </c>
      <c r="F175" s="11" t="n">
        <v>0</v>
      </c>
      <c r="I175" s="64" t="n">
        <v>181</v>
      </c>
      <c r="J175" s="11" t="n">
        <v>34539.36</v>
      </c>
      <c r="K175" s="11" t="n">
        <v>25013.65</v>
      </c>
      <c r="L175" s="11" t="n">
        <v>68985</v>
      </c>
      <c r="O175" s="64" t="n">
        <v>181</v>
      </c>
      <c r="P175" s="11" t="n">
        <v>0</v>
      </c>
      <c r="Q175" s="11" t="n">
        <v>0</v>
      </c>
      <c r="R175" s="11" t="n">
        <v>0</v>
      </c>
      <c r="U175" s="64" t="n">
        <v>181</v>
      </c>
      <c r="V175" s="3">
        <f>J175-P175+D175</f>
        <v/>
      </c>
      <c r="W175" s="3">
        <f>K175-Q175+E175</f>
        <v/>
      </c>
      <c r="X175" s="3">
        <f>L175-R175+F175</f>
        <v/>
      </c>
      <c r="AA175" s="64" t="n">
        <v>181</v>
      </c>
      <c r="AB175" s="2">
        <f>IF(Demand!AU194&gt;Retailers_Cap!N177,(V175/Retailers!P176)/(Demand!AU194-Retailers_Cap!N177),"Inesgotável")</f>
        <v/>
      </c>
      <c r="AC175" s="2">
        <f>IF(Demand!AV194&gt;Retailers_Cap!O177,(W175/Retailers!Q176)/(Demand!AV194-Retailers_Cap!O177),"Inesgotável")</f>
        <v/>
      </c>
      <c r="AD175" s="2">
        <f>IF(Demand!AW194&gt;Retailers_Cap!P177,(X175/Retailers!R176)/(Demand!AW194-Retailers_Cap!P177),"Inesgotável")</f>
        <v/>
      </c>
      <c r="AG175" s="64" t="n">
        <v>181</v>
      </c>
      <c r="AH175" s="64">
        <f>Retailers!AJ176</f>
        <v/>
      </c>
      <c r="AI175" s="64">
        <f>Retailers!AK176</f>
        <v/>
      </c>
      <c r="AJ175" s="64">
        <f>Retailers!AL176</f>
        <v/>
      </c>
      <c r="AM175" s="64" t="n">
        <v>181</v>
      </c>
      <c r="AN175" s="2">
        <f>IF(P175&gt;0,IF(D175=0,"Big stock",AB175/AH175),"Inesgotável")</f>
        <v/>
      </c>
      <c r="AO175" s="2">
        <f>IF(Q175&gt;0,IF(E175=0,"Big stock",AC175/AI175),"Inesgotável")</f>
        <v/>
      </c>
      <c r="AP175" s="2">
        <f>IF(R175&gt;0,IF(F175=0,"Big stock",AD175/AJ175),"Inesgotável")</f>
        <v/>
      </c>
      <c r="AS175" s="64" t="n">
        <v>181</v>
      </c>
      <c r="AT175" s="2">
        <f>Retailers_Cap!BL177</f>
        <v/>
      </c>
      <c r="AU175" s="2">
        <f>Retailers_Cap!BM177</f>
        <v/>
      </c>
      <c r="AV175" s="2">
        <f>Retailers_Cap!BN177</f>
        <v/>
      </c>
      <c r="AY175" s="64" t="n">
        <v>181</v>
      </c>
      <c r="AZ175" s="2">
        <f>IF(D175=0,"no repl",AB175-AT175)</f>
        <v/>
      </c>
      <c r="BA175" s="2">
        <f>IF(E175=0,"no repl",AC175-AU175)</f>
        <v/>
      </c>
      <c r="BB175" s="2">
        <f>IF(F175=0,"no repl",AD175-AV175)</f>
        <v/>
      </c>
    </row>
    <row r="176">
      <c r="C176" s="64" t="n">
        <v>182</v>
      </c>
      <c r="D176" s="11" t="n">
        <v>0</v>
      </c>
      <c r="E176" s="11" t="n">
        <v>0</v>
      </c>
      <c r="F176" s="11" t="n">
        <v>166559.4231720009</v>
      </c>
      <c r="I176" s="64" t="n">
        <v>182</v>
      </c>
      <c r="J176" s="11" t="n">
        <v>11160.49</v>
      </c>
      <c r="K176" s="11" t="n">
        <v>42983.58</v>
      </c>
      <c r="L176" s="11" t="n">
        <v>11755.8</v>
      </c>
      <c r="O176" s="64" t="n">
        <v>182</v>
      </c>
      <c r="P176" s="11" t="n">
        <v>0</v>
      </c>
      <c r="Q176" s="11" t="n">
        <v>0</v>
      </c>
      <c r="R176" s="11" t="n">
        <v>98740.60565150462</v>
      </c>
      <c r="U176" s="64" t="n">
        <v>182</v>
      </c>
      <c r="V176" s="3">
        <f>J176-P176+D176</f>
        <v/>
      </c>
      <c r="W176" s="3">
        <f>K176-Q176+E176</f>
        <v/>
      </c>
      <c r="X176" s="3">
        <f>L176-R176+F176</f>
        <v/>
      </c>
      <c r="AA176" s="64" t="n">
        <v>182</v>
      </c>
      <c r="AB176" s="2">
        <f>IF(Demand!AU195&gt;Retailers_Cap!N178,(V176/Retailers!P177)/(Demand!AU195-Retailers_Cap!N178),"Inesgotável")</f>
        <v/>
      </c>
      <c r="AC176" s="2">
        <f>IF(Demand!AV195&gt;Retailers_Cap!O178,(W176/Retailers!Q177)/(Demand!AV195-Retailers_Cap!O178),"Inesgotável")</f>
        <v/>
      </c>
      <c r="AD176" s="2">
        <f>IF(Demand!AW195&gt;Retailers_Cap!P178,(X176/Retailers!R177)/(Demand!AW195-Retailers_Cap!P178),"Inesgotável")</f>
        <v/>
      </c>
      <c r="AG176" s="64" t="n">
        <v>182</v>
      </c>
      <c r="AH176" s="64">
        <f>Retailers!AJ177</f>
        <v/>
      </c>
      <c r="AI176" s="64">
        <f>Retailers!AK177</f>
        <v/>
      </c>
      <c r="AJ176" s="64">
        <f>Retailers!AL177</f>
        <v/>
      </c>
      <c r="AM176" s="64" t="n">
        <v>182</v>
      </c>
      <c r="AN176" s="2">
        <f>IF(P176&gt;0,IF(D176=0,"Big stock",AB176/AH176),"Inesgotável")</f>
        <v/>
      </c>
      <c r="AO176" s="2">
        <f>IF(Q176&gt;0,IF(E176=0,"Big stock",AC176/AI176),"Inesgotável")</f>
        <v/>
      </c>
      <c r="AP176" s="2">
        <f>IF(R176&gt;0,IF(F176=0,"Big stock",AD176/AJ176),"Inesgotável")</f>
        <v/>
      </c>
      <c r="AS176" s="64" t="n">
        <v>182</v>
      </c>
      <c r="AT176" s="2">
        <f>Retailers_Cap!BL178</f>
        <v/>
      </c>
      <c r="AU176" s="2">
        <f>Retailers_Cap!BM178</f>
        <v/>
      </c>
      <c r="AV176" s="2">
        <f>Retailers_Cap!BN178</f>
        <v/>
      </c>
      <c r="AY176" s="64" t="n">
        <v>182</v>
      </c>
      <c r="AZ176" s="2">
        <f>IF(D176=0,"no repl",AB176-AT176)</f>
        <v/>
      </c>
      <c r="BA176" s="2">
        <f>IF(E176=0,"no repl",AC176-AU176)</f>
        <v/>
      </c>
      <c r="BB176" s="2">
        <f>IF(F176=0,"no repl",AD176-AV176)</f>
        <v/>
      </c>
    </row>
    <row r="177">
      <c r="C177" s="64" t="n">
        <v>183</v>
      </c>
      <c r="D177" s="11" t="n">
        <v>221488.1784890405</v>
      </c>
      <c r="E177" s="11" t="n">
        <v>19777.91168348657</v>
      </c>
      <c r="F177" s="11" t="n">
        <v>0</v>
      </c>
      <c r="I177" s="64" t="n">
        <v>183</v>
      </c>
      <c r="J177" s="11" t="n">
        <v>98333.55</v>
      </c>
      <c r="K177" s="11" t="n">
        <v>6950.429999999999</v>
      </c>
      <c r="L177" s="11" t="n">
        <v>35622.06</v>
      </c>
      <c r="O177" s="64" t="n">
        <v>183</v>
      </c>
      <c r="P177" s="11" t="n">
        <v>137547.4140465306</v>
      </c>
      <c r="Q177" s="11" t="n">
        <v>13504.74175875834</v>
      </c>
      <c r="R177" s="11" t="n">
        <v>0</v>
      </c>
      <c r="U177" s="64" t="n">
        <v>183</v>
      </c>
      <c r="V177" s="3">
        <f>J177-P177+D177</f>
        <v/>
      </c>
      <c r="W177" s="3">
        <f>K177-Q177+E177</f>
        <v/>
      </c>
      <c r="X177" s="3">
        <f>L177-R177+F177</f>
        <v/>
      </c>
      <c r="AA177" s="64" t="n">
        <v>183</v>
      </c>
      <c r="AB177" s="2">
        <f>IF(Demand!AU196&gt;Retailers_Cap!N179,(V177/Retailers!P178)/(Demand!AU196-Retailers_Cap!N179),"Inesgotável")</f>
        <v/>
      </c>
      <c r="AC177" s="2">
        <f>IF(Demand!AV196&gt;Retailers_Cap!O179,(W177/Retailers!Q178)/(Demand!AV196-Retailers_Cap!O179),"Inesgotável")</f>
        <v/>
      </c>
      <c r="AD177" s="2">
        <f>IF(Demand!AW196&gt;Retailers_Cap!P179,(X177/Retailers!R178)/(Demand!AW196-Retailers_Cap!P179),"Inesgotável")</f>
        <v/>
      </c>
      <c r="AG177" s="64" t="n">
        <v>183</v>
      </c>
      <c r="AH177" s="64">
        <f>Retailers!AJ178</f>
        <v/>
      </c>
      <c r="AI177" s="64">
        <f>Retailers!AK178</f>
        <v/>
      </c>
      <c r="AJ177" s="64">
        <f>Retailers!AL178</f>
        <v/>
      </c>
      <c r="AM177" s="64" t="n">
        <v>183</v>
      </c>
      <c r="AN177" s="2">
        <f>IF(P177&gt;0,IF(D177=0,"Big stock",AB177/AH177),"Inesgotável")</f>
        <v/>
      </c>
      <c r="AO177" s="2">
        <f>IF(Q177&gt;0,IF(E177=0,"Big stock",AC177/AI177),"Inesgotável")</f>
        <v/>
      </c>
      <c r="AP177" s="2">
        <f>IF(R177&gt;0,IF(F177=0,"Big stock",AD177/AJ177),"Inesgotável")</f>
        <v/>
      </c>
      <c r="AS177" s="64" t="n">
        <v>183</v>
      </c>
      <c r="AT177" s="2">
        <f>Retailers_Cap!BL179</f>
        <v/>
      </c>
      <c r="AU177" s="2">
        <f>Retailers_Cap!BM179</f>
        <v/>
      </c>
      <c r="AV177" s="2">
        <f>Retailers_Cap!BN179</f>
        <v/>
      </c>
      <c r="AY177" s="64" t="n">
        <v>183</v>
      </c>
      <c r="AZ177" s="2">
        <f>IF(D177=0,"no repl",AB177-AT177)</f>
        <v/>
      </c>
      <c r="BA177" s="2">
        <f>IF(E177=0,"no repl",AC177-AU177)</f>
        <v/>
      </c>
      <c r="BB177" s="2">
        <f>IF(F177=0,"no repl",AD177-AV177)</f>
        <v/>
      </c>
    </row>
    <row r="178">
      <c r="C178" s="64" t="n">
        <v>184</v>
      </c>
      <c r="D178" s="11" t="n">
        <v>306310.9247075036</v>
      </c>
      <c r="E178" s="11" t="n">
        <v>375305.7219707857</v>
      </c>
      <c r="F178" s="11" t="n">
        <v>350084.7426212213</v>
      </c>
      <c r="I178" s="64" t="n">
        <v>184</v>
      </c>
      <c r="J178" s="11" t="n">
        <v>38328.41</v>
      </c>
      <c r="K178" s="11" t="n">
        <v>24093.51</v>
      </c>
      <c r="L178" s="11" t="n">
        <v>25864.65</v>
      </c>
      <c r="O178" s="64" t="n">
        <v>184</v>
      </c>
      <c r="P178" s="11" t="n">
        <v>186089.8289927328</v>
      </c>
      <c r="Q178" s="11" t="n">
        <v>232590.3471475352</v>
      </c>
      <c r="R178" s="11" t="n">
        <v>205406.3328346492</v>
      </c>
      <c r="U178" s="64" t="n">
        <v>184</v>
      </c>
      <c r="V178" s="3">
        <f>J178-P178+D178</f>
        <v/>
      </c>
      <c r="W178" s="3">
        <f>K178-Q178+E178</f>
        <v/>
      </c>
      <c r="X178" s="3">
        <f>L178-R178+F178</f>
        <v/>
      </c>
      <c r="AA178" s="64" t="n">
        <v>184</v>
      </c>
      <c r="AB178" s="2">
        <f>IF(Demand!AU197&gt;Retailers_Cap!N180,(V178/Retailers!P179)/(Demand!AU197-Retailers_Cap!N180),"Inesgotável")</f>
        <v/>
      </c>
      <c r="AC178" s="2">
        <f>IF(Demand!AV197&gt;Retailers_Cap!O180,(W178/Retailers!Q179)/(Demand!AV197-Retailers_Cap!O180),"Inesgotável")</f>
        <v/>
      </c>
      <c r="AD178" s="2">
        <f>IF(Demand!AW197&gt;Retailers_Cap!P180,(X178/Retailers!R179)/(Demand!AW197-Retailers_Cap!P180),"Inesgotável")</f>
        <v/>
      </c>
      <c r="AG178" s="64" t="n">
        <v>184</v>
      </c>
      <c r="AH178" s="64">
        <f>Retailers!AJ179</f>
        <v/>
      </c>
      <c r="AI178" s="64">
        <f>Retailers!AK179</f>
        <v/>
      </c>
      <c r="AJ178" s="64">
        <f>Retailers!AL179</f>
        <v/>
      </c>
      <c r="AM178" s="64" t="n">
        <v>184</v>
      </c>
      <c r="AN178" s="2">
        <f>IF(P178&gt;0,IF(D178=0,"Big stock",AB178/AH178),"Inesgotável")</f>
        <v/>
      </c>
      <c r="AO178" s="2">
        <f>IF(Q178&gt;0,IF(E178=0,"Big stock",AC178/AI178),"Inesgotável")</f>
        <v/>
      </c>
      <c r="AP178" s="2">
        <f>IF(R178&gt;0,IF(F178=0,"Big stock",AD178/AJ178),"Inesgotável")</f>
        <v/>
      </c>
      <c r="AS178" s="64" t="n">
        <v>184</v>
      </c>
      <c r="AT178" s="2">
        <f>Retailers_Cap!BL180</f>
        <v/>
      </c>
      <c r="AU178" s="2">
        <f>Retailers_Cap!BM180</f>
        <v/>
      </c>
      <c r="AV178" s="2">
        <f>Retailers_Cap!BN180</f>
        <v/>
      </c>
      <c r="AY178" s="64" t="n">
        <v>184</v>
      </c>
      <c r="AZ178" s="2">
        <f>IF(D178=0,"no repl",AB178-AT178)</f>
        <v/>
      </c>
      <c r="BA178" s="2">
        <f>IF(E178=0,"no repl",AC178-AU178)</f>
        <v/>
      </c>
      <c r="BB178" s="2">
        <f>IF(F178=0,"no repl",AD178-AV178)</f>
        <v/>
      </c>
    </row>
    <row r="179">
      <c r="C179" s="64" t="n">
        <v>185</v>
      </c>
      <c r="D179" s="11" t="n">
        <v>275451.2880276556</v>
      </c>
      <c r="E179" s="11" t="n">
        <v>0</v>
      </c>
      <c r="F179" s="11" t="n">
        <v>0</v>
      </c>
      <c r="I179" s="64" t="n">
        <v>185</v>
      </c>
      <c r="J179" s="11" t="n">
        <v>64625.28000000001</v>
      </c>
      <c r="K179" s="11" t="n">
        <v>10457.7</v>
      </c>
      <c r="L179" s="11" t="n">
        <v>31883.76</v>
      </c>
      <c r="O179" s="64" t="n">
        <v>185</v>
      </c>
      <c r="P179" s="11" t="n">
        <v>172254.229451457</v>
      </c>
      <c r="Q179" s="11" t="n">
        <v>0</v>
      </c>
      <c r="R179" s="11" t="n">
        <v>0</v>
      </c>
      <c r="U179" s="64" t="n">
        <v>185</v>
      </c>
      <c r="V179" s="3">
        <f>J179-P179+D179</f>
        <v/>
      </c>
      <c r="W179" s="3">
        <f>K179-Q179+E179</f>
        <v/>
      </c>
      <c r="X179" s="3">
        <f>L179-R179+F179</f>
        <v/>
      </c>
      <c r="AA179" s="64" t="n">
        <v>185</v>
      </c>
      <c r="AB179" s="2">
        <f>IF(Demand!AU198&gt;Retailers_Cap!N181,(V179/Retailers!P180)/(Demand!AU198-Retailers_Cap!N181),"Inesgotável")</f>
        <v/>
      </c>
      <c r="AC179" s="2">
        <f>IF(Demand!AV198&gt;Retailers_Cap!O181,(W179/Retailers!Q180)/(Demand!AV198-Retailers_Cap!O181),"Inesgotável")</f>
        <v/>
      </c>
      <c r="AD179" s="2">
        <f>IF(Demand!AW198&gt;Retailers_Cap!P181,(X179/Retailers!R180)/(Demand!AW198-Retailers_Cap!P181),"Inesgotável")</f>
        <v/>
      </c>
      <c r="AG179" s="64" t="n">
        <v>185</v>
      </c>
      <c r="AH179" s="64">
        <f>Retailers!AJ180</f>
        <v/>
      </c>
      <c r="AI179" s="64">
        <f>Retailers!AK180</f>
        <v/>
      </c>
      <c r="AJ179" s="64">
        <f>Retailers!AL180</f>
        <v/>
      </c>
      <c r="AM179" s="64" t="n">
        <v>185</v>
      </c>
      <c r="AN179" s="2">
        <f>IF(P179&gt;0,IF(D179=0,"Big stock",AB179/AH179),"Inesgotável")</f>
        <v/>
      </c>
      <c r="AO179" s="2">
        <f>IF(Q179&gt;0,IF(E179=0,"Big stock",AC179/AI179),"Inesgotável")</f>
        <v/>
      </c>
      <c r="AP179" s="2">
        <f>IF(R179&gt;0,IF(F179=0,"Big stock",AD179/AJ179),"Inesgotável")</f>
        <v/>
      </c>
      <c r="AS179" s="64" t="n">
        <v>185</v>
      </c>
      <c r="AT179" s="2">
        <f>Retailers_Cap!BL181</f>
        <v/>
      </c>
      <c r="AU179" s="2">
        <f>Retailers_Cap!BM181</f>
        <v/>
      </c>
      <c r="AV179" s="2">
        <f>Retailers_Cap!BN181</f>
        <v/>
      </c>
      <c r="AY179" s="64" t="n">
        <v>185</v>
      </c>
      <c r="AZ179" s="2">
        <f>IF(D179=0,"no repl",AB179-AT179)</f>
        <v/>
      </c>
      <c r="BA179" s="2">
        <f>IF(E179=0,"no repl",AC179-AU179)</f>
        <v/>
      </c>
      <c r="BB179" s="2">
        <f>IF(F179=0,"no repl",AD179-AV179)</f>
        <v/>
      </c>
    </row>
    <row r="180">
      <c r="C180" s="64" t="n">
        <v>186</v>
      </c>
      <c r="D180" s="11" t="n">
        <v>0</v>
      </c>
      <c r="E180" s="11" t="n">
        <v>235132.3461184769</v>
      </c>
      <c r="F180" s="11" t="n">
        <v>0</v>
      </c>
      <c r="I180" s="64" t="n">
        <v>186</v>
      </c>
      <c r="J180" s="11" t="n">
        <v>139560.78</v>
      </c>
      <c r="K180" s="11" t="n">
        <v>71990.75</v>
      </c>
      <c r="L180" s="11" t="n">
        <v>6918.5</v>
      </c>
      <c r="O180" s="64" t="n">
        <v>186</v>
      </c>
      <c r="P180" s="11" t="n">
        <v>56056.13177579454</v>
      </c>
      <c r="Q180" s="11" t="n">
        <v>145022.0749965862</v>
      </c>
      <c r="R180" s="11" t="n">
        <v>0</v>
      </c>
      <c r="U180" s="64" t="n">
        <v>186</v>
      </c>
      <c r="V180" s="3">
        <f>J180-P180+D180</f>
        <v/>
      </c>
      <c r="W180" s="3">
        <f>K180-Q180+E180</f>
        <v/>
      </c>
      <c r="X180" s="3">
        <f>L180-R180+F180</f>
        <v/>
      </c>
      <c r="AA180" s="64" t="n">
        <v>186</v>
      </c>
      <c r="AB180" s="2">
        <f>IF(Demand!AU199&gt;Retailers_Cap!N182,(V180/Retailers!P181)/(Demand!AU199-Retailers_Cap!N182),"Inesgotável")</f>
        <v/>
      </c>
      <c r="AC180" s="2">
        <f>IF(Demand!AV199&gt;Retailers_Cap!O182,(W180/Retailers!Q181)/(Demand!AV199-Retailers_Cap!O182),"Inesgotável")</f>
        <v/>
      </c>
      <c r="AD180" s="2">
        <f>IF(Demand!AW199&gt;Retailers_Cap!P182,(X180/Retailers!R181)/(Demand!AW199-Retailers_Cap!P182),"Inesgotável")</f>
        <v/>
      </c>
      <c r="AG180" s="64" t="n">
        <v>186</v>
      </c>
      <c r="AH180" s="64">
        <f>Retailers!AJ181</f>
        <v/>
      </c>
      <c r="AI180" s="64">
        <f>Retailers!AK181</f>
        <v/>
      </c>
      <c r="AJ180" s="64">
        <f>Retailers!AL181</f>
        <v/>
      </c>
      <c r="AM180" s="64" t="n">
        <v>186</v>
      </c>
      <c r="AN180" s="2">
        <f>IF(P180&gt;0,IF(D180=0,"Big stock",AB180/AH180),"Inesgotável")</f>
        <v/>
      </c>
      <c r="AO180" s="2">
        <f>IF(Q180&gt;0,IF(E180=0,"Big stock",AC180/AI180),"Inesgotável")</f>
        <v/>
      </c>
      <c r="AP180" s="2">
        <f>IF(R180&gt;0,IF(F180=0,"Big stock",AD180/AJ180),"Inesgotável")</f>
        <v/>
      </c>
      <c r="AS180" s="64" t="n">
        <v>186</v>
      </c>
      <c r="AT180" s="2">
        <f>Retailers_Cap!BL182</f>
        <v/>
      </c>
      <c r="AU180" s="2">
        <f>Retailers_Cap!BM182</f>
        <v/>
      </c>
      <c r="AV180" s="2">
        <f>Retailers_Cap!BN182</f>
        <v/>
      </c>
      <c r="AY180" s="64" t="n">
        <v>186</v>
      </c>
      <c r="AZ180" s="2">
        <f>IF(D180=0,"no repl",AB180-AT180)</f>
        <v/>
      </c>
      <c r="BA180" s="2">
        <f>IF(E180=0,"no repl",AC180-AU180)</f>
        <v/>
      </c>
      <c r="BB180" s="2">
        <f>IF(F180=0,"no repl",AD180-AV180)</f>
        <v/>
      </c>
    </row>
    <row r="181">
      <c r="C181" s="64" t="n">
        <v>187</v>
      </c>
      <c r="D181" s="11" t="n">
        <v>470360.8831815276</v>
      </c>
      <c r="E181" s="11" t="n">
        <v>0</v>
      </c>
      <c r="F181" s="11" t="n">
        <v>0</v>
      </c>
      <c r="I181" s="64" t="n">
        <v>187</v>
      </c>
      <c r="J181" s="11" t="n">
        <v>25788.9</v>
      </c>
      <c r="K181" s="11" t="n">
        <v>117530.91</v>
      </c>
      <c r="L181" s="11" t="n">
        <v>37824.49</v>
      </c>
      <c r="O181" s="64" t="n">
        <v>187</v>
      </c>
      <c r="P181" s="11" t="n">
        <v>278078.493144056</v>
      </c>
      <c r="Q181" s="11" t="n">
        <v>0</v>
      </c>
      <c r="R181" s="11" t="n">
        <v>0</v>
      </c>
      <c r="U181" s="64" t="n">
        <v>187</v>
      </c>
      <c r="V181" s="3">
        <f>J181-P181+D181</f>
        <v/>
      </c>
      <c r="W181" s="3">
        <f>K181-Q181+E181</f>
        <v/>
      </c>
      <c r="X181" s="3">
        <f>L181-R181+F181</f>
        <v/>
      </c>
      <c r="AA181" s="64" t="n">
        <v>187</v>
      </c>
      <c r="AB181" s="2">
        <f>IF(Demand!AU200&gt;Retailers_Cap!N183,(V181/Retailers!P182)/(Demand!AU200-Retailers_Cap!N183),"Inesgotável")</f>
        <v/>
      </c>
      <c r="AC181" s="2">
        <f>IF(Demand!AV200&gt;Retailers_Cap!O183,(W181/Retailers!Q182)/(Demand!AV200-Retailers_Cap!O183),"Inesgotável")</f>
        <v/>
      </c>
      <c r="AD181" s="2">
        <f>IF(Demand!AW200&gt;Retailers_Cap!P183,(X181/Retailers!R182)/(Demand!AW200-Retailers_Cap!P183),"Inesgotável")</f>
        <v/>
      </c>
      <c r="AG181" s="64" t="n">
        <v>187</v>
      </c>
      <c r="AH181" s="64">
        <f>Retailers!AJ182</f>
        <v/>
      </c>
      <c r="AI181" s="64">
        <f>Retailers!AK182</f>
        <v/>
      </c>
      <c r="AJ181" s="64">
        <f>Retailers!AL182</f>
        <v/>
      </c>
      <c r="AM181" s="64" t="n">
        <v>187</v>
      </c>
      <c r="AN181" s="2">
        <f>IF(P181&gt;0,IF(D181=0,"Big stock",AB181/AH181),"Inesgotável")</f>
        <v/>
      </c>
      <c r="AO181" s="2">
        <f>IF(Q181&gt;0,IF(E181=0,"Big stock",AC181/AI181),"Inesgotável")</f>
        <v/>
      </c>
      <c r="AP181" s="2">
        <f>IF(R181&gt;0,IF(F181=0,"Big stock",AD181/AJ181),"Inesgotável")</f>
        <v/>
      </c>
      <c r="AS181" s="64" t="n">
        <v>187</v>
      </c>
      <c r="AT181" s="2">
        <f>Retailers_Cap!BL183</f>
        <v/>
      </c>
      <c r="AU181" s="2">
        <f>Retailers_Cap!BM183</f>
        <v/>
      </c>
      <c r="AV181" s="2">
        <f>Retailers_Cap!BN183</f>
        <v/>
      </c>
      <c r="AY181" s="64" t="n">
        <v>187</v>
      </c>
      <c r="AZ181" s="2">
        <f>IF(D181=0,"no repl",AB181-AT181)</f>
        <v/>
      </c>
      <c r="BA181" s="2">
        <f>IF(E181=0,"no repl",AC181-AU181)</f>
        <v/>
      </c>
      <c r="BB181" s="2">
        <f>IF(F181=0,"no repl",AD181-AV181)</f>
        <v/>
      </c>
    </row>
    <row r="182">
      <c r="C182" s="64" t="n">
        <v>188</v>
      </c>
      <c r="D182" s="11" t="n">
        <v>0</v>
      </c>
      <c r="E182" s="11" t="n">
        <v>185113.8828143441</v>
      </c>
      <c r="F182" s="11" t="n">
        <v>218628.2695451094</v>
      </c>
      <c r="I182" s="64" t="n">
        <v>188</v>
      </c>
      <c r="J182" s="11" t="n">
        <v>7521.15</v>
      </c>
      <c r="K182" s="11" t="n">
        <v>47794.23</v>
      </c>
      <c r="L182" s="11" t="n">
        <v>36857.7</v>
      </c>
      <c r="O182" s="64" t="n">
        <v>188</v>
      </c>
      <c r="P182" s="11" t="n">
        <v>0</v>
      </c>
      <c r="Q182" s="11" t="n">
        <v>107617.7592691786</v>
      </c>
      <c r="R182" s="11" t="n">
        <v>131167.5964283845</v>
      </c>
      <c r="U182" s="64" t="n">
        <v>188</v>
      </c>
      <c r="V182" s="3">
        <f>J182-P182+D182</f>
        <v/>
      </c>
      <c r="W182" s="3">
        <f>K182-Q182+E182</f>
        <v/>
      </c>
      <c r="X182" s="3">
        <f>L182-R182+F182</f>
        <v/>
      </c>
      <c r="AA182" s="64" t="n">
        <v>188</v>
      </c>
      <c r="AB182" s="2">
        <f>IF(Demand!AU201&gt;Retailers_Cap!N184,(V182/Retailers!P183)/(Demand!AU201-Retailers_Cap!N184),"Inesgotável")</f>
        <v/>
      </c>
      <c r="AC182" s="2">
        <f>IF(Demand!AV201&gt;Retailers_Cap!O184,(W182/Retailers!Q183)/(Demand!AV201-Retailers_Cap!O184),"Inesgotável")</f>
        <v/>
      </c>
      <c r="AD182" s="2">
        <f>IF(Demand!AW201&gt;Retailers_Cap!P184,(X182/Retailers!R183)/(Demand!AW201-Retailers_Cap!P184),"Inesgotável")</f>
        <v/>
      </c>
      <c r="AG182" s="64" t="n">
        <v>188</v>
      </c>
      <c r="AH182" s="64">
        <f>Retailers!AJ183</f>
        <v/>
      </c>
      <c r="AI182" s="64">
        <f>Retailers!AK183</f>
        <v/>
      </c>
      <c r="AJ182" s="64">
        <f>Retailers!AL183</f>
        <v/>
      </c>
      <c r="AM182" s="64" t="n">
        <v>188</v>
      </c>
      <c r="AN182" s="2">
        <f>IF(P182&gt;0,IF(D182=0,"Big stock",AB182/AH182),"Inesgotável")</f>
        <v/>
      </c>
      <c r="AO182" s="2">
        <f>IF(Q182&gt;0,IF(E182=0,"Big stock",AC182/AI182),"Inesgotável")</f>
        <v/>
      </c>
      <c r="AP182" s="2">
        <f>IF(R182&gt;0,IF(F182=0,"Big stock",AD182/AJ182),"Inesgotável")</f>
        <v/>
      </c>
      <c r="AS182" s="64" t="n">
        <v>188</v>
      </c>
      <c r="AT182" s="2">
        <f>Retailers_Cap!BL184</f>
        <v/>
      </c>
      <c r="AU182" s="2">
        <f>Retailers_Cap!BM184</f>
        <v/>
      </c>
      <c r="AV182" s="2">
        <f>Retailers_Cap!BN184</f>
        <v/>
      </c>
      <c r="AY182" s="64" t="n">
        <v>188</v>
      </c>
      <c r="AZ182" s="2">
        <f>IF(D182=0,"no repl",AB182-AT182)</f>
        <v/>
      </c>
      <c r="BA182" s="2">
        <f>IF(E182=0,"no repl",AC182-AU182)</f>
        <v/>
      </c>
      <c r="BB182" s="2">
        <f>IF(F182=0,"no repl",AD182-AV182)</f>
        <v/>
      </c>
    </row>
    <row r="183">
      <c r="C183" s="64" t="n">
        <v>189</v>
      </c>
      <c r="D183" s="11" t="n">
        <v>0</v>
      </c>
      <c r="E183" s="11" t="n">
        <v>0</v>
      </c>
      <c r="F183" s="11" t="n">
        <v>0</v>
      </c>
      <c r="I183" s="64" t="n">
        <v>189</v>
      </c>
      <c r="J183" s="11" t="n">
        <v>30826.6</v>
      </c>
      <c r="K183" s="11" t="n">
        <v>26143.68</v>
      </c>
      <c r="L183" s="11" t="n">
        <v>27764.31</v>
      </c>
      <c r="O183" s="64" t="n">
        <v>189</v>
      </c>
      <c r="P183" s="11" t="n">
        <v>0</v>
      </c>
      <c r="Q183" s="11" t="n">
        <v>0</v>
      </c>
      <c r="R183" s="11" t="n">
        <v>0</v>
      </c>
      <c r="U183" s="64" t="n">
        <v>189</v>
      </c>
      <c r="V183" s="3">
        <f>J183-P183+D183</f>
        <v/>
      </c>
      <c r="W183" s="3">
        <f>K183-Q183+E183</f>
        <v/>
      </c>
      <c r="X183" s="3">
        <f>L183-R183+F183</f>
        <v/>
      </c>
      <c r="AA183" s="64" t="n">
        <v>189</v>
      </c>
      <c r="AB183" s="2">
        <f>IF(Demand!AU202&gt;Retailers_Cap!N185,(V183/Retailers!P184)/(Demand!AU202-Retailers_Cap!N185),"Inesgotável")</f>
        <v/>
      </c>
      <c r="AC183" s="2">
        <f>IF(Demand!AV202&gt;Retailers_Cap!O185,(W183/Retailers!Q184)/(Demand!AV202-Retailers_Cap!O185),"Inesgotável")</f>
        <v/>
      </c>
      <c r="AD183" s="2">
        <f>IF(Demand!AW202&gt;Retailers_Cap!P185,(X183/Retailers!R184)/(Demand!AW202-Retailers_Cap!P185),"Inesgotável")</f>
        <v/>
      </c>
      <c r="AG183" s="64" t="n">
        <v>189</v>
      </c>
      <c r="AH183" s="64">
        <f>Retailers!AJ184</f>
        <v/>
      </c>
      <c r="AI183" s="64">
        <f>Retailers!AK184</f>
        <v/>
      </c>
      <c r="AJ183" s="64">
        <f>Retailers!AL184</f>
        <v/>
      </c>
      <c r="AM183" s="64" t="n">
        <v>189</v>
      </c>
      <c r="AN183" s="2">
        <f>IF(P183&gt;0,IF(D183=0,"Big stock",AB183/AH183),"Inesgotável")</f>
        <v/>
      </c>
      <c r="AO183" s="2">
        <f>IF(Q183&gt;0,IF(E183=0,"Big stock",AC183/AI183),"Inesgotável")</f>
        <v/>
      </c>
      <c r="AP183" s="2">
        <f>IF(R183&gt;0,IF(F183=0,"Big stock",AD183/AJ183),"Inesgotável")</f>
        <v/>
      </c>
      <c r="AS183" s="64" t="n">
        <v>189</v>
      </c>
      <c r="AT183" s="2">
        <f>Retailers_Cap!BL185</f>
        <v/>
      </c>
      <c r="AU183" s="2">
        <f>Retailers_Cap!BM185</f>
        <v/>
      </c>
      <c r="AV183" s="2">
        <f>Retailers_Cap!BN185</f>
        <v/>
      </c>
      <c r="AY183" s="64" t="n">
        <v>189</v>
      </c>
      <c r="AZ183" s="2">
        <f>IF(D183=0,"no repl",AB183-AT183)</f>
        <v/>
      </c>
      <c r="BA183" s="2">
        <f>IF(E183=0,"no repl",AC183-AU183)</f>
        <v/>
      </c>
      <c r="BB183" s="2">
        <f>IF(F183=0,"no repl",AD183-AV183)</f>
        <v/>
      </c>
    </row>
    <row r="184">
      <c r="C184" s="64" t="n">
        <v>190</v>
      </c>
      <c r="D184" s="11" t="n">
        <v>0</v>
      </c>
      <c r="E184" s="11" t="n">
        <v>210385.1169970121</v>
      </c>
      <c r="F184" s="11" t="n">
        <v>0</v>
      </c>
      <c r="I184" s="64" t="n">
        <v>190</v>
      </c>
      <c r="J184" s="11" t="n">
        <v>60050.92000000001</v>
      </c>
      <c r="K184" s="11" t="n">
        <v>34898.75</v>
      </c>
      <c r="L184" s="11" t="n">
        <v>6321.24</v>
      </c>
      <c r="O184" s="64" t="n">
        <v>190</v>
      </c>
      <c r="P184" s="11" t="n">
        <v>0</v>
      </c>
      <c r="Q184" s="11" t="n">
        <v>127630.6402855247</v>
      </c>
      <c r="R184" s="11" t="n">
        <v>0</v>
      </c>
      <c r="U184" s="64" t="n">
        <v>190</v>
      </c>
      <c r="V184" s="3">
        <f>J184-P184+D184</f>
        <v/>
      </c>
      <c r="W184" s="3">
        <f>K184-Q184+E184</f>
        <v/>
      </c>
      <c r="X184" s="3">
        <f>L184-R184+F184</f>
        <v/>
      </c>
      <c r="AA184" s="64" t="n">
        <v>190</v>
      </c>
      <c r="AB184" s="2">
        <f>IF(Demand!AU203&gt;Retailers_Cap!N186,(V184/Retailers!P185)/(Demand!AU203-Retailers_Cap!N186),"Inesgotável")</f>
        <v/>
      </c>
      <c r="AC184" s="2">
        <f>IF(Demand!AV203&gt;Retailers_Cap!O186,(W184/Retailers!Q185)/(Demand!AV203-Retailers_Cap!O186),"Inesgotável")</f>
        <v/>
      </c>
      <c r="AD184" s="2">
        <f>IF(Demand!AW203&gt;Retailers_Cap!P186,(X184/Retailers!R185)/(Demand!AW203-Retailers_Cap!P186),"Inesgotável")</f>
        <v/>
      </c>
      <c r="AG184" s="64" t="n">
        <v>190</v>
      </c>
      <c r="AH184" s="64">
        <f>Retailers!AJ185</f>
        <v/>
      </c>
      <c r="AI184" s="64">
        <f>Retailers!AK185</f>
        <v/>
      </c>
      <c r="AJ184" s="64">
        <f>Retailers!AL185</f>
        <v/>
      </c>
      <c r="AM184" s="64" t="n">
        <v>190</v>
      </c>
      <c r="AN184" s="2">
        <f>IF(P184&gt;0,IF(D184=0,"Big stock",AB184/AH184),"Inesgotável")</f>
        <v/>
      </c>
      <c r="AO184" s="2">
        <f>IF(Q184&gt;0,IF(E184=0,"Big stock",AC184/AI184),"Inesgotável")</f>
        <v/>
      </c>
      <c r="AP184" s="2">
        <f>IF(R184&gt;0,IF(F184=0,"Big stock",AD184/AJ184),"Inesgotável")</f>
        <v/>
      </c>
      <c r="AS184" s="64" t="n">
        <v>190</v>
      </c>
      <c r="AT184" s="2">
        <f>Retailers_Cap!BL186</f>
        <v/>
      </c>
      <c r="AU184" s="2">
        <f>Retailers_Cap!BM186</f>
        <v/>
      </c>
      <c r="AV184" s="2">
        <f>Retailers_Cap!BN186</f>
        <v/>
      </c>
      <c r="AY184" s="64" t="n">
        <v>190</v>
      </c>
      <c r="AZ184" s="2">
        <f>IF(D184=0,"no repl",AB184-AT184)</f>
        <v/>
      </c>
      <c r="BA184" s="2">
        <f>IF(E184=0,"no repl",AC184-AU184)</f>
        <v/>
      </c>
      <c r="BB184" s="2">
        <f>IF(F184=0,"no repl",AD184-AV184)</f>
        <v/>
      </c>
    </row>
    <row r="185">
      <c r="C185" s="64" t="n">
        <v>191</v>
      </c>
      <c r="D185" s="11" t="n">
        <v>98660.12246793171</v>
      </c>
      <c r="E185" s="11" t="n">
        <v>208627.1797348475</v>
      </c>
      <c r="F185" s="11" t="n">
        <v>472470.6205764213</v>
      </c>
      <c r="I185" s="64" t="n">
        <v>191</v>
      </c>
      <c r="J185" s="11" t="n">
        <v>38265.81</v>
      </c>
      <c r="K185" s="11" t="n">
        <v>25430.18</v>
      </c>
      <c r="L185" s="11" t="n">
        <v>76032.32000000001</v>
      </c>
      <c r="O185" s="64" t="n">
        <v>191</v>
      </c>
      <c r="P185" s="11" t="n">
        <v>57195.66153662435</v>
      </c>
      <c r="Q185" s="11" t="n">
        <v>126699.1141959952</v>
      </c>
      <c r="R185" s="11" t="n">
        <v>288565.4990400895</v>
      </c>
      <c r="U185" s="64" t="n">
        <v>191</v>
      </c>
      <c r="V185" s="3">
        <f>J185-P185+D185</f>
        <v/>
      </c>
      <c r="W185" s="3">
        <f>K185-Q185+E185</f>
        <v/>
      </c>
      <c r="X185" s="3">
        <f>L185-R185+F185</f>
        <v/>
      </c>
      <c r="AA185" s="64" t="n">
        <v>191</v>
      </c>
      <c r="AB185" s="2">
        <f>IF(Demand!AU204&gt;Retailers_Cap!N187,(V185/Retailers!P186)/(Demand!AU204-Retailers_Cap!N187),"Inesgotável")</f>
        <v/>
      </c>
      <c r="AC185" s="2">
        <f>IF(Demand!AV204&gt;Retailers_Cap!O187,(W185/Retailers!Q186)/(Demand!AV204-Retailers_Cap!O187),"Inesgotável")</f>
        <v/>
      </c>
      <c r="AD185" s="2">
        <f>IF(Demand!AW204&gt;Retailers_Cap!P187,(X185/Retailers!R186)/(Demand!AW204-Retailers_Cap!P187),"Inesgotável")</f>
        <v/>
      </c>
      <c r="AG185" s="64" t="n">
        <v>191</v>
      </c>
      <c r="AH185" s="64">
        <f>Retailers!AJ186</f>
        <v/>
      </c>
      <c r="AI185" s="64">
        <f>Retailers!AK186</f>
        <v/>
      </c>
      <c r="AJ185" s="64">
        <f>Retailers!AL186</f>
        <v/>
      </c>
      <c r="AM185" s="64" t="n">
        <v>191</v>
      </c>
      <c r="AN185" s="2">
        <f>IF(P185&gt;0,IF(D185=0,"Big stock",AB185/AH185),"Inesgotável")</f>
        <v/>
      </c>
      <c r="AO185" s="2">
        <f>IF(Q185&gt;0,IF(E185=0,"Big stock",AC185/AI185),"Inesgotável")</f>
        <v/>
      </c>
      <c r="AP185" s="2">
        <f>IF(R185&gt;0,IF(F185=0,"Big stock",AD185/AJ185),"Inesgotável")</f>
        <v/>
      </c>
      <c r="AS185" s="64" t="n">
        <v>191</v>
      </c>
      <c r="AT185" s="2">
        <f>Retailers_Cap!BL187</f>
        <v/>
      </c>
      <c r="AU185" s="2">
        <f>Retailers_Cap!BM187</f>
        <v/>
      </c>
      <c r="AV185" s="2">
        <f>Retailers_Cap!BN187</f>
        <v/>
      </c>
      <c r="AY185" s="64" t="n">
        <v>191</v>
      </c>
      <c r="AZ185" s="2">
        <f>IF(D185=0,"no repl",AB185-AT185)</f>
        <v/>
      </c>
      <c r="BA185" s="2">
        <f>IF(E185=0,"no repl",AC185-AU185)</f>
        <v/>
      </c>
      <c r="BB185" s="2">
        <f>IF(F185=0,"no repl",AD185-AV185)</f>
        <v/>
      </c>
    </row>
    <row r="186">
      <c r="C186" s="64" t="n">
        <v>192</v>
      </c>
      <c r="D186" s="11" t="n">
        <v>0</v>
      </c>
      <c r="E186" s="11" t="n">
        <v>0</v>
      </c>
      <c r="F186" s="11" t="n">
        <v>0</v>
      </c>
      <c r="I186" s="64" t="n">
        <v>192</v>
      </c>
      <c r="J186" s="11" t="n">
        <v>31437.45</v>
      </c>
      <c r="K186" s="11" t="n">
        <v>49558.68</v>
      </c>
      <c r="L186" s="11" t="n">
        <v>80342.7</v>
      </c>
      <c r="O186" s="64" t="n">
        <v>192</v>
      </c>
      <c r="P186" s="11" t="n">
        <v>0</v>
      </c>
      <c r="Q186" s="11" t="n">
        <v>0</v>
      </c>
      <c r="R186" s="11" t="n">
        <v>0</v>
      </c>
      <c r="U186" s="64" t="n">
        <v>192</v>
      </c>
      <c r="V186" s="3">
        <f>J186-P186+D186</f>
        <v/>
      </c>
      <c r="W186" s="3">
        <f>K186-Q186+E186</f>
        <v/>
      </c>
      <c r="X186" s="3">
        <f>L186-R186+F186</f>
        <v/>
      </c>
      <c r="AA186" s="64" t="n">
        <v>192</v>
      </c>
      <c r="AB186" s="2">
        <f>IF(Demand!AU205&gt;Retailers_Cap!N188,(V186/Retailers!P187)/(Demand!AU205-Retailers_Cap!N188),"Inesgotável")</f>
        <v/>
      </c>
      <c r="AC186" s="2">
        <f>IF(Demand!AV205&gt;Retailers_Cap!O188,(W186/Retailers!Q187)/(Demand!AV205-Retailers_Cap!O188),"Inesgotável")</f>
        <v/>
      </c>
      <c r="AD186" s="2">
        <f>IF(Demand!AW205&gt;Retailers_Cap!P188,(X186/Retailers!R187)/(Demand!AW205-Retailers_Cap!P188),"Inesgotável")</f>
        <v/>
      </c>
      <c r="AG186" s="64" t="n">
        <v>192</v>
      </c>
      <c r="AH186" s="64">
        <f>Retailers!AJ187</f>
        <v/>
      </c>
      <c r="AI186" s="64">
        <f>Retailers!AK187</f>
        <v/>
      </c>
      <c r="AJ186" s="64">
        <f>Retailers!AL187</f>
        <v/>
      </c>
      <c r="AM186" s="64" t="n">
        <v>192</v>
      </c>
      <c r="AN186" s="2">
        <f>IF(P186&gt;0,IF(D186=0,"Big stock",AB186/AH186),"Inesgotável")</f>
        <v/>
      </c>
      <c r="AO186" s="2">
        <f>IF(Q186&gt;0,IF(E186=0,"Big stock",AC186/AI186),"Inesgotável")</f>
        <v/>
      </c>
      <c r="AP186" s="2">
        <f>IF(R186&gt;0,IF(F186=0,"Big stock",AD186/AJ186),"Inesgotável")</f>
        <v/>
      </c>
      <c r="AS186" s="64" t="n">
        <v>192</v>
      </c>
      <c r="AT186" s="2">
        <f>Retailers_Cap!BL188</f>
        <v/>
      </c>
      <c r="AU186" s="2">
        <f>Retailers_Cap!BM188</f>
        <v/>
      </c>
      <c r="AV186" s="2">
        <f>Retailers_Cap!BN188</f>
        <v/>
      </c>
      <c r="AY186" s="64" t="n">
        <v>192</v>
      </c>
      <c r="AZ186" s="2">
        <f>IF(D186=0,"no repl",AB186-AT186)</f>
        <v/>
      </c>
      <c r="BA186" s="2">
        <f>IF(E186=0,"no repl",AC186-AU186)</f>
        <v/>
      </c>
      <c r="BB186" s="2">
        <f>IF(F186=0,"no repl",AD186-AV186)</f>
        <v/>
      </c>
    </row>
    <row r="187">
      <c r="C187" s="64" t="n">
        <v>193</v>
      </c>
      <c r="D187" s="11" t="n">
        <v>62809.99564029946</v>
      </c>
      <c r="E187" s="11" t="n">
        <v>237373.1596992489</v>
      </c>
      <c r="F187" s="11" t="n">
        <v>70130.12484618106</v>
      </c>
      <c r="I187" s="64" t="n">
        <v>193</v>
      </c>
      <c r="J187" s="11" t="n">
        <v>3583.6</v>
      </c>
      <c r="K187" s="11" t="n">
        <v>53026.5</v>
      </c>
      <c r="L187" s="11" t="n">
        <v>43098.83</v>
      </c>
      <c r="O187" s="64" t="n">
        <v>193</v>
      </c>
      <c r="P187" s="11" t="n">
        <v>40848.76167232768</v>
      </c>
      <c r="Q187" s="11" t="n">
        <v>173152.0534588186</v>
      </c>
      <c r="R187" s="11" t="n">
        <v>41203.03295564672</v>
      </c>
      <c r="U187" s="64" t="n">
        <v>193</v>
      </c>
      <c r="V187" s="3">
        <f>J187-P187+D187</f>
        <v/>
      </c>
      <c r="W187" s="3">
        <f>K187-Q187+E187</f>
        <v/>
      </c>
      <c r="X187" s="3">
        <f>L187-R187+F187</f>
        <v/>
      </c>
      <c r="AA187" s="64" t="n">
        <v>193</v>
      </c>
      <c r="AB187" s="2">
        <f>IF(Demand!AU206&gt;Retailers_Cap!N189,(V187/Retailers!P188)/(Demand!AU206-Retailers_Cap!N189),"Inesgotável")</f>
        <v/>
      </c>
      <c r="AC187" s="2">
        <f>IF(Demand!AV206&gt;Retailers_Cap!O189,(W187/Retailers!Q188)/(Demand!AV206-Retailers_Cap!O189),"Inesgotável")</f>
        <v/>
      </c>
      <c r="AD187" s="2">
        <f>IF(Demand!AW206&gt;Retailers_Cap!P189,(X187/Retailers!R188)/(Demand!AW206-Retailers_Cap!P189),"Inesgotável")</f>
        <v/>
      </c>
      <c r="AG187" s="64" t="n">
        <v>193</v>
      </c>
      <c r="AH187" s="64">
        <f>Retailers!AJ188</f>
        <v/>
      </c>
      <c r="AI187" s="64">
        <f>Retailers!AK188</f>
        <v/>
      </c>
      <c r="AJ187" s="64">
        <f>Retailers!AL188</f>
        <v/>
      </c>
      <c r="AM187" s="64" t="n">
        <v>193</v>
      </c>
      <c r="AN187" s="2">
        <f>IF(P187&gt;0,IF(D187=0,"Big stock",AB187/AH187),"Inesgotável")</f>
        <v/>
      </c>
      <c r="AO187" s="2">
        <f>IF(Q187&gt;0,IF(E187=0,"Big stock",AC187/AI187),"Inesgotável")</f>
        <v/>
      </c>
      <c r="AP187" s="2">
        <f>IF(R187&gt;0,IF(F187=0,"Big stock",AD187/AJ187),"Inesgotável")</f>
        <v/>
      </c>
      <c r="AS187" s="64" t="n">
        <v>193</v>
      </c>
      <c r="AT187" s="2">
        <f>Retailers_Cap!BL189</f>
        <v/>
      </c>
      <c r="AU187" s="2">
        <f>Retailers_Cap!BM189</f>
        <v/>
      </c>
      <c r="AV187" s="2">
        <f>Retailers_Cap!BN189</f>
        <v/>
      </c>
      <c r="AY187" s="64" t="n">
        <v>193</v>
      </c>
      <c r="AZ187" s="2">
        <f>IF(D187=0,"no repl",AB187-AT187)</f>
        <v/>
      </c>
      <c r="BA187" s="2">
        <f>IF(E187=0,"no repl",AC187-AU187)</f>
        <v/>
      </c>
      <c r="BB187" s="2">
        <f>IF(F187=0,"no repl",AD187-AV187)</f>
        <v/>
      </c>
    </row>
    <row r="188">
      <c r="C188" s="64" t="n">
        <v>194</v>
      </c>
      <c r="D188" s="11" t="n">
        <v>123167.9107403068</v>
      </c>
      <c r="E188" s="11" t="n">
        <v>0</v>
      </c>
      <c r="F188" s="11" t="n">
        <v>444812.386535329</v>
      </c>
      <c r="I188" s="64" t="n">
        <v>194</v>
      </c>
      <c r="J188" s="11" t="n">
        <v>30227.68</v>
      </c>
      <c r="K188" s="11" t="n">
        <v>72092.79000000001</v>
      </c>
      <c r="L188" s="11" t="n">
        <v>57944.82</v>
      </c>
      <c r="O188" s="64" t="n">
        <v>194</v>
      </c>
      <c r="P188" s="11" t="n">
        <v>77374.242403886</v>
      </c>
      <c r="Q188" s="11" t="n">
        <v>0</v>
      </c>
      <c r="R188" s="11" t="n">
        <v>273037.8743617234</v>
      </c>
      <c r="U188" s="64" t="n">
        <v>194</v>
      </c>
      <c r="V188" s="3">
        <f>J188-P188+D188</f>
        <v/>
      </c>
      <c r="W188" s="3">
        <f>K188-Q188+E188</f>
        <v/>
      </c>
      <c r="X188" s="3">
        <f>L188-R188+F188</f>
        <v/>
      </c>
      <c r="AA188" s="64" t="n">
        <v>194</v>
      </c>
      <c r="AB188" s="2">
        <f>IF(Demand!AU207&gt;Retailers_Cap!N190,(V188/Retailers!P189)/(Demand!AU207-Retailers_Cap!N190),"Inesgotável")</f>
        <v/>
      </c>
      <c r="AC188" s="2">
        <f>IF(Demand!AV207&gt;Retailers_Cap!O190,(W188/Retailers!Q189)/(Demand!AV207-Retailers_Cap!O190),"Inesgotável")</f>
        <v/>
      </c>
      <c r="AD188" s="2">
        <f>IF(Demand!AW207&gt;Retailers_Cap!P190,(X188/Retailers!R189)/(Demand!AW207-Retailers_Cap!P190),"Inesgotável")</f>
        <v/>
      </c>
      <c r="AG188" s="64" t="n">
        <v>194</v>
      </c>
      <c r="AH188" s="64">
        <f>Retailers!AJ189</f>
        <v/>
      </c>
      <c r="AI188" s="64">
        <f>Retailers!AK189</f>
        <v/>
      </c>
      <c r="AJ188" s="64">
        <f>Retailers!AL189</f>
        <v/>
      </c>
      <c r="AM188" s="64" t="n">
        <v>194</v>
      </c>
      <c r="AN188" s="2">
        <f>IF(P188&gt;0,IF(D188=0,"Big stock",AB188/AH188),"Inesgotável")</f>
        <v/>
      </c>
      <c r="AO188" s="2">
        <f>IF(Q188&gt;0,IF(E188=0,"Big stock",AC188/AI188),"Inesgotável")</f>
        <v/>
      </c>
      <c r="AP188" s="2">
        <f>IF(R188&gt;0,IF(F188=0,"Big stock",AD188/AJ188),"Inesgotável")</f>
        <v/>
      </c>
      <c r="AS188" s="64" t="n">
        <v>194</v>
      </c>
      <c r="AT188" s="2">
        <f>Retailers_Cap!BL190</f>
        <v/>
      </c>
      <c r="AU188" s="2">
        <f>Retailers_Cap!BM190</f>
        <v/>
      </c>
      <c r="AV188" s="2">
        <f>Retailers_Cap!BN190</f>
        <v/>
      </c>
      <c r="AY188" s="64" t="n">
        <v>194</v>
      </c>
      <c r="AZ188" s="2">
        <f>IF(D188=0,"no repl",AB188-AT188)</f>
        <v/>
      </c>
      <c r="BA188" s="2">
        <f>IF(E188=0,"no repl",AC188-AU188)</f>
        <v/>
      </c>
      <c r="BB188" s="2">
        <f>IF(F188=0,"no repl",AD188-AV188)</f>
        <v/>
      </c>
    </row>
    <row r="189">
      <c r="C189" s="64" t="n">
        <v>195</v>
      </c>
      <c r="D189" s="11" t="n">
        <v>301468.0750312125</v>
      </c>
      <c r="E189" s="11" t="n">
        <v>0</v>
      </c>
      <c r="F189" s="11" t="n">
        <v>0</v>
      </c>
      <c r="I189" s="64" t="n">
        <v>195</v>
      </c>
      <c r="J189" s="11" t="n">
        <v>50210.16</v>
      </c>
      <c r="K189" s="11" t="n">
        <v>31460.1</v>
      </c>
      <c r="L189" s="11" t="n">
        <v>46997.75</v>
      </c>
      <c r="O189" s="64" t="n">
        <v>195</v>
      </c>
      <c r="P189" s="11" t="n">
        <v>185588.7341006452</v>
      </c>
      <c r="Q189" s="11" t="n">
        <v>0</v>
      </c>
      <c r="R189" s="11" t="n">
        <v>0</v>
      </c>
      <c r="U189" s="64" t="n">
        <v>195</v>
      </c>
      <c r="V189" s="3">
        <f>J189-P189+D189</f>
        <v/>
      </c>
      <c r="W189" s="3">
        <f>K189-Q189+E189</f>
        <v/>
      </c>
      <c r="X189" s="3">
        <f>L189-R189+F189</f>
        <v/>
      </c>
      <c r="AA189" s="64" t="n">
        <v>195</v>
      </c>
      <c r="AB189" s="2">
        <f>IF(Demand!AU208&gt;Retailers_Cap!N191,(V189/Retailers!P190)/(Demand!AU208-Retailers_Cap!N191),"Inesgotável")</f>
        <v/>
      </c>
      <c r="AC189" s="2">
        <f>IF(Demand!AV208&gt;Retailers_Cap!O191,(W189/Retailers!Q190)/(Demand!AV208-Retailers_Cap!O191),"Inesgotável")</f>
        <v/>
      </c>
      <c r="AD189" s="2">
        <f>IF(Demand!AW208&gt;Retailers_Cap!P191,(X189/Retailers!R190)/(Demand!AW208-Retailers_Cap!P191),"Inesgotável")</f>
        <v/>
      </c>
      <c r="AG189" s="64" t="n">
        <v>195</v>
      </c>
      <c r="AH189" s="64">
        <f>Retailers!AJ190</f>
        <v/>
      </c>
      <c r="AI189" s="64">
        <f>Retailers!AK190</f>
        <v/>
      </c>
      <c r="AJ189" s="64">
        <f>Retailers!AL190</f>
        <v/>
      </c>
      <c r="AM189" s="64" t="n">
        <v>195</v>
      </c>
      <c r="AN189" s="2">
        <f>IF(P189&gt;0,IF(D189=0,"Big stock",AB189/AH189),"Inesgotável")</f>
        <v/>
      </c>
      <c r="AO189" s="2">
        <f>IF(Q189&gt;0,IF(E189=0,"Big stock",AC189/AI189),"Inesgotável")</f>
        <v/>
      </c>
      <c r="AP189" s="2">
        <f>IF(R189&gt;0,IF(F189=0,"Big stock",AD189/AJ189),"Inesgotável")</f>
        <v/>
      </c>
      <c r="AS189" s="64" t="n">
        <v>195</v>
      </c>
      <c r="AT189" s="2">
        <f>Retailers_Cap!BL191</f>
        <v/>
      </c>
      <c r="AU189" s="2">
        <f>Retailers_Cap!BM191</f>
        <v/>
      </c>
      <c r="AV189" s="2">
        <f>Retailers_Cap!BN191</f>
        <v/>
      </c>
      <c r="AY189" s="64" t="n">
        <v>195</v>
      </c>
      <c r="AZ189" s="2">
        <f>IF(D189=0,"no repl",AB189-AT189)</f>
        <v/>
      </c>
      <c r="BA189" s="2">
        <f>IF(E189=0,"no repl",AC189-AU189)</f>
        <v/>
      </c>
      <c r="BB189" s="2">
        <f>IF(F189=0,"no repl",AD189-AV189)</f>
        <v/>
      </c>
    </row>
    <row r="190">
      <c r="C190" s="64" t="n">
        <v>196</v>
      </c>
      <c r="D190" s="11" t="n">
        <v>0</v>
      </c>
      <c r="E190" s="11" t="n">
        <v>0</v>
      </c>
      <c r="F190" s="11" t="n">
        <v>0</v>
      </c>
      <c r="I190" s="64" t="n">
        <v>196</v>
      </c>
      <c r="J190" s="11" t="n">
        <v>16337.7</v>
      </c>
      <c r="K190" s="11" t="n">
        <v>63168</v>
      </c>
      <c r="L190" s="11" t="n">
        <v>79444.72</v>
      </c>
      <c r="O190" s="64" t="n">
        <v>196</v>
      </c>
      <c r="P190" s="11" t="n">
        <v>0</v>
      </c>
      <c r="Q190" s="11" t="n">
        <v>0</v>
      </c>
      <c r="R190" s="11" t="n">
        <v>0</v>
      </c>
      <c r="U190" s="64" t="n">
        <v>196</v>
      </c>
      <c r="V190" s="3">
        <f>J190-P190+D190</f>
        <v/>
      </c>
      <c r="W190" s="3">
        <f>K190-Q190+E190</f>
        <v/>
      </c>
      <c r="X190" s="3">
        <f>L190-R190+F190</f>
        <v/>
      </c>
      <c r="AA190" s="64" t="n">
        <v>196</v>
      </c>
      <c r="AB190" s="2">
        <f>IF(Demand!AU209&gt;Retailers_Cap!N192,(V190/Retailers!P191)/(Demand!AU209-Retailers_Cap!N192),"Inesgotável")</f>
        <v/>
      </c>
      <c r="AC190" s="2">
        <f>IF(Demand!AV209&gt;Retailers_Cap!O192,(W190/Retailers!Q191)/(Demand!AV209-Retailers_Cap!O192),"Inesgotável")</f>
        <v/>
      </c>
      <c r="AD190" s="2">
        <f>IF(Demand!AW209&gt;Retailers_Cap!P192,(X190/Retailers!R191)/(Demand!AW209-Retailers_Cap!P192),"Inesgotável")</f>
        <v/>
      </c>
      <c r="AG190" s="64" t="n">
        <v>196</v>
      </c>
      <c r="AH190" s="64">
        <f>Retailers!AJ191</f>
        <v/>
      </c>
      <c r="AI190" s="64">
        <f>Retailers!AK191</f>
        <v/>
      </c>
      <c r="AJ190" s="64">
        <f>Retailers!AL191</f>
        <v/>
      </c>
      <c r="AM190" s="64" t="n">
        <v>196</v>
      </c>
      <c r="AN190" s="2">
        <f>IF(P190&gt;0,IF(D190=0,"Big stock",AB190/AH190),"Inesgotável")</f>
        <v/>
      </c>
      <c r="AO190" s="2">
        <f>IF(Q190&gt;0,IF(E190=0,"Big stock",AC190/AI190),"Inesgotável")</f>
        <v/>
      </c>
      <c r="AP190" s="2">
        <f>IF(R190&gt;0,IF(F190=0,"Big stock",AD190/AJ190),"Inesgotável")</f>
        <v/>
      </c>
      <c r="AS190" s="64" t="n">
        <v>196</v>
      </c>
      <c r="AT190" s="2">
        <f>Retailers_Cap!BL192</f>
        <v/>
      </c>
      <c r="AU190" s="2">
        <f>Retailers_Cap!BM192</f>
        <v/>
      </c>
      <c r="AV190" s="2">
        <f>Retailers_Cap!BN192</f>
        <v/>
      </c>
      <c r="AY190" s="64" t="n">
        <v>196</v>
      </c>
      <c r="AZ190" s="2">
        <f>IF(D190=0,"no repl",AB190-AT190)</f>
        <v/>
      </c>
      <c r="BA190" s="2">
        <f>IF(E190=0,"no repl",AC190-AU190)</f>
        <v/>
      </c>
      <c r="BB190" s="2">
        <f>IF(F190=0,"no repl",AD190-AV190)</f>
        <v/>
      </c>
    </row>
    <row r="191">
      <c r="C191" s="64" t="n">
        <v>197</v>
      </c>
      <c r="D191" s="11" t="n">
        <v>222083.2732539336</v>
      </c>
      <c r="E191" s="11" t="n">
        <v>59889.31664611945</v>
      </c>
      <c r="F191" s="11" t="n">
        <v>0</v>
      </c>
      <c r="I191" s="64" t="n">
        <v>197</v>
      </c>
      <c r="J191" s="11" t="n">
        <v>67110.45</v>
      </c>
      <c r="K191" s="11" t="n">
        <v>36520.26</v>
      </c>
      <c r="L191" s="11" t="n">
        <v>48886.56</v>
      </c>
      <c r="O191" s="64" t="n">
        <v>197</v>
      </c>
      <c r="P191" s="11" t="n">
        <v>128210.1598047087</v>
      </c>
      <c r="Q191" s="11" t="n">
        <v>39480.30765063239</v>
      </c>
      <c r="R191" s="11" t="n">
        <v>0</v>
      </c>
      <c r="U191" s="64" t="n">
        <v>197</v>
      </c>
      <c r="V191" s="3">
        <f>J191-P191+D191</f>
        <v/>
      </c>
      <c r="W191" s="3">
        <f>K191-Q191+E191</f>
        <v/>
      </c>
      <c r="X191" s="3">
        <f>L191-R191+F191</f>
        <v/>
      </c>
      <c r="AA191" s="64" t="n">
        <v>197</v>
      </c>
      <c r="AB191" s="2">
        <f>IF(Demand!AU210&gt;Retailers_Cap!N193,(V191/Retailers!P192)/(Demand!AU210-Retailers_Cap!N193),"Inesgotável")</f>
        <v/>
      </c>
      <c r="AC191" s="2">
        <f>IF(Demand!AV210&gt;Retailers_Cap!O193,(W191/Retailers!Q192)/(Demand!AV210-Retailers_Cap!O193),"Inesgotável")</f>
        <v/>
      </c>
      <c r="AD191" s="2">
        <f>IF(Demand!AW210&gt;Retailers_Cap!P193,(X191/Retailers!R192)/(Demand!AW210-Retailers_Cap!P193),"Inesgotável")</f>
        <v/>
      </c>
      <c r="AG191" s="64" t="n">
        <v>197</v>
      </c>
      <c r="AH191" s="64">
        <f>Retailers!AJ192</f>
        <v/>
      </c>
      <c r="AI191" s="64">
        <f>Retailers!AK192</f>
        <v/>
      </c>
      <c r="AJ191" s="64">
        <f>Retailers!AL192</f>
        <v/>
      </c>
      <c r="AM191" s="64" t="n">
        <v>197</v>
      </c>
      <c r="AN191" s="2">
        <f>IF(P191&gt;0,IF(D191=0,"Big stock",AB191/AH191),"Inesgotável")</f>
        <v/>
      </c>
      <c r="AO191" s="2">
        <f>IF(Q191&gt;0,IF(E191=0,"Big stock",AC191/AI191),"Inesgotável")</f>
        <v/>
      </c>
      <c r="AP191" s="2">
        <f>IF(R191&gt;0,IF(F191=0,"Big stock",AD191/AJ191),"Inesgotável")</f>
        <v/>
      </c>
      <c r="AS191" s="64" t="n">
        <v>197</v>
      </c>
      <c r="AT191" s="2">
        <f>Retailers_Cap!BL193</f>
        <v/>
      </c>
      <c r="AU191" s="2">
        <f>Retailers_Cap!BM193</f>
        <v/>
      </c>
      <c r="AV191" s="2">
        <f>Retailers_Cap!BN193</f>
        <v/>
      </c>
      <c r="AY191" s="64" t="n">
        <v>197</v>
      </c>
      <c r="AZ191" s="2">
        <f>IF(D191=0,"no repl",AB191-AT191)</f>
        <v/>
      </c>
      <c r="BA191" s="2">
        <f>IF(E191=0,"no repl",AC191-AU191)</f>
        <v/>
      </c>
      <c r="BB191" s="2">
        <f>IF(F191=0,"no repl",AD191-AV191)</f>
        <v/>
      </c>
    </row>
    <row r="192">
      <c r="C192" s="64" t="n">
        <v>198</v>
      </c>
      <c r="D192" s="11" t="n">
        <v>0</v>
      </c>
      <c r="E192" s="11" t="n">
        <v>0</v>
      </c>
      <c r="F192" s="11" t="n">
        <v>0</v>
      </c>
      <c r="I192" s="64" t="n">
        <v>198</v>
      </c>
      <c r="J192" s="11" t="n">
        <v>97547.52</v>
      </c>
      <c r="K192" s="11" t="n">
        <v>98166.73999999999</v>
      </c>
      <c r="L192" s="11" t="n">
        <v>35595.84</v>
      </c>
      <c r="O192" s="64" t="n">
        <v>198</v>
      </c>
      <c r="P192" s="11" t="n">
        <v>0</v>
      </c>
      <c r="Q192" s="11" t="n">
        <v>0</v>
      </c>
      <c r="R192" s="11" t="n">
        <v>0</v>
      </c>
      <c r="U192" s="64" t="n">
        <v>198</v>
      </c>
      <c r="V192" s="3">
        <f>J192-P192+D192</f>
        <v/>
      </c>
      <c r="W192" s="3">
        <f>K192-Q192+E192</f>
        <v/>
      </c>
      <c r="X192" s="3">
        <f>L192-R192+F192</f>
        <v/>
      </c>
      <c r="AA192" s="64" t="n">
        <v>198</v>
      </c>
      <c r="AB192" s="2">
        <f>IF(Demand!AU211&gt;Retailers_Cap!N194,(V192/Retailers!P193)/(Demand!AU211-Retailers_Cap!N194),"Inesgotável")</f>
        <v/>
      </c>
      <c r="AC192" s="2">
        <f>IF(Demand!AV211&gt;Retailers_Cap!O194,(W192/Retailers!Q193)/(Demand!AV211-Retailers_Cap!O194),"Inesgotável")</f>
        <v/>
      </c>
      <c r="AD192" s="2">
        <f>IF(Demand!AW211&gt;Retailers_Cap!P194,(X192/Retailers!R193)/(Demand!AW211-Retailers_Cap!P194),"Inesgotável")</f>
        <v/>
      </c>
      <c r="AG192" s="64" t="n">
        <v>198</v>
      </c>
      <c r="AH192" s="64">
        <f>Retailers!AJ193</f>
        <v/>
      </c>
      <c r="AI192" s="64">
        <f>Retailers!AK193</f>
        <v/>
      </c>
      <c r="AJ192" s="64">
        <f>Retailers!AL193</f>
        <v/>
      </c>
      <c r="AM192" s="64" t="n">
        <v>198</v>
      </c>
      <c r="AN192" s="2">
        <f>IF(P192&gt;0,IF(D192=0,"Big stock",AB192/AH192),"Inesgotável")</f>
        <v/>
      </c>
      <c r="AO192" s="2">
        <f>IF(Q192&gt;0,IF(E192=0,"Big stock",AC192/AI192),"Inesgotável")</f>
        <v/>
      </c>
      <c r="AP192" s="2">
        <f>IF(R192&gt;0,IF(F192=0,"Big stock",AD192/AJ192),"Inesgotável")</f>
        <v/>
      </c>
      <c r="AS192" s="64" t="n">
        <v>198</v>
      </c>
      <c r="AT192" s="2">
        <f>Retailers_Cap!BL194</f>
        <v/>
      </c>
      <c r="AU192" s="2">
        <f>Retailers_Cap!BM194</f>
        <v/>
      </c>
      <c r="AV192" s="2">
        <f>Retailers_Cap!BN194</f>
        <v/>
      </c>
      <c r="AY192" s="64" t="n">
        <v>198</v>
      </c>
      <c r="AZ192" s="2">
        <f>IF(D192=0,"no repl",AB192-AT192)</f>
        <v/>
      </c>
      <c r="BA192" s="2">
        <f>IF(E192=0,"no repl",AC192-AU192)</f>
        <v/>
      </c>
      <c r="BB192" s="2">
        <f>IF(F192=0,"no repl",AD192-AV192)</f>
        <v/>
      </c>
    </row>
    <row r="193">
      <c r="C193" s="64" t="n">
        <v>199</v>
      </c>
      <c r="D193" s="11" t="n">
        <v>0</v>
      </c>
      <c r="E193" s="11" t="n">
        <v>46428.13811262192</v>
      </c>
      <c r="F193" s="11" t="n">
        <v>247050.9576163421</v>
      </c>
      <c r="I193" s="64" t="n">
        <v>199</v>
      </c>
      <c r="J193" s="11" t="n">
        <v>5568.5</v>
      </c>
      <c r="K193" s="11" t="n">
        <v>19581.44</v>
      </c>
      <c r="L193" s="11" t="n">
        <v>77445.59999999999</v>
      </c>
      <c r="O193" s="64" t="n">
        <v>199</v>
      </c>
      <c r="P193" s="11" t="n">
        <v>0</v>
      </c>
      <c r="Q193" s="11" t="n">
        <v>30690.80236808675</v>
      </c>
      <c r="R193" s="11" t="n">
        <v>157057.9590251125</v>
      </c>
      <c r="U193" s="64" t="n">
        <v>199</v>
      </c>
      <c r="V193" s="3">
        <f>J193-P193+D193</f>
        <v/>
      </c>
      <c r="W193" s="3">
        <f>K193-Q193+E193</f>
        <v/>
      </c>
      <c r="X193" s="3">
        <f>L193-R193+F193</f>
        <v/>
      </c>
      <c r="AA193" s="64" t="n">
        <v>199</v>
      </c>
      <c r="AB193" s="2">
        <f>IF(Demand!AU212&gt;Retailers_Cap!N195,(V193/Retailers!P194)/(Demand!AU212-Retailers_Cap!N195),"Inesgotável")</f>
        <v/>
      </c>
      <c r="AC193" s="2">
        <f>IF(Demand!AV212&gt;Retailers_Cap!O195,(W193/Retailers!Q194)/(Demand!AV212-Retailers_Cap!O195),"Inesgotável")</f>
        <v/>
      </c>
      <c r="AD193" s="2">
        <f>IF(Demand!AW212&gt;Retailers_Cap!P195,(X193/Retailers!R194)/(Demand!AW212-Retailers_Cap!P195),"Inesgotável")</f>
        <v/>
      </c>
      <c r="AG193" s="64" t="n">
        <v>199</v>
      </c>
      <c r="AH193" s="64">
        <f>Retailers!AJ194</f>
        <v/>
      </c>
      <c r="AI193" s="64">
        <f>Retailers!AK194</f>
        <v/>
      </c>
      <c r="AJ193" s="64">
        <f>Retailers!AL194</f>
        <v/>
      </c>
      <c r="AM193" s="64" t="n">
        <v>199</v>
      </c>
      <c r="AN193" s="2">
        <f>IF(P193&gt;0,IF(D193=0,"Big stock",AB193/AH193),"Inesgotável")</f>
        <v/>
      </c>
      <c r="AO193" s="2">
        <f>IF(Q193&gt;0,IF(E193=0,"Big stock",AC193/AI193),"Inesgotável")</f>
        <v/>
      </c>
      <c r="AP193" s="2">
        <f>IF(R193&gt;0,IF(F193=0,"Big stock",AD193/AJ193),"Inesgotável")</f>
        <v/>
      </c>
      <c r="AS193" s="64" t="n">
        <v>199</v>
      </c>
      <c r="AT193" s="2">
        <f>Retailers_Cap!BL195</f>
        <v/>
      </c>
      <c r="AU193" s="2">
        <f>Retailers_Cap!BM195</f>
        <v/>
      </c>
      <c r="AV193" s="2">
        <f>Retailers_Cap!BN195</f>
        <v/>
      </c>
      <c r="AY193" s="64" t="n">
        <v>199</v>
      </c>
      <c r="AZ193" s="2">
        <f>IF(D193=0,"no repl",AB193-AT193)</f>
        <v/>
      </c>
      <c r="BA193" s="2">
        <f>IF(E193=0,"no repl",AC193-AU193)</f>
        <v/>
      </c>
      <c r="BB193" s="2">
        <f>IF(F193=0,"no repl",AD193-AV193)</f>
        <v/>
      </c>
    </row>
    <row r="194">
      <c r="C194" s="64" t="n">
        <v>200</v>
      </c>
      <c r="D194" s="11" t="n">
        <v>337793.0564354492</v>
      </c>
      <c r="E194" s="11" t="n">
        <v>138582.3497657289</v>
      </c>
      <c r="F194" s="11" t="n">
        <v>0</v>
      </c>
      <c r="I194" s="64" t="n">
        <v>200</v>
      </c>
      <c r="J194" s="11" t="n">
        <v>43250.89000000001</v>
      </c>
      <c r="K194" s="11" t="n">
        <v>8282.299999999999</v>
      </c>
      <c r="L194" s="11" t="n">
        <v>93210.74000000001</v>
      </c>
      <c r="O194" s="64" t="n">
        <v>200</v>
      </c>
      <c r="P194" s="11" t="n">
        <v>204279.2652930004</v>
      </c>
      <c r="Q194" s="11" t="n">
        <v>86865.00172123962</v>
      </c>
      <c r="R194" s="11" t="n">
        <v>0</v>
      </c>
      <c r="U194" s="64" t="n">
        <v>200</v>
      </c>
      <c r="V194" s="3">
        <f>J194-P194+D194</f>
        <v/>
      </c>
      <c r="W194" s="3">
        <f>K194-Q194+E194</f>
        <v/>
      </c>
      <c r="X194" s="3">
        <f>L194-R194+F194</f>
        <v/>
      </c>
      <c r="AA194" s="64" t="n">
        <v>200</v>
      </c>
      <c r="AB194" s="2">
        <f>IF(Demand!AU213&gt;Retailers_Cap!N196,(V194/Retailers!P195)/(Demand!AU213-Retailers_Cap!N196),"Inesgotável")</f>
        <v/>
      </c>
      <c r="AC194" s="2">
        <f>IF(Demand!AV213&gt;Retailers_Cap!O196,(W194/Retailers!Q195)/(Demand!AV213-Retailers_Cap!O196),"Inesgotável")</f>
        <v/>
      </c>
      <c r="AD194" s="2">
        <f>IF(Demand!AW213&gt;Retailers_Cap!P196,(X194/Retailers!R195)/(Demand!AW213-Retailers_Cap!P196),"Inesgotável")</f>
        <v/>
      </c>
      <c r="AG194" s="64" t="n">
        <v>200</v>
      </c>
      <c r="AH194" s="64">
        <f>Retailers!AJ195</f>
        <v/>
      </c>
      <c r="AI194" s="64">
        <f>Retailers!AK195</f>
        <v/>
      </c>
      <c r="AJ194" s="64">
        <f>Retailers!AL195</f>
        <v/>
      </c>
      <c r="AM194" s="64" t="n">
        <v>200</v>
      </c>
      <c r="AN194" s="2">
        <f>IF(P194&gt;0,IF(D194=0,"Big stock",AB194/AH194),"Inesgotável")</f>
        <v/>
      </c>
      <c r="AO194" s="2">
        <f>IF(Q194&gt;0,IF(E194=0,"Big stock",AC194/AI194),"Inesgotável")</f>
        <v/>
      </c>
      <c r="AP194" s="2">
        <f>IF(R194&gt;0,IF(F194=0,"Big stock",AD194/AJ194),"Inesgotável")</f>
        <v/>
      </c>
      <c r="AS194" s="64" t="n">
        <v>200</v>
      </c>
      <c r="AT194" s="2">
        <f>Retailers_Cap!BL196</f>
        <v/>
      </c>
      <c r="AU194" s="2">
        <f>Retailers_Cap!BM196</f>
        <v/>
      </c>
      <c r="AV194" s="2">
        <f>Retailers_Cap!BN196</f>
        <v/>
      </c>
      <c r="AY194" s="64" t="n">
        <v>200</v>
      </c>
      <c r="AZ194" s="2">
        <f>IF(D194=0,"no repl",AB194-AT194)</f>
        <v/>
      </c>
      <c r="BA194" s="2">
        <f>IF(E194=0,"no repl",AC194-AU194)</f>
        <v/>
      </c>
      <c r="BB194" s="2">
        <f>IF(F194=0,"no repl",AD194-AV194)</f>
        <v/>
      </c>
    </row>
    <row r="195">
      <c r="AG195" s="64" t="inlineStr">
        <is>
          <t>*</t>
        </is>
      </c>
      <c r="AH195" s="64" t="inlineStr">
        <is>
          <t>*</t>
        </is>
      </c>
      <c r="AI195" s="64" t="inlineStr">
        <is>
          <t>*</t>
        </is>
      </c>
      <c r="AJ195" s="64" t="inlineStr">
        <is>
          <t>*</t>
        </is>
      </c>
      <c r="AK195" t="inlineStr">
        <is>
          <t>*</t>
        </is>
      </c>
      <c r="AL195" t="inlineStr">
        <is>
          <t>*</t>
        </is>
      </c>
      <c r="AM195" t="inlineStr">
        <is>
          <t>*</t>
        </is>
      </c>
      <c r="AN195" t="inlineStr">
        <is>
          <t>*</t>
        </is>
      </c>
      <c r="AO195" t="inlineStr">
        <is>
          <t>*</t>
        </is>
      </c>
      <c r="AP195" t="inlineStr">
        <is>
          <t>*</t>
        </is>
      </c>
      <c r="AQ195" t="inlineStr">
        <is>
          <t>*</t>
        </is>
      </c>
      <c r="AR195" t="inlineStr">
        <is>
          <t>*</t>
        </is>
      </c>
      <c r="AS195" t="inlineStr">
        <is>
          <t>*</t>
        </is>
      </c>
      <c r="AT195" t="inlineStr">
        <is>
          <t>*</t>
        </is>
      </c>
      <c r="AU195" t="inlineStr">
        <is>
          <t>*</t>
        </is>
      </c>
      <c r="AV195" t="inlineStr">
        <is>
          <t>*</t>
        </is>
      </c>
      <c r="AW195" t="inlineStr">
        <is>
          <t>*</t>
        </is>
      </c>
      <c r="AX195" t="inlineStr">
        <is>
          <t>*</t>
        </is>
      </c>
      <c r="AY195" t="inlineStr">
        <is>
          <t>*</t>
        </is>
      </c>
      <c r="AZ195" t="inlineStr">
        <is>
          <t>*</t>
        </is>
      </c>
      <c r="BA195" t="inlineStr">
        <is>
          <t>*</t>
        </is>
      </c>
      <c r="BB195" t="inlineStr">
        <is>
          <t>*</t>
        </is>
      </c>
      <c r="BC195" t="inlineStr">
        <is>
          <t>*</t>
        </is>
      </c>
      <c r="BD195" t="inlineStr">
        <is>
          <t>*</t>
        </is>
      </c>
      <c r="BE195" t="inlineStr">
        <is>
          <t>*</t>
        </is>
      </c>
      <c r="BF195" t="inlineStr">
        <is>
          <t>*</t>
        </is>
      </c>
      <c r="BG195" t="inlineStr">
        <is>
          <t>*</t>
        </is>
      </c>
      <c r="BH195" t="inlineStr">
        <is>
          <t>*</t>
        </is>
      </c>
      <c r="BI195" t="inlineStr">
        <is>
          <t>*</t>
        </is>
      </c>
      <c r="BJ195" t="inlineStr">
        <is>
          <t>*</t>
        </is>
      </c>
      <c r="BK195" t="inlineStr">
        <is>
          <t>*</t>
        </is>
      </c>
      <c r="BL195" t="inlineStr">
        <is>
          <t>*</t>
        </is>
      </c>
      <c r="BM195" t="inlineStr">
        <is>
          <t>*</t>
        </is>
      </c>
      <c r="BN195" t="inlineStr">
        <is>
          <t>*</t>
        </is>
      </c>
      <c r="BO195" t="inlineStr">
        <is>
          <t>*</t>
        </is>
      </c>
      <c r="BP195" t="inlineStr">
        <is>
          <t>*</t>
        </is>
      </c>
      <c r="BQ195" t="inlineStr">
        <is>
          <t>*</t>
        </is>
      </c>
      <c r="BR195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2:X34"/>
  <sheetViews>
    <sheetView zoomScale="90" zoomScaleNormal="90" workbookViewId="0">
      <selection activeCell="I22" sqref="I22"/>
    </sheetView>
  </sheetViews>
  <sheetFormatPr baseColWidth="8" defaultColWidth="8.88671875" defaultRowHeight="14.4"/>
  <cols>
    <col width="5.44140625" customWidth="1" style="15" min="1" max="1"/>
    <col width="6.33203125" customWidth="1" style="15" min="2" max="2"/>
    <col width="12.6640625" bestFit="1" customWidth="1" style="15" min="3" max="3"/>
    <col width="17.109375" bestFit="1" customWidth="1" style="15" min="4" max="4"/>
    <col width="11.5546875" bestFit="1" customWidth="1" style="15" min="5" max="5"/>
    <col width="8.88671875" customWidth="1" style="15" min="6" max="6"/>
    <col width="14.6640625" bestFit="1" customWidth="1" style="15" min="7" max="7"/>
    <col width="8.88671875" customWidth="1" style="15" min="8" max="16384"/>
  </cols>
  <sheetData>
    <row r="2">
      <c r="I2" s="46" t="inlineStr">
        <is>
          <t>Leadtime</t>
        </is>
      </c>
    </row>
    <row r="3">
      <c r="I3" s="15" t="n">
        <v>15</v>
      </c>
      <c r="J3" s="15" t="inlineStr">
        <is>
          <t>dias</t>
        </is>
      </c>
    </row>
    <row r="4">
      <c r="E4" s="63" t="inlineStr">
        <is>
          <t>GERADOR DE DADOS</t>
        </is>
      </c>
    </row>
    <row r="5">
      <c r="I5" s="15" t="n">
        <v>1</v>
      </c>
      <c r="J5" s="15" t="n">
        <v>2</v>
      </c>
      <c r="K5" s="15" t="n">
        <v>3</v>
      </c>
      <c r="L5" s="15" t="n">
        <v>4</v>
      </c>
      <c r="M5" s="15" t="n">
        <v>5</v>
      </c>
      <c r="N5" s="15" t="n">
        <v>6</v>
      </c>
      <c r="O5" s="15" t="n">
        <v>7</v>
      </c>
      <c r="P5" s="15" t="n">
        <v>8</v>
      </c>
      <c r="Q5" s="15" t="n">
        <v>9</v>
      </c>
      <c r="R5" s="15" t="n">
        <v>10</v>
      </c>
      <c r="S5" s="15" t="n">
        <v>11</v>
      </c>
      <c r="T5" s="15" t="n">
        <v>12</v>
      </c>
      <c r="U5" s="15" t="n">
        <v>13</v>
      </c>
      <c r="V5" s="15" t="n">
        <v>14</v>
      </c>
      <c r="W5" s="15" t="n">
        <v>15</v>
      </c>
    </row>
    <row r="6">
      <c r="C6" s="15" t="inlineStr">
        <is>
          <t>$/prod</t>
        </is>
      </c>
      <c r="D6" s="15" t="inlineStr">
        <is>
          <t>Avarege</t>
        </is>
      </c>
      <c r="E6" s="39">
        <f>Factories!E6/2</f>
        <v/>
      </c>
      <c r="F6" s="15">
        <f>TRUNC((_xlfn.NORM.INV((RAND()),$E$6,$E$7)),2)</f>
        <v/>
      </c>
      <c r="G6" s="15" t="inlineStr">
        <is>
          <t>Hw</t>
        </is>
      </c>
      <c r="H6" s="15" t="n">
        <v>1</v>
      </c>
      <c r="I6" s="40" t="n">
        <v>85.76000000000001</v>
      </c>
      <c r="J6" s="40" t="n">
        <v>51.23</v>
      </c>
      <c r="K6" s="40" t="n">
        <v>25</v>
      </c>
      <c r="L6" s="40" t="n">
        <v>119.18</v>
      </c>
      <c r="M6" s="40" t="n">
        <v>82.26000000000001</v>
      </c>
      <c r="N6" s="40" t="n">
        <v>41.03</v>
      </c>
      <c r="O6" s="40" t="n">
        <v>113.67</v>
      </c>
      <c r="P6" s="40" t="n">
        <v>98.95</v>
      </c>
      <c r="Q6" s="40" t="n">
        <v>76.58</v>
      </c>
      <c r="R6" s="40" t="n">
        <v>76.8</v>
      </c>
      <c r="S6" s="40" t="n">
        <v>30.77</v>
      </c>
      <c r="T6" s="40" t="n">
        <v>70.26000000000001</v>
      </c>
      <c r="U6" s="40" t="n">
        <v>90.92</v>
      </c>
      <c r="V6" s="40" t="n">
        <v>94.43000000000001</v>
      </c>
      <c r="W6" s="40" t="n">
        <v>32.45</v>
      </c>
    </row>
    <row r="7">
      <c r="C7" s="15" t="inlineStr">
        <is>
          <t>$/prod</t>
        </is>
      </c>
      <c r="D7" s="15" t="inlineStr">
        <is>
          <t>Std Devition</t>
        </is>
      </c>
      <c r="E7" s="39">
        <f>E6*0.4</f>
        <v/>
      </c>
      <c r="F7" s="15">
        <f>TRUNC((_xlfn.NORM.INV((RAND()),$E$6,$E$7)),2)</f>
        <v/>
      </c>
      <c r="H7" s="15" t="n">
        <v>2</v>
      </c>
      <c r="I7" s="40" t="n">
        <v>52.86</v>
      </c>
      <c r="J7" s="40" t="n">
        <v>71.7</v>
      </c>
      <c r="K7" s="40" t="n">
        <v>100.13</v>
      </c>
      <c r="L7" s="40" t="n">
        <v>67.59</v>
      </c>
      <c r="M7" s="40" t="n">
        <v>63.07</v>
      </c>
      <c r="N7" s="40" t="n">
        <v>86.44</v>
      </c>
      <c r="O7" s="40" t="n">
        <v>94.52</v>
      </c>
      <c r="P7" s="40" t="n">
        <v>82.73999999999999</v>
      </c>
      <c r="Q7" s="40" t="n">
        <v>92.01000000000001</v>
      </c>
      <c r="R7" s="40" t="n">
        <v>109.64</v>
      </c>
      <c r="S7" s="40" t="n">
        <v>67.83</v>
      </c>
      <c r="T7" s="40" t="n">
        <v>108.04</v>
      </c>
      <c r="U7" s="40" t="n">
        <v>17.92</v>
      </c>
      <c r="V7" s="40" t="n">
        <v>106.04</v>
      </c>
      <c r="W7" s="40" t="n">
        <v>41.56</v>
      </c>
    </row>
    <row r="8">
      <c r="F8" s="15">
        <f>TRUNC((_xlfn.NORM.INV((RAND()),$E$6,$E$7)),2)</f>
        <v/>
      </c>
      <c r="H8" s="15" t="n">
        <v>3</v>
      </c>
      <c r="I8" s="40" t="n">
        <v>105.74</v>
      </c>
      <c r="J8" s="40" t="n">
        <v>126.76</v>
      </c>
      <c r="K8" s="40" t="n">
        <v>51.89</v>
      </c>
      <c r="L8" s="40" t="n">
        <v>127.34</v>
      </c>
      <c r="M8" s="40" t="n">
        <v>90.98</v>
      </c>
      <c r="N8" s="40" t="n">
        <v>50.78</v>
      </c>
      <c r="O8" s="40" t="n">
        <v>118.74</v>
      </c>
      <c r="P8" s="40" t="n">
        <v>105.73</v>
      </c>
      <c r="Q8" s="40" t="n">
        <v>119.92</v>
      </c>
      <c r="R8" s="40" t="n">
        <v>40.79</v>
      </c>
      <c r="S8" s="40" t="n">
        <v>112.82</v>
      </c>
      <c r="T8" s="40" t="n">
        <v>84.56</v>
      </c>
      <c r="U8" s="40" t="n">
        <v>149.68</v>
      </c>
      <c r="V8" s="40" t="n">
        <v>82.2</v>
      </c>
      <c r="W8" s="40" t="n">
        <v>93.83</v>
      </c>
    </row>
    <row r="9"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</row>
    <row r="10">
      <c r="I10" s="63" t="inlineStr">
        <is>
          <t>Variância da demanda média</t>
        </is>
      </c>
    </row>
    <row r="11">
      <c r="I11" s="15" t="n">
        <v>1</v>
      </c>
      <c r="J11" s="15" t="n">
        <v>2</v>
      </c>
      <c r="K11" s="15" t="n">
        <v>3</v>
      </c>
      <c r="L11" s="15" t="n">
        <v>4</v>
      </c>
      <c r="M11" s="15" t="n">
        <v>5</v>
      </c>
      <c r="N11" s="15" t="n">
        <v>6</v>
      </c>
      <c r="O11" s="15" t="n">
        <v>7</v>
      </c>
      <c r="P11" s="15" t="n">
        <v>8</v>
      </c>
      <c r="Q11" s="15" t="n">
        <v>9</v>
      </c>
      <c r="R11" s="15" t="n">
        <v>10</v>
      </c>
      <c r="S11" s="15" t="n">
        <v>11</v>
      </c>
      <c r="T11" s="15" t="n">
        <v>12</v>
      </c>
      <c r="U11" s="15" t="n">
        <v>13</v>
      </c>
      <c r="V11" s="15" t="n">
        <v>14</v>
      </c>
      <c r="W11" s="15" t="n">
        <v>15</v>
      </c>
    </row>
    <row r="12">
      <c r="H12" s="15" t="n">
        <v>1</v>
      </c>
      <c r="I12" s="15">
        <f>TRUNC(((Demand!AU5*0.2)^2)/30,2)</f>
        <v/>
      </c>
      <c r="J12" s="15">
        <f>TRUNC(((Demand!AV5*0.2)^2)/30,2)</f>
        <v/>
      </c>
      <c r="K12" s="15">
        <f>TRUNC(((Demand!AW5*0.2)^2)/30,2)</f>
        <v/>
      </c>
      <c r="L12" s="15">
        <f>TRUNC(((Demand!AX5*0.2)^2)/30,2)</f>
        <v/>
      </c>
      <c r="M12" s="15">
        <f>TRUNC(((Demand!AY5*0.2)^2)/30,2)</f>
        <v/>
      </c>
      <c r="N12" s="15">
        <f>TRUNC(((Demand!AZ5*0.2)^2)/30,2)</f>
        <v/>
      </c>
      <c r="O12" s="15">
        <f>TRUNC(((Demand!BA5*0.2)^2)/30,2)</f>
        <v/>
      </c>
      <c r="P12" s="15">
        <f>TRUNC(((Demand!BB5*0.2)^2)/30,2)</f>
        <v/>
      </c>
      <c r="Q12" s="15">
        <f>TRUNC(((Demand!BC5*0.2)^2)/30,2)</f>
        <v/>
      </c>
      <c r="R12" s="15">
        <f>TRUNC(((Demand!BD5*0.2)^2)/30,2)</f>
        <v/>
      </c>
      <c r="S12" s="15">
        <f>TRUNC(((Demand!BE5*0.2)^2)/30,2)</f>
        <v/>
      </c>
      <c r="T12" s="15">
        <f>TRUNC(((Demand!BF5*0.2)^2)/30,2)</f>
        <v/>
      </c>
      <c r="U12" s="15">
        <f>TRUNC(((Demand!BG5*0.2)^2)/30,2)</f>
        <v/>
      </c>
      <c r="V12" s="15">
        <f>TRUNC(((Demand!BH5*0.2)^2)/30,2)</f>
        <v/>
      </c>
      <c r="W12" s="15">
        <f>TRUNC(((Demand!BI5*0.2)^2)/30,2)</f>
        <v/>
      </c>
    </row>
    <row r="13">
      <c r="H13" s="15" t="n">
        <v>2</v>
      </c>
      <c r="I13" s="15">
        <f>TRUNC(((Demand!AU6*0.2)^2)/30,2)</f>
        <v/>
      </c>
      <c r="J13" s="15">
        <f>TRUNC(((Demand!AV6*0.2)^2)/30,2)</f>
        <v/>
      </c>
      <c r="K13" s="15">
        <f>TRUNC(((Demand!AW6*0.2)^2)/30,2)</f>
        <v/>
      </c>
      <c r="L13" s="15">
        <f>TRUNC(((Demand!AX6*0.2)^2)/30,2)</f>
        <v/>
      </c>
      <c r="M13" s="15">
        <f>TRUNC(((Demand!AY6*0.2)^2)/30,2)</f>
        <v/>
      </c>
      <c r="N13" s="15">
        <f>TRUNC(((Demand!AZ6*0.2)^2)/30,2)</f>
        <v/>
      </c>
      <c r="O13" s="15">
        <f>TRUNC(((Demand!BA6*0.2)^2)/30,2)</f>
        <v/>
      </c>
      <c r="P13" s="15">
        <f>TRUNC(((Demand!BB6*0.2)^2)/30,2)</f>
        <v/>
      </c>
      <c r="Q13" s="15">
        <f>TRUNC(((Demand!BC6*0.2)^2)/30,2)</f>
        <v/>
      </c>
      <c r="R13" s="15">
        <f>TRUNC(((Demand!BD6*0.2)^2)/30,2)</f>
        <v/>
      </c>
      <c r="S13" s="15">
        <f>TRUNC(((Demand!BE6*0.2)^2)/30,2)</f>
        <v/>
      </c>
      <c r="T13" s="15">
        <f>TRUNC(((Demand!BF6*0.2)^2)/30,2)</f>
        <v/>
      </c>
      <c r="U13" s="15">
        <f>TRUNC(((Demand!BG6*0.2)^2)/30,2)</f>
        <v/>
      </c>
      <c r="V13" s="15">
        <f>TRUNC(((Demand!BH6*0.2)^2)/30,2)</f>
        <v/>
      </c>
      <c r="W13" s="15">
        <f>TRUNC(((Demand!BI6*0.2)^2)/30,2)</f>
        <v/>
      </c>
    </row>
    <row r="14">
      <c r="H14" s="15" t="n">
        <v>3</v>
      </c>
      <c r="I14" s="15">
        <f>TRUNC(((Demand!AU7*0.2)^2)/30,2)</f>
        <v/>
      </c>
      <c r="J14" s="15">
        <f>TRUNC(((Demand!AV7*0.2)^2)/30,2)</f>
        <v/>
      </c>
      <c r="K14" s="15">
        <f>TRUNC(((Demand!AW7*0.2)^2)/30,2)</f>
        <v/>
      </c>
      <c r="L14" s="15">
        <f>TRUNC(((Demand!AX7*0.2)^2)/30,2)</f>
        <v/>
      </c>
      <c r="M14" s="15">
        <f>TRUNC(((Demand!AY7*0.2)^2)/30,2)</f>
        <v/>
      </c>
      <c r="N14" s="15">
        <f>TRUNC(((Demand!AZ7*0.2)^2)/30,2)</f>
        <v/>
      </c>
      <c r="O14" s="15">
        <f>TRUNC(((Demand!BA7*0.2)^2)/30,2)</f>
        <v/>
      </c>
      <c r="P14" s="15">
        <f>TRUNC(((Demand!BB7*0.2)^2)/30,2)</f>
        <v/>
      </c>
      <c r="Q14" s="15">
        <f>TRUNC(((Demand!BC7*0.2)^2)/30,2)</f>
        <v/>
      </c>
      <c r="R14" s="15">
        <f>TRUNC(((Demand!BD7*0.2)^2)/30,2)</f>
        <v/>
      </c>
      <c r="S14" s="15">
        <f>TRUNC(((Demand!BE7*0.2)^2)/30,2)</f>
        <v/>
      </c>
      <c r="T14" s="15">
        <f>TRUNC(((Demand!BF7*0.2)^2)/30,2)</f>
        <v/>
      </c>
      <c r="U14" s="15">
        <f>TRUNC(((Demand!BG7*0.2)^2)/30,2)</f>
        <v/>
      </c>
      <c r="V14" s="15">
        <f>TRUNC(((Demand!BH7*0.2)^2)/30,2)</f>
        <v/>
      </c>
      <c r="W14" s="15">
        <f>TRUNC(((Demand!BI7*0.2)^2)/30,2)</f>
        <v/>
      </c>
    </row>
    <row r="16">
      <c r="I16" s="15" t="n">
        <v>1</v>
      </c>
      <c r="J16" s="15" t="n">
        <v>2</v>
      </c>
      <c r="K16" s="15" t="n">
        <v>3</v>
      </c>
      <c r="L16" s="15" t="n">
        <v>4</v>
      </c>
      <c r="M16" s="15" t="n">
        <v>5</v>
      </c>
      <c r="N16" s="15" t="n">
        <v>6</v>
      </c>
      <c r="O16" s="15" t="n">
        <v>7</v>
      </c>
      <c r="P16" s="15" t="n">
        <v>8</v>
      </c>
      <c r="Q16" s="15" t="n">
        <v>9</v>
      </c>
      <c r="R16" s="15" t="n">
        <v>10</v>
      </c>
      <c r="S16" s="15" t="n">
        <v>11</v>
      </c>
      <c r="T16" s="15" t="n">
        <v>12</v>
      </c>
      <c r="U16" s="15" t="n">
        <v>13</v>
      </c>
      <c r="V16" s="15" t="n">
        <v>14</v>
      </c>
      <c r="W16" s="15" t="n">
        <v>15</v>
      </c>
      <c r="X16" s="47" t="n"/>
    </row>
    <row r="17">
      <c r="C17" s="15" t="inlineStr">
        <is>
          <t>prod/dia</t>
        </is>
      </c>
      <c r="D17" s="15" t="inlineStr">
        <is>
          <t>Avarege</t>
        </is>
      </c>
      <c r="F17" s="39">
        <f>TRUNC(((I12)+(Suppliers_Cap!D3))^0.5,4)</f>
        <v/>
      </c>
      <c r="G17" s="15" t="inlineStr">
        <is>
          <t>SigmaNDw</t>
        </is>
      </c>
      <c r="H17" s="15" t="n">
        <v>1</v>
      </c>
      <c r="I17" s="40" t="n">
        <v>13.9696</v>
      </c>
      <c r="J17" s="40" t="n">
        <v>16.389</v>
      </c>
      <c r="K17" s="40" t="n">
        <v>15.5948</v>
      </c>
      <c r="L17" s="40" t="n">
        <v>14.553</v>
      </c>
      <c r="M17" s="40" t="n">
        <v>22.2638</v>
      </c>
      <c r="N17" s="40" t="n">
        <v>13.8495</v>
      </c>
      <c r="O17" s="40" t="n">
        <v>15.1191</v>
      </c>
      <c r="P17" s="40" t="n">
        <v>20.6937</v>
      </c>
      <c r="Q17" s="40" t="n">
        <v>18.4669</v>
      </c>
      <c r="R17" s="40" t="n">
        <v>18.0532</v>
      </c>
      <c r="S17" s="40" t="n">
        <v>22.3239</v>
      </c>
      <c r="T17" s="40" t="n">
        <v>12.3097</v>
      </c>
      <c r="U17" s="40" t="n">
        <v>14.7583</v>
      </c>
      <c r="V17" s="40" t="n">
        <v>13.6645</v>
      </c>
      <c r="W17" s="40" t="n">
        <v>24.3509</v>
      </c>
    </row>
    <row r="18">
      <c r="C18" s="15" t="inlineStr">
        <is>
          <t>prod/dia</t>
        </is>
      </c>
      <c r="D18" s="15">
        <f>AVERAGE(SuppliersStdDev)</f>
        <v/>
      </c>
      <c r="E18" s="48" t="n"/>
      <c r="F18" s="39">
        <f>TRUNC(((I13)+(Suppliers_Cap!D4))^0.5,4)</f>
        <v/>
      </c>
      <c r="H18" s="15" t="n">
        <v>2</v>
      </c>
      <c r="I18" s="40" t="n">
        <v>16.8196</v>
      </c>
      <c r="J18" s="40" t="n">
        <v>14.6181</v>
      </c>
      <c r="K18" s="40" t="n">
        <v>15.554</v>
      </c>
      <c r="L18" s="40" t="n">
        <v>24.3014</v>
      </c>
      <c r="M18" s="40" t="n">
        <v>19.7195</v>
      </c>
      <c r="N18" s="40" t="n">
        <v>20.5574</v>
      </c>
      <c r="O18" s="40" t="n">
        <v>15.8921</v>
      </c>
      <c r="P18" s="40" t="n">
        <v>14.2488</v>
      </c>
      <c r="Q18" s="40" t="n">
        <v>17.7149</v>
      </c>
      <c r="R18" s="40" t="n">
        <v>13.9989</v>
      </c>
      <c r="S18" s="40" t="n">
        <v>17.4467</v>
      </c>
      <c r="T18" s="40" t="n">
        <v>19.047</v>
      </c>
      <c r="U18" s="40" t="n">
        <v>15.4246</v>
      </c>
      <c r="V18" s="40" t="n">
        <v>22.531</v>
      </c>
      <c r="W18" s="40" t="n">
        <v>20.8612</v>
      </c>
    </row>
    <row r="19">
      <c r="F19" s="39">
        <f>TRUNC(((I14)+(Suppliers_Cap!D5))^0.5,4)</f>
        <v/>
      </c>
      <c r="H19" s="15" t="n">
        <v>3</v>
      </c>
      <c r="I19" s="40" t="n">
        <v>21.6113</v>
      </c>
      <c r="J19" s="40" t="n">
        <v>16.2003</v>
      </c>
      <c r="K19" s="40" t="n">
        <v>17.0023</v>
      </c>
      <c r="L19" s="40" t="n">
        <v>24.1484</v>
      </c>
      <c r="M19" s="40" t="n">
        <v>16.7053</v>
      </c>
      <c r="N19" s="40" t="n">
        <v>21.6071</v>
      </c>
      <c r="O19" s="40" t="n">
        <v>16.456</v>
      </c>
      <c r="P19" s="40" t="n">
        <v>19.5486</v>
      </c>
      <c r="Q19" s="40" t="n">
        <v>17.5174</v>
      </c>
      <c r="R19" s="40" t="n">
        <v>14.9556</v>
      </c>
      <c r="S19" s="40" t="n">
        <v>16.22</v>
      </c>
      <c r="T19" s="40" t="n">
        <v>16.5828</v>
      </c>
      <c r="U19" s="40" t="n">
        <v>20.17</v>
      </c>
      <c r="V19" s="40" t="n">
        <v>19.1822</v>
      </c>
      <c r="W19" s="40" t="n">
        <v>19.0349</v>
      </c>
    </row>
    <row r="21">
      <c r="I21" s="15" t="n">
        <v>1</v>
      </c>
      <c r="J21" s="15" t="n">
        <v>2</v>
      </c>
      <c r="K21" s="15" t="n">
        <v>3</v>
      </c>
      <c r="L21" s="15" t="n">
        <v>4</v>
      </c>
      <c r="M21" s="15" t="n">
        <v>5</v>
      </c>
      <c r="N21" s="15" t="n">
        <v>6</v>
      </c>
      <c r="O21" s="15" t="n">
        <v>7</v>
      </c>
      <c r="P21" s="15" t="n">
        <v>8</v>
      </c>
      <c r="Q21" s="15" t="n">
        <v>9</v>
      </c>
      <c r="R21" s="15" t="n">
        <v>10</v>
      </c>
      <c r="S21" s="15" t="n">
        <v>11</v>
      </c>
      <c r="T21" s="15" t="n">
        <v>12</v>
      </c>
      <c r="U21" s="15" t="n">
        <v>13</v>
      </c>
      <c r="V21" s="15" t="n">
        <v>14</v>
      </c>
      <c r="W21" s="15" t="n">
        <v>15</v>
      </c>
    </row>
    <row r="22">
      <c r="C22" s="15" t="inlineStr">
        <is>
          <t>dias/prod</t>
        </is>
      </c>
      <c r="D22" s="15" t="inlineStr">
        <is>
          <t>Avarege</t>
        </is>
      </c>
      <c r="E22" s="39">
        <f>TRUNC(I3,2)</f>
        <v/>
      </c>
      <c r="F22" s="15">
        <f>TRUNC((_xlfn.NORM.INV((RAND()),$E$22,$E$23)),2)</f>
        <v/>
      </c>
      <c r="G22" s="15" t="inlineStr">
        <is>
          <t>ELTw</t>
        </is>
      </c>
      <c r="H22" s="15" t="n">
        <v>1</v>
      </c>
      <c r="I22" s="25" t="n">
        <v>9.449999999999999</v>
      </c>
      <c r="J22" s="25" t="n">
        <v>14.92</v>
      </c>
      <c r="K22" s="25" t="n">
        <v>14.79</v>
      </c>
      <c r="L22" s="25" t="n">
        <v>17.69</v>
      </c>
      <c r="M22" s="25" t="n">
        <v>14.79</v>
      </c>
      <c r="N22" s="25" t="n">
        <v>14.31</v>
      </c>
      <c r="O22" s="25" t="n">
        <v>10.15</v>
      </c>
      <c r="P22" s="25" t="n">
        <v>14.45</v>
      </c>
      <c r="Q22" s="25" t="n">
        <v>12.52</v>
      </c>
      <c r="R22" s="25" t="n">
        <v>11.45</v>
      </c>
      <c r="S22" s="25" t="n">
        <v>13.36</v>
      </c>
      <c r="T22" s="25" t="n">
        <v>13.38</v>
      </c>
      <c r="U22" s="25" t="n">
        <v>14.59</v>
      </c>
      <c r="V22" s="25" t="n">
        <v>14.28</v>
      </c>
      <c r="W22" s="25" t="n">
        <v>16.04</v>
      </c>
    </row>
    <row r="23">
      <c r="C23" s="15" t="inlineStr">
        <is>
          <t>dias/prod</t>
        </is>
      </c>
      <c r="D23" s="15" t="inlineStr">
        <is>
          <t>Std Devition</t>
        </is>
      </c>
      <c r="E23" s="39">
        <f>TRUNC((E22*0.2),2)</f>
        <v/>
      </c>
      <c r="F23" s="15">
        <f>TRUNC((_xlfn.NORM.INV((RAND()),$E$22,$E$23)),2)</f>
        <v/>
      </c>
      <c r="H23" s="15" t="n">
        <v>2</v>
      </c>
      <c r="I23" s="25" t="n">
        <v>13.11</v>
      </c>
      <c r="J23" s="25" t="n">
        <v>17.64</v>
      </c>
      <c r="K23" s="25" t="n">
        <v>11.65</v>
      </c>
      <c r="L23" s="25" t="n">
        <v>20.06</v>
      </c>
      <c r="M23" s="25" t="n">
        <v>11.73</v>
      </c>
      <c r="N23" s="25" t="n">
        <v>15.92</v>
      </c>
      <c r="O23" s="25" t="n">
        <v>12.08</v>
      </c>
      <c r="P23" s="25" t="n">
        <v>15.93</v>
      </c>
      <c r="Q23" s="25" t="n">
        <v>10.8</v>
      </c>
      <c r="R23" s="25" t="n">
        <v>13.12</v>
      </c>
      <c r="S23" s="25" t="n">
        <v>12.44</v>
      </c>
      <c r="T23" s="25" t="n">
        <v>15.71</v>
      </c>
      <c r="U23" s="25" t="n">
        <v>19.48</v>
      </c>
      <c r="V23" s="25" t="n">
        <v>17.94</v>
      </c>
      <c r="W23" s="25" t="n">
        <v>13.48</v>
      </c>
    </row>
    <row r="24">
      <c r="F24" s="15">
        <f>TRUNC((_xlfn.NORM.INV((RAND()),$E$22,$E$23)),2)</f>
        <v/>
      </c>
      <c r="H24" s="15" t="n">
        <v>3</v>
      </c>
      <c r="I24" s="25" t="n">
        <v>18.26</v>
      </c>
      <c r="J24" s="25" t="n">
        <v>19.27</v>
      </c>
      <c r="K24" s="25" t="n">
        <v>20.64</v>
      </c>
      <c r="L24" s="25" t="n">
        <v>13.97</v>
      </c>
      <c r="M24" s="25" t="n">
        <v>13.78</v>
      </c>
      <c r="N24" s="25" t="n">
        <v>17.6</v>
      </c>
      <c r="O24" s="25" t="n">
        <v>12.66</v>
      </c>
      <c r="P24" s="25" t="n">
        <v>13.15</v>
      </c>
      <c r="Q24" s="25" t="n">
        <v>16.36</v>
      </c>
      <c r="R24" s="25" t="n">
        <v>15.94</v>
      </c>
      <c r="S24" s="25" t="n">
        <v>10.35</v>
      </c>
      <c r="T24" s="25" t="n">
        <v>14.02</v>
      </c>
      <c r="U24" s="25" t="n">
        <v>14.06</v>
      </c>
      <c r="V24" s="25" t="n">
        <v>12.12</v>
      </c>
      <c r="W24" s="25" t="n">
        <v>12.77</v>
      </c>
    </row>
    <row r="26">
      <c r="I26" s="15" t="n">
        <v>1</v>
      </c>
      <c r="J26" s="15" t="n">
        <v>2</v>
      </c>
      <c r="K26" s="15" t="n">
        <v>3</v>
      </c>
      <c r="L26" s="15" t="n">
        <v>4</v>
      </c>
      <c r="M26" s="15" t="n">
        <v>5</v>
      </c>
      <c r="N26" s="15" t="n">
        <v>6</v>
      </c>
      <c r="O26" s="15" t="n">
        <v>7</v>
      </c>
      <c r="P26" s="15" t="n">
        <v>8</v>
      </c>
      <c r="Q26" s="15" t="n">
        <v>9</v>
      </c>
      <c r="R26" s="15" t="n">
        <v>10</v>
      </c>
      <c r="S26" s="15" t="n">
        <v>11</v>
      </c>
      <c r="T26" s="15" t="n">
        <v>12</v>
      </c>
      <c r="U26" s="15" t="n">
        <v>13</v>
      </c>
      <c r="V26" s="15" t="n">
        <v>14</v>
      </c>
      <c r="W26" s="15" t="n">
        <v>15</v>
      </c>
    </row>
    <row r="27">
      <c r="C27" s="15" t="inlineStr">
        <is>
          <t>dias/prod</t>
        </is>
      </c>
      <c r="F27" s="39">
        <f>TRUNC((I32^0.5),4)</f>
        <v/>
      </c>
      <c r="G27" s="15" t="inlineStr">
        <is>
          <t>SigmaELTw</t>
        </is>
      </c>
      <c r="H27" s="15" t="n">
        <v>1</v>
      </c>
      <c r="I27" s="40" t="n">
        <v>0.3449</v>
      </c>
      <c r="J27" s="40" t="n">
        <v>0.5447</v>
      </c>
      <c r="K27" s="40" t="n">
        <v>0.54</v>
      </c>
      <c r="L27" s="40" t="n">
        <v>0.6459</v>
      </c>
      <c r="M27" s="40" t="n">
        <v>0.54</v>
      </c>
      <c r="N27" s="40" t="n">
        <v>0.5224</v>
      </c>
      <c r="O27" s="40" t="n">
        <v>0.3705</v>
      </c>
      <c r="P27" s="40" t="n">
        <v>0.5276</v>
      </c>
      <c r="Q27" s="40" t="n">
        <v>0.4571</v>
      </c>
      <c r="R27" s="40" t="n">
        <v>0.418</v>
      </c>
      <c r="S27" s="40" t="n">
        <v>0.4877</v>
      </c>
      <c r="T27" s="40" t="n">
        <v>0.4884</v>
      </c>
      <c r="U27" s="40" t="n">
        <v>0.5327</v>
      </c>
      <c r="V27" s="40" t="n">
        <v>0.5213</v>
      </c>
      <c r="W27" s="40" t="n">
        <v>0.5856</v>
      </c>
    </row>
    <row r="28">
      <c r="F28" s="39">
        <f>TRUNC((I33^0.5),4)</f>
        <v/>
      </c>
      <c r="H28" s="15" t="n">
        <v>2</v>
      </c>
      <c r="I28" s="40" t="n">
        <v>0.4786</v>
      </c>
      <c r="J28" s="40" t="n">
        <v>0.644</v>
      </c>
      <c r="K28" s="40" t="n">
        <v>0.4253</v>
      </c>
      <c r="L28" s="40" t="n">
        <v>0.7324000000000001</v>
      </c>
      <c r="M28" s="40" t="n">
        <v>0.4282</v>
      </c>
      <c r="N28" s="40" t="n">
        <v>0.5812</v>
      </c>
      <c r="O28" s="40" t="n">
        <v>0.441</v>
      </c>
      <c r="P28" s="40" t="n">
        <v>0.5816</v>
      </c>
      <c r="Q28" s="40" t="n">
        <v>0.3943</v>
      </c>
      <c r="R28" s="40" t="n">
        <v>0.479</v>
      </c>
      <c r="S28" s="40" t="n">
        <v>0.4542</v>
      </c>
      <c r="T28" s="40" t="n">
        <v>0.5735</v>
      </c>
      <c r="U28" s="40" t="n">
        <v>0.7112000000000001</v>
      </c>
      <c r="V28" s="40" t="n">
        <v>0.655</v>
      </c>
      <c r="W28" s="40" t="n">
        <v>0.4921</v>
      </c>
      <c r="X28" s="47" t="n"/>
    </row>
    <row r="29">
      <c r="F29" s="39">
        <f>TRUNC((I34^0.5),4)</f>
        <v/>
      </c>
      <c r="H29" s="15" t="n">
        <v>3</v>
      </c>
      <c r="I29" s="40" t="n">
        <v>0.6667</v>
      </c>
      <c r="J29" s="40" t="n">
        <v>0.7036</v>
      </c>
      <c r="K29" s="40" t="n">
        <v>0.7536</v>
      </c>
      <c r="L29" s="40" t="n">
        <v>0.51</v>
      </c>
      <c r="M29" s="40" t="n">
        <v>0.503</v>
      </c>
      <c r="N29" s="40" t="n">
        <v>0.6425999999999999</v>
      </c>
      <c r="O29" s="40" t="n">
        <v>0.4622</v>
      </c>
      <c r="P29" s="40" t="n">
        <v>0.4801</v>
      </c>
      <c r="Q29" s="40" t="n">
        <v>0.5973000000000001</v>
      </c>
      <c r="R29" s="40" t="n">
        <v>0.5819</v>
      </c>
      <c r="S29" s="40" t="n">
        <v>0.3778</v>
      </c>
      <c r="T29" s="40" t="n">
        <v>0.5118</v>
      </c>
      <c r="U29" s="40" t="n">
        <v>0.5133</v>
      </c>
      <c r="V29" s="40" t="n">
        <v>0.4424</v>
      </c>
      <c r="W29" s="40" t="n">
        <v>0.4662</v>
      </c>
    </row>
    <row r="31">
      <c r="I31" s="15" t="n">
        <v>1</v>
      </c>
      <c r="J31" s="15" t="n">
        <v>2</v>
      </c>
      <c r="K31" s="15" t="n">
        <v>3</v>
      </c>
      <c r="L31" s="15" t="n">
        <v>4</v>
      </c>
      <c r="M31" s="15" t="n">
        <v>5</v>
      </c>
      <c r="N31" s="15" t="n">
        <v>6</v>
      </c>
      <c r="O31" s="15" t="n">
        <v>7</v>
      </c>
      <c r="P31" s="15" t="n">
        <v>8</v>
      </c>
      <c r="Q31" s="15" t="n">
        <v>9</v>
      </c>
      <c r="R31" s="15" t="n">
        <v>10</v>
      </c>
      <c r="S31" s="15" t="n">
        <v>11</v>
      </c>
      <c r="T31" s="15" t="n">
        <v>12</v>
      </c>
      <c r="U31" s="15" t="n">
        <v>13</v>
      </c>
      <c r="V31" s="15" t="n">
        <v>14</v>
      </c>
      <c r="W31" s="15" t="n">
        <v>15</v>
      </c>
    </row>
    <row r="32">
      <c r="F32" s="39">
        <f>TRUNC((((I22*0.2)^2)/30),4)</f>
        <v/>
      </c>
      <c r="G32" s="15" t="inlineStr">
        <is>
          <t>VarELTw</t>
        </is>
      </c>
      <c r="H32" s="15" t="n">
        <v>1</v>
      </c>
      <c r="I32" s="39">
        <f>TRUNC((((I22*0.2)^2)/30),4)</f>
        <v/>
      </c>
      <c r="J32" s="39">
        <f>TRUNC((((J22*0.2)^2)/30),4)</f>
        <v/>
      </c>
      <c r="K32" s="39">
        <f>TRUNC((((K22*0.2)^2)/30),4)</f>
        <v/>
      </c>
      <c r="L32" s="39">
        <f>TRUNC((((L22*0.2)^2)/30),4)</f>
        <v/>
      </c>
      <c r="M32" s="39">
        <f>TRUNC((((M22*0.2)^2)/30),4)</f>
        <v/>
      </c>
      <c r="N32" s="39">
        <f>TRUNC((((N22*0.2)^2)/30),4)</f>
        <v/>
      </c>
      <c r="O32" s="39">
        <f>TRUNC((((O22*0.2)^2)/30),4)</f>
        <v/>
      </c>
      <c r="P32" s="39">
        <f>TRUNC((((P22*0.2)^2)/30),4)</f>
        <v/>
      </c>
      <c r="Q32" s="39">
        <f>TRUNC((((Q22*0.2)^2)/30),4)</f>
        <v/>
      </c>
      <c r="R32" s="39">
        <f>TRUNC((((R22*0.2)^2)/30),4)</f>
        <v/>
      </c>
      <c r="S32" s="39">
        <f>TRUNC((((S22*0.2)^2)/30),4)</f>
        <v/>
      </c>
      <c r="T32" s="39">
        <f>TRUNC((((T22*0.2)^2)/30),4)</f>
        <v/>
      </c>
      <c r="U32" s="39">
        <f>TRUNC((((U22*0.2)^2)/30),4)</f>
        <v/>
      </c>
      <c r="V32" s="39">
        <f>TRUNC((((V22*0.2)^2)/30),4)</f>
        <v/>
      </c>
      <c r="W32" s="39">
        <f>TRUNC((((W22*0.2)^2)/30),4)</f>
        <v/>
      </c>
    </row>
    <row r="33">
      <c r="F33" s="39">
        <f>TRUNC((((I23*0.2)^2)/30),4)</f>
        <v/>
      </c>
      <c r="H33" s="15" t="n">
        <v>2</v>
      </c>
      <c r="I33" s="39">
        <f>TRUNC((((I23*0.2)^2)/30),4)</f>
        <v/>
      </c>
      <c r="J33" s="39">
        <f>TRUNC((((J23*0.2)^2)/30),4)</f>
        <v/>
      </c>
      <c r="K33" s="39">
        <f>TRUNC((((K23*0.2)^2)/30),4)</f>
        <v/>
      </c>
      <c r="L33" s="39">
        <f>TRUNC((((L23*0.2)^2)/30),4)</f>
        <v/>
      </c>
      <c r="M33" s="39">
        <f>TRUNC((((M23*0.2)^2)/30),4)</f>
        <v/>
      </c>
      <c r="N33" s="39">
        <f>TRUNC((((N23*0.2)^2)/30),4)</f>
        <v/>
      </c>
      <c r="O33" s="39">
        <f>TRUNC((((O23*0.2)^2)/30),4)</f>
        <v/>
      </c>
      <c r="P33" s="39">
        <f>TRUNC((((P23*0.2)^2)/30),4)</f>
        <v/>
      </c>
      <c r="Q33" s="39">
        <f>TRUNC((((Q23*0.2)^2)/30),4)</f>
        <v/>
      </c>
      <c r="R33" s="39">
        <f>TRUNC((((R23*0.2)^2)/30),4)</f>
        <v/>
      </c>
      <c r="S33" s="39">
        <f>TRUNC((((S23*0.2)^2)/30),4)</f>
        <v/>
      </c>
      <c r="T33" s="39">
        <f>TRUNC((((T23*0.2)^2)/30),4)</f>
        <v/>
      </c>
      <c r="U33" s="39">
        <f>TRUNC((((U23*0.2)^2)/30),4)</f>
        <v/>
      </c>
      <c r="V33" s="39">
        <f>TRUNC((((V23*0.2)^2)/30),4)</f>
        <v/>
      </c>
      <c r="W33" s="39">
        <f>TRUNC((((W23*0.2)^2)/30),4)</f>
        <v/>
      </c>
    </row>
    <row r="34">
      <c r="F34" s="39">
        <f>TRUNC((((I24*0.2)^2)/30),4)</f>
        <v/>
      </c>
      <c r="H34" s="15" t="n">
        <v>3</v>
      </c>
      <c r="I34" s="39">
        <f>TRUNC((((I24*0.2)^2)/30),4)</f>
        <v/>
      </c>
      <c r="J34" s="39">
        <f>TRUNC((((J24*0.2)^2)/30),4)</f>
        <v/>
      </c>
      <c r="K34" s="39">
        <f>TRUNC((((K24*0.2)^2)/30),4)</f>
        <v/>
      </c>
      <c r="L34" s="39">
        <f>TRUNC((((L24*0.2)^2)/30),4)</f>
        <v/>
      </c>
      <c r="M34" s="39">
        <f>TRUNC((((M24*0.2)^2)/30),4)</f>
        <v/>
      </c>
      <c r="N34" s="39">
        <f>TRUNC((((N24*0.2)^2)/30),4)</f>
        <v/>
      </c>
      <c r="O34" s="39">
        <f>TRUNC((((O24*0.2)^2)/30),4)</f>
        <v/>
      </c>
      <c r="P34" s="39">
        <f>TRUNC((((P24*0.2)^2)/30),4)</f>
        <v/>
      </c>
      <c r="Q34" s="39">
        <f>TRUNC((((Q24*0.2)^2)/30),4)</f>
        <v/>
      </c>
      <c r="R34" s="39">
        <f>TRUNC((((R24*0.2)^2)/30),4)</f>
        <v/>
      </c>
      <c r="S34" s="39">
        <f>TRUNC((((S24*0.2)^2)/30),4)</f>
        <v/>
      </c>
      <c r="T34" s="39">
        <f>TRUNC((((T24*0.2)^2)/30),4)</f>
        <v/>
      </c>
      <c r="U34" s="39">
        <f>TRUNC((((U24*0.2)^2)/30),4)</f>
        <v/>
      </c>
      <c r="V34" s="39">
        <f>TRUNC((((V24*0.2)^2)/30),4)</f>
        <v/>
      </c>
      <c r="W34" s="39">
        <f>TRUNC((((W24*0.2)^2)/30),4)</f>
        <v/>
      </c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C2:K34"/>
  <sheetViews>
    <sheetView zoomScale="90" zoomScaleNormal="90" workbookViewId="0">
      <selection activeCell="I17" sqref="I17"/>
    </sheetView>
  </sheetViews>
  <sheetFormatPr baseColWidth="8" defaultColWidth="8.88671875" defaultRowHeight="14.4"/>
  <cols>
    <col width="8.88671875" customWidth="1" style="15" min="1" max="1"/>
    <col width="12.33203125" customWidth="1" style="15" min="2" max="2"/>
    <col width="12.6640625" bestFit="1" customWidth="1" style="15" min="3" max="3"/>
    <col width="17.109375" bestFit="1" customWidth="1" style="15" min="4" max="4"/>
    <col width="11.6640625" customWidth="1" style="15" min="5" max="6"/>
    <col width="13.109375" customWidth="1" style="15" min="7" max="7"/>
    <col width="8.88671875" customWidth="1" style="15" min="8" max="8"/>
    <col width="9.44140625" bestFit="1" customWidth="1" style="15" min="9" max="11"/>
    <col width="8.88671875" customWidth="1" style="15" min="12" max="16384"/>
  </cols>
  <sheetData>
    <row r="2">
      <c r="I2" s="46" t="inlineStr">
        <is>
          <t>Lead time</t>
        </is>
      </c>
    </row>
    <row r="3">
      <c r="I3" s="15" t="n">
        <v>5</v>
      </c>
      <c r="J3" s="15" t="inlineStr">
        <is>
          <t>dias</t>
        </is>
      </c>
    </row>
    <row r="4">
      <c r="E4" s="63" t="inlineStr">
        <is>
          <t>GERADOR DE DADOS</t>
        </is>
      </c>
    </row>
    <row r="5">
      <c r="I5" s="15" t="n">
        <v>16</v>
      </c>
      <c r="J5" s="15" t="n">
        <v>17</v>
      </c>
      <c r="K5" s="15" t="n">
        <v>18</v>
      </c>
    </row>
    <row r="6">
      <c r="C6" s="15" t="inlineStr">
        <is>
          <t>$/prod</t>
        </is>
      </c>
      <c r="D6" s="15" t="inlineStr">
        <is>
          <t>Avarege</t>
        </is>
      </c>
      <c r="E6" s="39" t="n">
        <v>170</v>
      </c>
      <c r="F6" s="39">
        <f>TRUNC((_xlfn.NORM.INV((RAND()),$E$6,$E$7)),2)</f>
        <v/>
      </c>
      <c r="G6" s="15" t="inlineStr">
        <is>
          <t>hf</t>
        </is>
      </c>
      <c r="H6" s="15" t="n">
        <v>4</v>
      </c>
      <c r="I6" s="42" t="n">
        <v>171.74</v>
      </c>
      <c r="J6" s="42" t="n">
        <v>168.87</v>
      </c>
      <c r="K6" s="42" t="n">
        <v>168.84</v>
      </c>
    </row>
    <row r="7">
      <c r="C7" s="15" t="inlineStr">
        <is>
          <t>$/prod</t>
        </is>
      </c>
      <c r="D7" s="15" t="inlineStr">
        <is>
          <t>Std Devition</t>
        </is>
      </c>
      <c r="E7" s="39">
        <f>E6*0.02</f>
        <v/>
      </c>
      <c r="F7" s="39">
        <f>TRUNC((_xlfn.NORM.INV((RAND()),$E$6,$E$7)),2)</f>
        <v/>
      </c>
      <c r="H7" s="15" t="n">
        <v>5</v>
      </c>
      <c r="I7" s="42" t="n">
        <v>174.14</v>
      </c>
      <c r="J7" s="42" t="n">
        <v>173.41</v>
      </c>
      <c r="K7" s="42" t="n">
        <v>169.87</v>
      </c>
    </row>
    <row r="8">
      <c r="F8" s="39">
        <f>TRUNC((_xlfn.NORM.INV((RAND()),$E$6,$E$7)),2)</f>
        <v/>
      </c>
      <c r="H8" s="15" t="n">
        <v>6</v>
      </c>
      <c r="I8" s="42" t="n">
        <v>169.75</v>
      </c>
      <c r="J8" s="42" t="n">
        <v>167.89</v>
      </c>
      <c r="K8" s="42" t="n">
        <v>174.44</v>
      </c>
    </row>
    <row r="9">
      <c r="F9" s="39" t="n"/>
      <c r="I9" s="39" t="n"/>
      <c r="J9" s="39" t="n"/>
      <c r="K9" s="39" t="n"/>
    </row>
    <row r="10">
      <c r="I10" s="63" t="inlineStr">
        <is>
          <t>Variância da demanda média</t>
        </is>
      </c>
    </row>
    <row r="11">
      <c r="I11" s="15" t="n">
        <v>16</v>
      </c>
      <c r="J11" s="15" t="n">
        <v>17</v>
      </c>
      <c r="K11" s="15" t="n">
        <v>18</v>
      </c>
    </row>
    <row r="12">
      <c r="H12" s="15" t="n">
        <v>4</v>
      </c>
      <c r="I12" s="15">
        <f>TRUNC(((Demand!AU11*0.2)^2)/30,2)</f>
        <v/>
      </c>
      <c r="J12" s="15">
        <f>TRUNC(((Demand!AV11*0.2)^2)/30,2)</f>
        <v/>
      </c>
      <c r="K12" s="15">
        <f>TRUNC(((Demand!AW11*0.2)^2)/30,2)</f>
        <v/>
      </c>
    </row>
    <row r="13">
      <c r="H13" s="15" t="n">
        <v>5</v>
      </c>
      <c r="I13" s="15">
        <f>TRUNC(((Demand!AU12*0.2)^2)/30,2)</f>
        <v/>
      </c>
      <c r="J13" s="15">
        <f>TRUNC(((Demand!AV12*0.2)^2)/30,2)</f>
        <v/>
      </c>
      <c r="K13" s="15">
        <f>TRUNC(((Demand!AW12*0.2)^2)/30,2)</f>
        <v/>
      </c>
    </row>
    <row r="14">
      <c r="H14" s="15" t="n">
        <v>6</v>
      </c>
      <c r="I14" s="15">
        <f>TRUNC(((Demand!AU13*0.2)^2)/30,2)</f>
        <v/>
      </c>
      <c r="J14" s="15">
        <f>TRUNC(((Demand!AV13*0.2)^2)/30,2)</f>
        <v/>
      </c>
      <c r="K14" s="15">
        <f>TRUNC(((Demand!AW13*0.2)^2)/30,2)</f>
        <v/>
      </c>
    </row>
    <row r="16">
      <c r="I16" s="15" t="n">
        <v>16</v>
      </c>
      <c r="J16" s="15" t="n">
        <v>17</v>
      </c>
      <c r="K16" s="15" t="n">
        <v>18</v>
      </c>
    </row>
    <row r="17">
      <c r="C17" s="15" t="inlineStr">
        <is>
          <t>prod/dia</t>
        </is>
      </c>
      <c r="D17" s="15" t="inlineStr">
        <is>
          <t>Avarege</t>
        </is>
      </c>
      <c r="F17" s="39">
        <f>TRUNC(((I12)+(Factories_Cap!D3))^0.5,2)</f>
        <v/>
      </c>
      <c r="G17" s="15" t="inlineStr">
        <is>
          <t>SigmaNDf</t>
        </is>
      </c>
      <c r="H17" s="15" t="n">
        <v>4</v>
      </c>
      <c r="I17" s="40" t="n">
        <v>85.81999999999999</v>
      </c>
      <c r="J17" s="40" t="n">
        <v>78.75</v>
      </c>
      <c r="K17" s="40" t="n">
        <v>90.91</v>
      </c>
    </row>
    <row r="18">
      <c r="C18" s="15" t="inlineStr">
        <is>
          <t>prod/dia</t>
        </is>
      </c>
      <c r="D18" s="15">
        <f>AVERAGE(FactoriesStdDev)</f>
        <v/>
      </c>
      <c r="E18" s="48" t="n"/>
      <c r="F18" s="39">
        <f>TRUNC(((I13)+(Factories_Cap!D4))^0.5,2)</f>
        <v/>
      </c>
      <c r="H18" s="15" t="n">
        <v>5</v>
      </c>
      <c r="I18" s="40" t="n">
        <v>72.63</v>
      </c>
      <c r="J18" s="40" t="n">
        <v>71.90000000000001</v>
      </c>
      <c r="K18" s="40" t="n">
        <v>103.1</v>
      </c>
    </row>
    <row r="19">
      <c r="F19" s="39">
        <f>TRUNC(((I14)+(Factories_Cap!D5))^0.5,2)</f>
        <v/>
      </c>
      <c r="H19" s="15" t="n">
        <v>6</v>
      </c>
      <c r="I19" s="40" t="n">
        <v>80.17</v>
      </c>
      <c r="J19" s="40" t="n">
        <v>70.04000000000001</v>
      </c>
      <c r="K19" s="40" t="n">
        <v>95.69</v>
      </c>
    </row>
    <row r="21">
      <c r="I21" s="15" t="n">
        <v>16</v>
      </c>
      <c r="J21" s="15" t="n">
        <v>17</v>
      </c>
      <c r="K21" s="15" t="n">
        <v>18</v>
      </c>
    </row>
    <row r="22">
      <c r="C22" s="15" t="inlineStr">
        <is>
          <t>dias/prod</t>
        </is>
      </c>
      <c r="D22" s="15" t="inlineStr">
        <is>
          <t>Avarege</t>
        </is>
      </c>
      <c r="E22" s="15">
        <f>I3</f>
        <v/>
      </c>
      <c r="F22" s="15">
        <f>TRUNC((_xlfn.NORM.INV((RAND()),$E$22,$E$23)),3)</f>
        <v/>
      </c>
      <c r="G22" s="15" t="inlineStr">
        <is>
          <t>ELTf</t>
        </is>
      </c>
      <c r="H22" s="15" t="n">
        <v>4</v>
      </c>
      <c r="I22" s="44" t="n">
        <v>4.889</v>
      </c>
      <c r="J22" s="44" t="n">
        <v>6.521</v>
      </c>
      <c r="K22" s="44" t="n">
        <v>4.091</v>
      </c>
    </row>
    <row r="23">
      <c r="C23" s="15" t="inlineStr">
        <is>
          <t>dias/prod</t>
        </is>
      </c>
      <c r="D23" s="15" t="inlineStr">
        <is>
          <t>Std Devition</t>
        </is>
      </c>
      <c r="E23" s="15">
        <f>E22*0.2</f>
        <v/>
      </c>
      <c r="F23" s="15">
        <f>TRUNC((_xlfn.NORM.INV((RAND()),$E$22,$E$23)),3)</f>
        <v/>
      </c>
      <c r="H23" s="15" t="n">
        <v>5</v>
      </c>
      <c r="I23" s="44" t="n">
        <v>3.548</v>
      </c>
      <c r="J23" s="44" t="n">
        <v>6.734</v>
      </c>
      <c r="K23" s="44" t="n">
        <v>4.237</v>
      </c>
    </row>
    <row r="24">
      <c r="F24" s="15">
        <f>TRUNC((_xlfn.NORM.INV((RAND()),$E$22,$E$23)),3)</f>
        <v/>
      </c>
      <c r="H24" s="15" t="n">
        <v>6</v>
      </c>
      <c r="I24" s="44" t="n">
        <v>4.35</v>
      </c>
      <c r="J24" s="44" t="n">
        <v>5.496</v>
      </c>
      <c r="K24" s="44" t="n">
        <v>4.967</v>
      </c>
    </row>
    <row r="26">
      <c r="I26" s="15" t="n">
        <v>16</v>
      </c>
      <c r="J26" s="15" t="n">
        <v>17</v>
      </c>
      <c r="K26" s="15" t="n">
        <v>18</v>
      </c>
    </row>
    <row r="27">
      <c r="C27" s="15" t="inlineStr">
        <is>
          <t>dias/prod</t>
        </is>
      </c>
      <c r="F27" s="39">
        <f>TRUNC((I32^0.5),4)</f>
        <v/>
      </c>
      <c r="G27" s="15" t="inlineStr">
        <is>
          <t>SigmaELTw</t>
        </is>
      </c>
      <c r="H27" s="15" t="n">
        <v>4</v>
      </c>
      <c r="I27" s="40" t="n">
        <v>0.1783</v>
      </c>
      <c r="J27" s="40" t="n">
        <v>0.2379</v>
      </c>
      <c r="K27" s="40" t="n">
        <v>0.1493</v>
      </c>
    </row>
    <row r="28">
      <c r="F28" s="39">
        <f>TRUNC((I33^0.5),4)</f>
        <v/>
      </c>
      <c r="H28" s="15" t="n">
        <v>5</v>
      </c>
      <c r="I28" s="40" t="n">
        <v>0.1292</v>
      </c>
      <c r="J28" s="40" t="n">
        <v>0.2457</v>
      </c>
      <c r="K28" s="40" t="n">
        <v>0.1545</v>
      </c>
    </row>
    <row r="29">
      <c r="F29" s="39">
        <f>TRUNC((I34^0.5),4)</f>
        <v/>
      </c>
      <c r="H29" s="15" t="n">
        <v>6</v>
      </c>
      <c r="I29" s="40" t="n">
        <v>0.1587</v>
      </c>
      <c r="J29" s="40" t="n">
        <v>0.2004</v>
      </c>
      <c r="K29" s="40" t="n">
        <v>0.1811</v>
      </c>
    </row>
    <row r="31">
      <c r="I31" s="15" t="n">
        <v>16</v>
      </c>
      <c r="J31" s="15" t="n">
        <v>17</v>
      </c>
      <c r="K31" s="15" t="n">
        <v>18</v>
      </c>
    </row>
    <row r="32">
      <c r="F32" s="39">
        <f>TRUNC((((I22*0.2)^2)/30),4)</f>
        <v/>
      </c>
      <c r="G32" s="15" t="inlineStr">
        <is>
          <t>VarELTw</t>
        </is>
      </c>
      <c r="H32" s="15" t="n">
        <v>4</v>
      </c>
      <c r="I32" s="39">
        <f>TRUNC((((I22*0.2)^2)/30),4)</f>
        <v/>
      </c>
      <c r="J32" s="39">
        <f>TRUNC((((J22*0.2)^2)/30),4)</f>
        <v/>
      </c>
      <c r="K32" s="39">
        <f>TRUNC((((K22*0.2)^2)/30),4)</f>
        <v/>
      </c>
    </row>
    <row r="33">
      <c r="F33" s="39">
        <f>TRUNC((((I23*0.2)^2)/30),4)</f>
        <v/>
      </c>
      <c r="H33" s="15" t="n">
        <v>5</v>
      </c>
      <c r="I33" s="39">
        <f>TRUNC((((I23*0.2)^2)/30),4)</f>
        <v/>
      </c>
      <c r="J33" s="39">
        <f>TRUNC((((J23*0.2)^2)/30),4)</f>
        <v/>
      </c>
      <c r="K33" s="39">
        <f>TRUNC((((K23*0.2)^2)/30),4)</f>
        <v/>
      </c>
    </row>
    <row r="34">
      <c r="F34" s="39">
        <f>TRUNC((((I24*0.2)^2)/30),4)</f>
        <v/>
      </c>
      <c r="H34" s="15" t="n">
        <v>6</v>
      </c>
      <c r="I34" s="39">
        <f>TRUNC((((I24*0.2)^2)/30),4)</f>
        <v/>
      </c>
      <c r="J34" s="39">
        <f>TRUNC((((J24*0.2)^2)/30),4)</f>
        <v/>
      </c>
      <c r="K34" s="39">
        <f>TRUNC((((K24*0.2)^2)/30),4)</f>
        <v/>
      </c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J2:V42"/>
  <sheetViews>
    <sheetView zoomScale="90" zoomScaleNormal="90" workbookViewId="0">
      <selection activeCell="F23" sqref="F23"/>
    </sheetView>
  </sheetViews>
  <sheetFormatPr baseColWidth="8" defaultColWidth="8.88671875" defaultRowHeight="14.4"/>
  <cols>
    <col width="8.88671875" customWidth="1" style="64" min="1" max="1"/>
    <col hidden="1" width="12.44140625" customWidth="1" style="64" min="2" max="2"/>
    <col hidden="1" width="10.5546875" customWidth="1" style="64" min="3" max="3"/>
    <col hidden="1" width="9" customWidth="1" style="64" min="4" max="4"/>
    <col hidden="1" width="8.88671875" customWidth="1" style="64" min="5" max="5"/>
    <col hidden="1" width="9" customWidth="1" style="64" min="6" max="6"/>
    <col hidden="1" width="15.33203125" customWidth="1" style="64" min="7" max="7"/>
    <col hidden="1" width="8.88671875" customWidth="1" style="64" min="8" max="8"/>
    <col width="8.88671875" customWidth="1" style="64" min="9" max="9"/>
    <col width="12.6640625" bestFit="1" customWidth="1" style="64" min="10" max="10"/>
    <col width="17.109375" bestFit="1" customWidth="1" style="64" min="11" max="11"/>
    <col width="10.5546875" customWidth="1" style="64" min="12" max="13"/>
    <col width="13.44140625" customWidth="1" style="64" min="14" max="14"/>
    <col width="9" bestFit="1" customWidth="1" style="64" min="15" max="15"/>
    <col width="12" bestFit="1" customWidth="1" style="64" min="16" max="18"/>
    <col width="8.88671875" customWidth="1" style="64" min="19" max="16384"/>
  </cols>
  <sheetData>
    <row r="2">
      <c r="P2" t="inlineStr">
        <is>
          <t>Tempo de atravessamento</t>
        </is>
      </c>
    </row>
    <row r="3">
      <c r="P3" s="64" t="n">
        <v>15</v>
      </c>
      <c r="Q3" s="64" t="inlineStr">
        <is>
          <t>dias</t>
        </is>
      </c>
    </row>
    <row r="4">
      <c r="L4" s="64" t="inlineStr">
        <is>
          <t>GERADOR DE DADOS</t>
        </is>
      </c>
    </row>
    <row r="5">
      <c r="P5" s="64" t="n">
        <v>19</v>
      </c>
      <c r="Q5" s="64" t="n">
        <v>20</v>
      </c>
      <c r="R5" s="64" t="n">
        <v>21</v>
      </c>
    </row>
    <row r="6">
      <c r="J6" s="64" t="inlineStr">
        <is>
          <t>$/prod</t>
        </is>
      </c>
      <c r="K6" s="64" t="inlineStr">
        <is>
          <t>Avarege</t>
        </is>
      </c>
      <c r="L6" s="2">
        <f>Factories!E6*1.1</f>
        <v/>
      </c>
      <c r="M6" s="64">
        <f>TRUNC((_xlfn.NORM.INV((RAND()),$L$6,$L$7)),2)</f>
        <v/>
      </c>
      <c r="N6" s="64" t="inlineStr">
        <is>
          <t>hd</t>
        </is>
      </c>
      <c r="O6" s="64" t="n">
        <v>9</v>
      </c>
      <c r="P6" s="5" t="n">
        <v>189.79</v>
      </c>
      <c r="Q6" s="5" t="n">
        <v>150.06</v>
      </c>
      <c r="R6" s="5" t="n">
        <v>255.21</v>
      </c>
    </row>
    <row r="7">
      <c r="J7" s="64" t="inlineStr">
        <is>
          <t>$/prod</t>
        </is>
      </c>
      <c r="K7" s="64" t="inlineStr">
        <is>
          <t>Std Devition</t>
        </is>
      </c>
      <c r="L7" s="2">
        <f>L6*0.2</f>
        <v/>
      </c>
      <c r="M7" s="64">
        <f>TRUNC((_xlfn.NORM.INV((RAND()),$L$6,$L$7)),2)</f>
        <v/>
      </c>
      <c r="O7" s="64" t="n">
        <v>10</v>
      </c>
      <c r="P7" s="5" t="n">
        <v>183.1</v>
      </c>
      <c r="Q7" s="5" t="n">
        <v>183.44</v>
      </c>
      <c r="R7" s="5" t="n">
        <v>191.12</v>
      </c>
    </row>
    <row r="10">
      <c r="P10" s="64" t="n">
        <v>19</v>
      </c>
      <c r="Q10" s="64" t="n">
        <v>20</v>
      </c>
      <c r="R10" s="64" t="n">
        <v>21</v>
      </c>
    </row>
    <row r="11">
      <c r="J11" s="64" t="inlineStr">
        <is>
          <t>prod/dia</t>
        </is>
      </c>
      <c r="K11" s="64" t="inlineStr">
        <is>
          <t>Avarege</t>
        </is>
      </c>
      <c r="L11" s="8">
        <f>Demand!E20</f>
        <v/>
      </c>
      <c r="M11" s="64">
        <f>TRUNC((_xlfn.NORM.INV((RAND()),$L$11,$L$12)),3)</f>
        <v/>
      </c>
      <c r="N11" s="64" t="inlineStr">
        <is>
          <t>sigmad</t>
        </is>
      </c>
      <c r="O11" s="64" t="n">
        <v>9</v>
      </c>
      <c r="P11" s="5" t="n">
        <v>500.671</v>
      </c>
      <c r="Q11" s="5" t="n">
        <v>508.078</v>
      </c>
      <c r="R11" s="5" t="n">
        <v>500.369</v>
      </c>
    </row>
    <row r="12">
      <c r="J12" s="64" t="inlineStr">
        <is>
          <t>prod/dia</t>
        </is>
      </c>
      <c r="K12" s="64" t="inlineStr">
        <is>
          <t>Std Devition</t>
        </is>
      </c>
      <c r="L12" s="8">
        <f>L11*0.01</f>
        <v/>
      </c>
      <c r="M12" s="64">
        <f>TRUNC((_xlfn.NORM.INV((RAND()),$L$11,$L$12)),3)</f>
        <v/>
      </c>
      <c r="O12" s="64" t="n">
        <v>10</v>
      </c>
      <c r="P12" s="5" t="n">
        <v>500.379</v>
      </c>
      <c r="Q12" s="5" t="n">
        <v>493.31</v>
      </c>
      <c r="R12" s="5" t="n">
        <v>505.821</v>
      </c>
    </row>
    <row r="15">
      <c r="P15" s="64" t="n">
        <v>19</v>
      </c>
      <c r="Q15" s="64" t="n">
        <v>20</v>
      </c>
      <c r="R15" s="64" t="n">
        <v>21</v>
      </c>
      <c r="T15" s="64" t="inlineStr">
        <is>
          <t>Máximo</t>
        </is>
      </c>
      <c r="U15" s="64" t="inlineStr">
        <is>
          <t>Mínimo</t>
        </is>
      </c>
    </row>
    <row r="16">
      <c r="J16" s="64" t="inlineStr">
        <is>
          <t>dias/prod</t>
        </is>
      </c>
      <c r="K16" s="64" t="inlineStr">
        <is>
          <t>Avarege</t>
        </is>
      </c>
      <c r="L16" s="64">
        <f>P3</f>
        <v/>
      </c>
      <c r="M16" s="64">
        <f>TRUNC((_xlfn.NORM.INV((RAND()),$L$16,$L$17)),3)</f>
        <v/>
      </c>
      <c r="N16" s="64" t="inlineStr">
        <is>
          <t>lambdad</t>
        </is>
      </c>
      <c r="O16" s="64" t="n">
        <v>9</v>
      </c>
      <c r="P16" s="5" t="n">
        <v>19.26</v>
      </c>
      <c r="Q16" s="5" t="n">
        <v>16.289</v>
      </c>
      <c r="R16" s="5" t="n">
        <v>18.674</v>
      </c>
      <c r="T16" s="64">
        <f>MAX(DistributorsLeadTime)</f>
        <v/>
      </c>
      <c r="U16" s="64">
        <f>MIN(FactoriesLeadTime)</f>
        <v/>
      </c>
    </row>
    <row r="17">
      <c r="J17" s="64" t="inlineStr">
        <is>
          <t>dias/prod</t>
        </is>
      </c>
      <c r="K17" s="64" t="inlineStr">
        <is>
          <t>Std Devition</t>
        </is>
      </c>
      <c r="L17" s="64">
        <f>L16*0.2</f>
        <v/>
      </c>
      <c r="M17" s="64">
        <f>TRUNC((_xlfn.NORM.INV((RAND()),$L$16,$L$17)),3)</f>
        <v/>
      </c>
      <c r="O17" s="64" t="n">
        <v>10</v>
      </c>
      <c r="P17" s="5" t="n">
        <v>15.308</v>
      </c>
      <c r="Q17" s="5" t="n">
        <v>14.624</v>
      </c>
      <c r="R17" s="5" t="n">
        <v>19.745</v>
      </c>
    </row>
    <row r="20">
      <c r="P20" s="64" t="n">
        <v>19</v>
      </c>
      <c r="Q20" s="64" t="n">
        <v>20</v>
      </c>
      <c r="R20" s="64" t="n">
        <v>21</v>
      </c>
      <c r="T20" s="64" t="inlineStr">
        <is>
          <t>CV</t>
        </is>
      </c>
    </row>
    <row r="21">
      <c r="K21" s="64" t="inlineStr">
        <is>
          <t>fator de segurança</t>
        </is>
      </c>
      <c r="M21" s="64">
        <f>IF(Distributors_Cap!D18=0,0,(IF((Demand!AU19&lt;Distributors_Cap!D13),0,(((2*(P16+Factories_Cap!#REF!)-Distributors_Cap!L12)*(Demand!AU19-Distributors_Cap!D13))/(P11*((2*(P16+Factories_Cap!#REF!)-Distributors_Cap!L12)^0.5))))))</f>
        <v/>
      </c>
      <c r="N21" s="64" t="inlineStr">
        <is>
          <t>kd</t>
        </is>
      </c>
      <c r="O21" s="64" t="n">
        <v>9</v>
      </c>
      <c r="P21" s="5" t="n">
        <v>7.592558883216195</v>
      </c>
      <c r="Q21" s="5" t="n">
        <v>0</v>
      </c>
      <c r="R21" s="5" t="n">
        <v>0</v>
      </c>
      <c r="T21" s="64">
        <f>P11/Demand!AU19</f>
        <v/>
      </c>
      <c r="U21" s="64">
        <f>Q11/Demand!AV19</f>
        <v/>
      </c>
      <c r="V21" s="64">
        <f>R11/Demand!AW19</f>
        <v/>
      </c>
    </row>
    <row r="22">
      <c r="O22" s="64" t="n">
        <v>10</v>
      </c>
      <c r="P22" s="5" t="n">
        <v>16.32072023133007</v>
      </c>
      <c r="Q22" s="5" t="n">
        <v>0</v>
      </c>
      <c r="R22" s="5" t="n">
        <v>4.487536123810481</v>
      </c>
      <c r="T22" s="64">
        <f>P12/Demand!AU20</f>
        <v/>
      </c>
      <c r="U22" s="64">
        <f>Q12/Demand!AV20</f>
        <v/>
      </c>
      <c r="V22" s="64">
        <f>R12/Demand!AW20</f>
        <v/>
      </c>
    </row>
    <row r="24">
      <c r="P24" s="64" t="n">
        <v>19</v>
      </c>
      <c r="Q24" s="64" t="n">
        <v>20</v>
      </c>
      <c r="R24" s="64" t="n">
        <v>21</v>
      </c>
    </row>
    <row r="25">
      <c r="N25" s="7" t="inlineStr">
        <is>
          <t>Ld+MaxSOf-Sd</t>
        </is>
      </c>
      <c r="O25" s="64" t="n">
        <v>9</v>
      </c>
      <c r="P25" s="64">
        <f>Results!$B$12+P16-Results!D17</f>
        <v/>
      </c>
      <c r="Q25" s="64">
        <f>Results!$B$12+Q16-Results!E17</f>
        <v/>
      </c>
      <c r="R25" s="64">
        <f>Results!$B$12+R16-Results!F17</f>
        <v/>
      </c>
    </row>
    <row r="26">
      <c r="O26" s="64" t="n">
        <v>10</v>
      </c>
      <c r="P26" s="64">
        <f>Results!$B$12+P17-Results!D18</f>
        <v/>
      </c>
      <c r="Q26" s="64">
        <f>Results!$B$12+Q17-Results!E18</f>
        <v/>
      </c>
      <c r="R26" s="64">
        <f>Results!$B$12+R17-Results!F18</f>
        <v/>
      </c>
    </row>
    <row r="28">
      <c r="P28" s="64" t="n">
        <v>19</v>
      </c>
      <c r="Q28" s="64" t="n">
        <v>20</v>
      </c>
      <c r="R28" s="64" t="n">
        <v>21</v>
      </c>
    </row>
    <row r="29">
      <c r="N29" s="64" t="inlineStr">
        <is>
          <t>Sd</t>
        </is>
      </c>
      <c r="O29" s="64" t="n">
        <v>9</v>
      </c>
      <c r="P29" s="64">
        <f>Results!D17</f>
        <v/>
      </c>
      <c r="Q29" s="64">
        <f>Results!E17</f>
        <v/>
      </c>
      <c r="R29" s="64">
        <f>Results!F17</f>
        <v/>
      </c>
    </row>
    <row r="30">
      <c r="O30" s="64" t="n">
        <v>10</v>
      </c>
      <c r="P30" s="64">
        <f>Results!D18</f>
        <v/>
      </c>
      <c r="Q30" s="64">
        <f>Results!E18</f>
        <v/>
      </c>
      <c r="R30" s="64">
        <f>Results!F18</f>
        <v/>
      </c>
    </row>
    <row r="32">
      <c r="P32" s="64" t="n">
        <v>19</v>
      </c>
      <c r="Q32" s="64" t="n">
        <v>20</v>
      </c>
      <c r="R32" s="64" t="n">
        <v>21</v>
      </c>
    </row>
    <row r="33">
      <c r="N33" s="64" t="inlineStr">
        <is>
          <t>Dem</t>
        </is>
      </c>
      <c r="O33" s="64" t="n">
        <v>9</v>
      </c>
      <c r="P33" s="64">
        <f>Demand!AU19</f>
        <v/>
      </c>
      <c r="Q33" s="64">
        <f>Demand!AV19</f>
        <v/>
      </c>
      <c r="R33" s="64">
        <f>Demand!AW19</f>
        <v/>
      </c>
    </row>
    <row r="34">
      <c r="O34" s="64" t="n">
        <v>10</v>
      </c>
      <c r="P34" s="64">
        <f>Demand!AU20</f>
        <v/>
      </c>
      <c r="Q34" s="64">
        <f>Demand!AV20</f>
        <v/>
      </c>
      <c r="R34" s="64">
        <f>Demand!AW20</f>
        <v/>
      </c>
    </row>
    <row r="36">
      <c r="P36" s="64" t="n">
        <v>19</v>
      </c>
      <c r="Q36" s="64" t="n">
        <v>20</v>
      </c>
      <c r="R36" s="64" t="n">
        <v>21</v>
      </c>
    </row>
    <row r="37">
      <c r="N37" s="64" t="inlineStr">
        <is>
          <t>Cap</t>
        </is>
      </c>
      <c r="O37" s="64" t="n">
        <v>9</v>
      </c>
      <c r="P37" s="64">
        <f>Distributors_Cap!D13</f>
        <v/>
      </c>
      <c r="Q37" s="64">
        <f>Distributors_Cap!E13</f>
        <v/>
      </c>
      <c r="R37" s="64">
        <f>Distributors_Cap!F13</f>
        <v/>
      </c>
    </row>
    <row r="38">
      <c r="O38" s="64" t="n">
        <v>10</v>
      </c>
      <c r="P38" s="64">
        <f>Distributors_Cap!D14</f>
        <v/>
      </c>
      <c r="Q38" s="64">
        <f>Distributors_Cap!E14</f>
        <v/>
      </c>
      <c r="R38" s="64">
        <f>Distributors_Cap!F14</f>
        <v/>
      </c>
    </row>
    <row r="40">
      <c r="P40" s="64" t="n">
        <v>19</v>
      </c>
      <c r="Q40" s="64" t="n">
        <v>20</v>
      </c>
      <c r="R40" s="64" t="n">
        <v>21</v>
      </c>
    </row>
    <row r="41">
      <c r="O41" s="64" t="n">
        <v>9</v>
      </c>
      <c r="P41" s="64">
        <f>IF((P33-P37)&gt;=0,"Dem","Folga")</f>
        <v/>
      </c>
      <c r="Q41" s="64">
        <f>IF((Q33-Q37)&gt;=0,"Dem","Folga")</f>
        <v/>
      </c>
      <c r="R41" s="64">
        <f>IF((R33-R37)&gt;=0,"Dem","Folga")</f>
        <v/>
      </c>
    </row>
    <row r="42">
      <c r="O42" s="64" t="n">
        <v>10</v>
      </c>
      <c r="P42" s="64">
        <f>IF((P34-P38)&gt;=0,"Dem","Folga")</f>
        <v/>
      </c>
      <c r="Q42" s="64">
        <f>IF((Q34-Q38)&gt;=0,"Dem","Folga")</f>
        <v/>
      </c>
      <c r="R42" s="64">
        <f>IF((R34-R38)&gt;=0,"Dem","Folga")</f>
        <v/>
      </c>
    </row>
  </sheetData>
  <mergeCells count="1">
    <mergeCell ref="L4:M4"/>
  </mergeCells>
  <pageMargins left="0.511811024" right="0.511811024" top="0.787401575" bottom="0.787401575" header="0.31496062" footer="0.3149606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J2:CS196"/>
  <sheetViews>
    <sheetView topLeftCell="R1" zoomScale="90" zoomScaleNormal="90" workbookViewId="0">
      <selection activeCell="A1" sqref="A1"/>
    </sheetView>
  </sheetViews>
  <sheetFormatPr baseColWidth="8" defaultColWidth="8.88671875" defaultRowHeight="14.4"/>
  <cols>
    <col width="4.88671875" customWidth="1" style="64" min="1" max="1"/>
    <col hidden="1" width="1.33203125" customWidth="1" style="64" min="2" max="8"/>
    <col width="8.88671875" customWidth="1" style="64" min="9" max="9"/>
    <col width="10" bestFit="1" customWidth="1" style="64" min="10" max="10"/>
    <col width="11.5546875" customWidth="1" style="64" min="11" max="11"/>
    <col hidden="1" width="8.6640625" customWidth="1" style="64" min="12" max="12"/>
    <col hidden="1" width="15.33203125" customWidth="1" style="64" min="13" max="13"/>
    <col width="8.88671875" customWidth="1" style="64" min="14" max="19"/>
    <col width="12.6640625" bestFit="1" customWidth="1" style="64" min="20" max="20"/>
    <col width="11.5546875" bestFit="1" customWidth="1" style="64" min="21" max="21"/>
    <col hidden="1" width="10.6640625" customWidth="1" style="64" min="22" max="23"/>
    <col width="8.88671875" customWidth="1" style="64" min="24" max="29"/>
    <col width="12.6640625" bestFit="1" customWidth="1" style="64" min="30" max="30"/>
    <col width="10.6640625" bestFit="1" customWidth="1" style="64" min="31" max="31"/>
    <col hidden="1" width="11.33203125" customWidth="1" style="64" min="32" max="33"/>
    <col width="8.88671875" customWidth="1" style="64" min="34" max="35"/>
    <col width="12" bestFit="1" customWidth="1" style="64" min="36" max="36"/>
    <col width="14.33203125" customWidth="1" style="64" min="37" max="37"/>
    <col width="16" customWidth="1" style="64" min="38" max="38"/>
    <col width="7.33203125" customWidth="1" style="64" min="39" max="39"/>
    <col width="17.109375" bestFit="1" customWidth="1" style="64" min="40" max="40"/>
    <col hidden="1" width="7.5546875" customWidth="1" style="64" min="41" max="41"/>
    <col hidden="1" width="16" customWidth="1" style="64" min="42" max="42"/>
    <col width="8.88671875" customWidth="1" style="64" min="43" max="52"/>
    <col hidden="1" width="13" customWidth="1" style="64" min="53" max="57"/>
    <col width="11.88671875" bestFit="1" customWidth="1" style="64" min="58" max="58"/>
    <col width="8.88671875" customWidth="1" style="64" min="59" max="16384"/>
  </cols>
  <sheetData>
    <row r="2">
      <c r="AJ2" t="inlineStr">
        <is>
          <t>Tempo de atravessamento</t>
        </is>
      </c>
      <c r="AL2" s="64">
        <f>MIN(RetailersLeadTime)</f>
        <v/>
      </c>
    </row>
    <row r="3">
      <c r="AJ3" s="64" t="n">
        <v>60</v>
      </c>
      <c r="AK3" s="64" t="inlineStr">
        <is>
          <t>dias</t>
        </is>
      </c>
    </row>
    <row r="4">
      <c r="L4" s="64" t="inlineStr">
        <is>
          <t>GERADOR DE DADOS</t>
        </is>
      </c>
      <c r="V4" s="64" t="inlineStr">
        <is>
          <t>GERADOR DE DADOS</t>
        </is>
      </c>
      <c r="AF4" s="64" t="inlineStr">
        <is>
          <t>GERADOR DE DADOS</t>
        </is>
      </c>
      <c r="AO4" s="64" t="inlineStr">
        <is>
          <t>GERADOR DE DADOS</t>
        </is>
      </c>
      <c r="BG4" s="7" t="inlineStr">
        <is>
          <t>Lr+MaxSOd-Sr</t>
        </is>
      </c>
    </row>
    <row r="5">
      <c r="P5" s="64" t="n">
        <v>22</v>
      </c>
      <c r="Q5" s="64" t="n">
        <v>23</v>
      </c>
      <c r="R5" s="64" t="n">
        <v>24</v>
      </c>
      <c r="Z5" s="64" t="n">
        <v>22</v>
      </c>
      <c r="AA5" s="64" t="n">
        <v>23</v>
      </c>
      <c r="AB5" s="64" t="n">
        <v>24</v>
      </c>
      <c r="AJ5" s="64" t="n">
        <v>22</v>
      </c>
      <c r="AK5" s="64" t="n">
        <v>23</v>
      </c>
      <c r="AL5" s="64" t="n">
        <v>24</v>
      </c>
      <c r="AS5" s="64" t="n">
        <v>22</v>
      </c>
      <c r="AT5" s="64" t="n">
        <v>23</v>
      </c>
      <c r="AU5" s="64" t="n">
        <v>24</v>
      </c>
      <c r="AW5" s="64" t="inlineStr">
        <is>
          <t>CV</t>
        </is>
      </c>
      <c r="BH5" s="64" t="n">
        <v>22</v>
      </c>
      <c r="BI5" s="64" t="n">
        <v>23</v>
      </c>
      <c r="BJ5" s="64" t="n">
        <v>24</v>
      </c>
      <c r="BN5" s="64" t="n">
        <v>22</v>
      </c>
      <c r="BO5" s="64" t="n">
        <v>23</v>
      </c>
      <c r="BP5" s="64" t="n">
        <v>24</v>
      </c>
      <c r="BT5" s="64" t="n">
        <v>22</v>
      </c>
      <c r="BU5" s="64" t="n">
        <v>23</v>
      </c>
      <c r="BV5" s="64" t="n">
        <v>24</v>
      </c>
      <c r="BZ5" s="64" t="n">
        <v>22</v>
      </c>
      <c r="CA5" s="64" t="n">
        <v>23</v>
      </c>
      <c r="CB5" s="64" t="n">
        <v>24</v>
      </c>
      <c r="CE5" s="64" t="n">
        <v>22</v>
      </c>
      <c r="CF5" s="64" t="n">
        <v>23</v>
      </c>
      <c r="CG5" s="64" t="n">
        <v>24</v>
      </c>
    </row>
    <row r="6">
      <c r="J6" s="64" t="inlineStr">
        <is>
          <t>$/prod</t>
        </is>
      </c>
      <c r="K6" s="64" t="inlineStr">
        <is>
          <t>Avarege</t>
        </is>
      </c>
      <c r="L6" s="2">
        <f>Distributors!L6*1.1</f>
        <v/>
      </c>
      <c r="M6" s="64">
        <f>TRUNC((_xlfn.NORM.INV((RAND()),$L$6,$L$7)),2)</f>
        <v/>
      </c>
      <c r="N6" s="64" t="inlineStr">
        <is>
          <t>hr</t>
        </is>
      </c>
      <c r="O6" s="64" t="n">
        <v>11</v>
      </c>
      <c r="P6" s="5" t="n">
        <v>209.12</v>
      </c>
      <c r="Q6" s="5" t="n">
        <v>185.93</v>
      </c>
      <c r="R6" s="5" t="n">
        <v>213.25</v>
      </c>
      <c r="T6" s="64" t="inlineStr">
        <is>
          <t>prod/dia</t>
        </is>
      </c>
      <c r="U6" s="64" t="inlineStr">
        <is>
          <t>Avarege</t>
        </is>
      </c>
      <c r="V6" s="8">
        <f>Demand!E25</f>
        <v/>
      </c>
      <c r="W6" s="64">
        <f>TRUNC((_xlfn.NORM.INV((RAND()),$V$6,$V$7)),3)</f>
        <v/>
      </c>
      <c r="X6" s="64" t="inlineStr">
        <is>
          <t>sigmar</t>
        </is>
      </c>
      <c r="Y6" s="64" t="n">
        <v>11</v>
      </c>
      <c r="Z6" s="5" t="n">
        <v>6.79</v>
      </c>
      <c r="AA6" s="5" t="n">
        <v>6.685</v>
      </c>
      <c r="AB6" s="5" t="n">
        <v>6.691</v>
      </c>
      <c r="AD6" s="64" t="inlineStr">
        <is>
          <t>dias/prod</t>
        </is>
      </c>
      <c r="AE6" s="64" t="inlineStr">
        <is>
          <t>Avarege</t>
        </is>
      </c>
      <c r="AF6" s="64">
        <f>AJ3</f>
        <v/>
      </c>
      <c r="AG6" s="64">
        <f>TRUNC((_xlfn.NORM.INV((RAND()),$AF$6,$AF$7)),3)</f>
        <v/>
      </c>
      <c r="AH6" s="64" t="inlineStr">
        <is>
          <t>lambdar</t>
        </is>
      </c>
      <c r="AI6" s="64" t="n">
        <v>11</v>
      </c>
      <c r="AJ6" s="5" t="n">
        <v>53.045</v>
      </c>
      <c r="AK6" s="5" t="n">
        <v>56.66</v>
      </c>
      <c r="AL6" s="5" t="n">
        <v>54.621</v>
      </c>
      <c r="AN6" s="64" t="inlineStr">
        <is>
          <t>fator de segurança</t>
        </is>
      </c>
      <c r="AP6" s="64">
        <f>IF(Retailers_Cap!R7=0,0,(IF((Demand!AU24&lt;Retailers_Cap!N7),0,(((2*(AJ6+Distributors_Cap!$P$47)-Retailers_Cap!$BB$7)*(Demand!AU24-Retailers_Cap!N7))/(Z6*((2*(AJ6+Distributors_Cap!$P$47)-Retailers_Cap!BB7)^0.5))))))</f>
        <v/>
      </c>
      <c r="AQ6" s="64" t="inlineStr">
        <is>
          <t>kr</t>
        </is>
      </c>
      <c r="AR6" s="64" t="n">
        <v>11</v>
      </c>
      <c r="AS6" s="5" t="n">
        <v>16.090838532262</v>
      </c>
      <c r="AT6" s="5" t="n">
        <v>13.76839698118468</v>
      </c>
      <c r="AU6" s="5" t="n">
        <v>4.854520450298061</v>
      </c>
      <c r="AW6" s="64">
        <f>Z6/Demand!AU24</f>
        <v/>
      </c>
      <c r="AX6" s="64">
        <f>AA6/Demand!AV24</f>
        <v/>
      </c>
      <c r="AY6" s="64">
        <f>AB6/Demand!AW24</f>
        <v/>
      </c>
      <c r="BG6" s="64" t="n">
        <v>11</v>
      </c>
      <c r="BH6" s="64">
        <f>Results!$B$19+AJ6-Results!$D$21</f>
        <v/>
      </c>
      <c r="BI6" s="64">
        <f>Results!$B$19+AK6-Results!$D$21</f>
        <v/>
      </c>
      <c r="BJ6" s="64">
        <f>Results!$B$19+AL6-Results!$D$21</f>
        <v/>
      </c>
      <c r="BL6" s="64" t="inlineStr">
        <is>
          <t>Sr</t>
        </is>
      </c>
      <c r="BM6" s="64" t="n">
        <v>11</v>
      </c>
      <c r="BN6" s="64">
        <f>Results!D21</f>
        <v/>
      </c>
      <c r="BO6" s="64">
        <f>Results!E21</f>
        <v/>
      </c>
      <c r="BP6" s="64">
        <f>Results!F21</f>
        <v/>
      </c>
      <c r="BR6" s="64" t="inlineStr">
        <is>
          <t>Dem</t>
        </is>
      </c>
      <c r="BS6" s="64" t="n">
        <v>11</v>
      </c>
      <c r="BT6" s="64">
        <f>Demand!AU24</f>
        <v/>
      </c>
      <c r="BU6" s="64">
        <f>Demand!AV24</f>
        <v/>
      </c>
      <c r="BV6" s="64">
        <f>Demand!AW24</f>
        <v/>
      </c>
      <c r="BX6" s="64" t="inlineStr">
        <is>
          <t>Cap</t>
        </is>
      </c>
      <c r="BY6" s="64" t="n">
        <v>11</v>
      </c>
      <c r="BZ6" s="64">
        <f>Retailers_Cap!N7</f>
        <v/>
      </c>
      <c r="CA6" s="64">
        <f>Retailers_Cap!O7</f>
        <v/>
      </c>
      <c r="CB6" s="64">
        <f>Retailers_Cap!P7</f>
        <v/>
      </c>
      <c r="CD6" s="64" t="n">
        <v>11</v>
      </c>
      <c r="CE6" s="64">
        <f>IF((BT6-BZ6)&gt;=0,"Dem","Folga")</f>
        <v/>
      </c>
      <c r="CF6" s="64">
        <f>IF((BU6-CA6)&gt;=0,"Dem","Folga")</f>
        <v/>
      </c>
      <c r="CG6" s="64">
        <f>IF((BV6-CB6)&gt;=0,"Dem","Folga")</f>
        <v/>
      </c>
    </row>
    <row r="7">
      <c r="J7" s="64" t="inlineStr">
        <is>
          <t>$/prod</t>
        </is>
      </c>
      <c r="K7" s="64" t="inlineStr">
        <is>
          <t>Std Devition</t>
        </is>
      </c>
      <c r="L7" s="2">
        <f>L6*0.2</f>
        <v/>
      </c>
      <c r="M7" s="64">
        <f>TRUNC((_xlfn.NORM.INV((RAND()),$L$6,$L$7)),2)</f>
        <v/>
      </c>
      <c r="O7" s="64" t="n">
        <v>12</v>
      </c>
      <c r="P7" s="5" t="n">
        <v>249.63</v>
      </c>
      <c r="Q7" s="5" t="n">
        <v>155.87</v>
      </c>
      <c r="R7" s="5" t="n">
        <v>172.64</v>
      </c>
      <c r="T7" s="64" t="inlineStr">
        <is>
          <t>prod/dia</t>
        </is>
      </c>
      <c r="U7" s="64" t="inlineStr">
        <is>
          <t>Std Devition</t>
        </is>
      </c>
      <c r="V7" s="8">
        <f>V6*0.01</f>
        <v/>
      </c>
      <c r="W7" s="64">
        <f>TRUNC((_xlfn.NORM.INV((RAND()),$V$6,$V$7)),3)</f>
        <v/>
      </c>
      <c r="Y7" s="64" t="n">
        <v>12</v>
      </c>
      <c r="Z7" s="5" t="n">
        <v>6.752</v>
      </c>
      <c r="AA7" s="5" t="n">
        <v>6.812</v>
      </c>
      <c r="AB7" s="5" t="n">
        <v>6.833</v>
      </c>
      <c r="AD7" s="64" t="inlineStr">
        <is>
          <t>dias/prod</t>
        </is>
      </c>
      <c r="AE7" s="64" t="inlineStr">
        <is>
          <t>Std Devition</t>
        </is>
      </c>
      <c r="AF7" s="64">
        <f>AF6*0.2</f>
        <v/>
      </c>
      <c r="AG7" s="64">
        <f>TRUNC((_xlfn.NORM.INV((RAND()),$AF$6,$AF$7)),3)</f>
        <v/>
      </c>
      <c r="AI7" s="64" t="n">
        <v>12</v>
      </c>
      <c r="AJ7" s="5" t="n">
        <v>63.666</v>
      </c>
      <c r="AK7" s="5" t="n">
        <v>66.75</v>
      </c>
      <c r="AL7" s="5" t="n">
        <v>64.45</v>
      </c>
      <c r="AR7" s="64" t="n">
        <v>12</v>
      </c>
      <c r="AS7" s="5" t="n">
        <v>0</v>
      </c>
      <c r="AT7" s="5" t="n">
        <v>0</v>
      </c>
      <c r="AU7" s="5" t="n">
        <v>13.31783375845737</v>
      </c>
      <c r="AW7" s="64">
        <f>Z7/Demand!AU25</f>
        <v/>
      </c>
      <c r="AX7" s="64">
        <f>AA7/Demand!AV25</f>
        <v/>
      </c>
      <c r="AY7" s="64">
        <f>AB7/Demand!AW25</f>
        <v/>
      </c>
      <c r="BG7" s="64" t="n">
        <v>12</v>
      </c>
      <c r="BH7" s="64">
        <f>Results!$B$19+AJ7-Results!$D$21</f>
        <v/>
      </c>
      <c r="BI7" s="64">
        <f>Results!$B$19+AK7-Results!$D$21</f>
        <v/>
      </c>
      <c r="BJ7" s="64">
        <f>Results!$B$19+AL7-Results!$D$21</f>
        <v/>
      </c>
      <c r="BM7" s="64" t="n">
        <v>12</v>
      </c>
      <c r="BN7" s="64">
        <f>Results!D22</f>
        <v/>
      </c>
      <c r="BO7" s="64">
        <f>Results!E22</f>
        <v/>
      </c>
      <c r="BP7" s="64">
        <f>Results!F22</f>
        <v/>
      </c>
      <c r="BS7" s="64" t="n">
        <v>12</v>
      </c>
      <c r="BT7" s="64">
        <f>Demand!AU25</f>
        <v/>
      </c>
      <c r="BU7" s="64">
        <f>Demand!AV25</f>
        <v/>
      </c>
      <c r="BV7" s="64">
        <f>Demand!AW25</f>
        <v/>
      </c>
      <c r="BY7" s="64" t="n">
        <v>12</v>
      </c>
      <c r="BZ7" s="64">
        <f>Retailers_Cap!N8</f>
        <v/>
      </c>
      <c r="CA7" s="64">
        <f>Retailers_Cap!O8</f>
        <v/>
      </c>
      <c r="CB7" s="64">
        <f>Retailers_Cap!P8</f>
        <v/>
      </c>
      <c r="CD7" s="64" t="n">
        <v>12</v>
      </c>
      <c r="CE7" s="64">
        <f>IF((BT7-BZ7)&gt;=0,"Dem","Folga")</f>
        <v/>
      </c>
      <c r="CF7" s="64">
        <f>IF((BU7-CA7)&gt;=0,"Dem","Folga")</f>
        <v/>
      </c>
      <c r="CG7" s="64">
        <f>IF((BV7-CB7)&gt;=0,"Dem","Folga")</f>
        <v/>
      </c>
    </row>
    <row r="8">
      <c r="M8" s="64">
        <f>TRUNC((_xlfn.NORM.INV((RAND()),$L$6,$L$7)),2)</f>
        <v/>
      </c>
      <c r="O8" s="64" t="n">
        <v>13</v>
      </c>
      <c r="P8" s="5" t="n">
        <v>215.08</v>
      </c>
      <c r="Q8" s="5" t="n">
        <v>196.95</v>
      </c>
      <c r="R8" s="5" t="n">
        <v>106.71</v>
      </c>
      <c r="W8" s="64">
        <f>TRUNC((_xlfn.NORM.INV((RAND()),$V$6,$V$7)),3)</f>
        <v/>
      </c>
      <c r="Y8" s="64" t="n">
        <v>13</v>
      </c>
      <c r="Z8" s="5" t="n">
        <v>6.681</v>
      </c>
      <c r="AA8" s="5" t="n">
        <v>6.74</v>
      </c>
      <c r="AB8" s="5" t="n">
        <v>6.696</v>
      </c>
      <c r="AG8" s="64">
        <f>TRUNC((_xlfn.NORM.INV((RAND()),$AF$6,$AF$7)),3)</f>
        <v/>
      </c>
      <c r="AI8" s="64" t="n">
        <v>13</v>
      </c>
      <c r="AJ8" s="5" t="n">
        <v>51.821</v>
      </c>
      <c r="AK8" s="5" t="n">
        <v>69.47799999999999</v>
      </c>
      <c r="AL8" s="5" t="n">
        <v>55.332</v>
      </c>
      <c r="AR8" s="64" t="n">
        <v>13</v>
      </c>
      <c r="AS8" s="5" t="n">
        <v>0</v>
      </c>
      <c r="AT8" s="5" t="n">
        <v>0</v>
      </c>
      <c r="AU8" s="5" t="n">
        <v>24.78100859941</v>
      </c>
      <c r="AW8" s="64">
        <f>Z8/Demand!AU26</f>
        <v/>
      </c>
      <c r="AX8" s="64">
        <f>AA8/Demand!AV26</f>
        <v/>
      </c>
      <c r="AY8" s="64">
        <f>AB8/Demand!AW26</f>
        <v/>
      </c>
      <c r="BG8" s="64" t="n">
        <v>13</v>
      </c>
      <c r="BH8" s="64">
        <f>Results!$B$19+AJ8-Results!$D$21</f>
        <v/>
      </c>
      <c r="BI8" s="64">
        <f>Results!$B$19+AK8-Results!$D$21</f>
        <v/>
      </c>
      <c r="BJ8" s="64">
        <f>Results!$B$19+AL8-Results!$D$21</f>
        <v/>
      </c>
      <c r="BM8" s="64" t="n">
        <v>13</v>
      </c>
      <c r="BN8" s="64">
        <f>Results!D23</f>
        <v/>
      </c>
      <c r="BO8" s="64">
        <f>Results!E23</f>
        <v/>
      </c>
      <c r="BP8" s="64">
        <f>Results!F23</f>
        <v/>
      </c>
      <c r="BS8" s="64" t="n">
        <v>13</v>
      </c>
      <c r="BT8" s="64">
        <f>Demand!AU26</f>
        <v/>
      </c>
      <c r="BU8" s="64">
        <f>Demand!AV26</f>
        <v/>
      </c>
      <c r="BV8" s="64">
        <f>Demand!AW26</f>
        <v/>
      </c>
      <c r="BY8" s="64" t="n">
        <v>13</v>
      </c>
      <c r="BZ8" s="64">
        <f>Retailers_Cap!N9</f>
        <v/>
      </c>
      <c r="CA8" s="64">
        <f>Retailers_Cap!O9</f>
        <v/>
      </c>
      <c r="CB8" s="64">
        <f>Retailers_Cap!P9</f>
        <v/>
      </c>
      <c r="CD8" s="64" t="n">
        <v>13</v>
      </c>
      <c r="CE8" s="64">
        <f>IF((BT8-BZ8)&gt;=0,"Dem","Folga")</f>
        <v/>
      </c>
      <c r="CF8" s="64">
        <f>IF((BU8-CA8)&gt;=0,"Dem","Folga")</f>
        <v/>
      </c>
      <c r="CG8" s="64">
        <f>IF((BV8-CB8)&gt;=0,"Dem","Folga")</f>
        <v/>
      </c>
    </row>
    <row r="9">
      <c r="M9" s="64">
        <f>TRUNC((_xlfn.NORM.INV((RAND()),$L$6,$L$7)),2)</f>
        <v/>
      </c>
      <c r="O9" s="64" t="n">
        <v>14</v>
      </c>
      <c r="P9" s="5" t="n">
        <v>213.47</v>
      </c>
      <c r="Q9" s="5" t="n">
        <v>189.41</v>
      </c>
      <c r="R9" s="5" t="n">
        <v>259.02</v>
      </c>
      <c r="W9" s="64">
        <f>TRUNC((_xlfn.NORM.INV((RAND()),$V$6,$V$7)),3)</f>
        <v/>
      </c>
      <c r="Y9" s="64" t="n">
        <v>14</v>
      </c>
      <c r="Z9" s="5" t="n">
        <v>6.736</v>
      </c>
      <c r="AA9" s="5" t="n">
        <v>6.781</v>
      </c>
      <c r="AB9" s="5" t="n">
        <v>6.708</v>
      </c>
      <c r="AG9" s="64">
        <f>TRUNC((_xlfn.NORM.INV((RAND()),$AF$6,$AF$7)),3)</f>
        <v/>
      </c>
      <c r="AI9" s="64" t="n">
        <v>14</v>
      </c>
      <c r="AJ9" s="5" t="n">
        <v>53.004</v>
      </c>
      <c r="AK9" s="5" t="n">
        <v>56.216</v>
      </c>
      <c r="AL9" s="5" t="n">
        <v>53.435</v>
      </c>
      <c r="AR9" s="64" t="n">
        <v>14</v>
      </c>
      <c r="AS9" s="5" t="n">
        <v>0</v>
      </c>
      <c r="AT9" s="5" t="n">
        <v>0</v>
      </c>
      <c r="AU9" s="5" t="n">
        <v>0</v>
      </c>
      <c r="AW9" s="64">
        <f>Z9/Demand!AU27</f>
        <v/>
      </c>
      <c r="AX9" s="64">
        <f>AA9/Demand!AV27</f>
        <v/>
      </c>
      <c r="AY9" s="64">
        <f>AB9/Demand!AW27</f>
        <v/>
      </c>
      <c r="BG9" s="64" t="n">
        <v>14</v>
      </c>
      <c r="BH9" s="64">
        <f>Results!$B$19+AJ9-Results!$D$21</f>
        <v/>
      </c>
      <c r="BI9" s="64">
        <f>Results!$B$19+AK9-Results!$D$21</f>
        <v/>
      </c>
      <c r="BJ9" s="64">
        <f>Results!$B$19+AL9-Results!$D$21</f>
        <v/>
      </c>
      <c r="BM9" s="64" t="n">
        <v>14</v>
      </c>
      <c r="BN9" s="64">
        <f>Results!D24</f>
        <v/>
      </c>
      <c r="BO9" s="64">
        <f>Results!E24</f>
        <v/>
      </c>
      <c r="BP9" s="64">
        <f>Results!F24</f>
        <v/>
      </c>
      <c r="BS9" s="64" t="n">
        <v>14</v>
      </c>
      <c r="BT9" s="64">
        <f>Demand!AU27</f>
        <v/>
      </c>
      <c r="BU9" s="64">
        <f>Demand!AV27</f>
        <v/>
      </c>
      <c r="BV9" s="64">
        <f>Demand!AW27</f>
        <v/>
      </c>
      <c r="BY9" s="64" t="n">
        <v>14</v>
      </c>
      <c r="BZ9" s="64">
        <f>Retailers_Cap!N10</f>
        <v/>
      </c>
      <c r="CA9" s="64">
        <f>Retailers_Cap!O10</f>
        <v/>
      </c>
      <c r="CB9" s="64">
        <f>Retailers_Cap!P10</f>
        <v/>
      </c>
      <c r="CD9" s="64" t="n">
        <v>14</v>
      </c>
      <c r="CE9" s="64">
        <f>IF((BT9-BZ9)&gt;=0,"Dem","Folga")</f>
        <v/>
      </c>
      <c r="CF9" s="64">
        <f>IF((BU9-CA9)&gt;=0,"Dem","Folga")</f>
        <v/>
      </c>
      <c r="CG9" s="64">
        <f>IF((BV9-CB9)&gt;=0,"Dem","Folga")</f>
        <v/>
      </c>
    </row>
    <row r="10">
      <c r="M10" s="64">
        <f>TRUNC((_xlfn.NORM.INV((RAND()),$L$6,$L$7)),2)</f>
        <v/>
      </c>
      <c r="O10" s="64" t="n">
        <v>15</v>
      </c>
      <c r="P10" s="5" t="n">
        <v>229.13</v>
      </c>
      <c r="Q10" s="5" t="n">
        <v>174.03</v>
      </c>
      <c r="R10" s="5" t="n">
        <v>211.69</v>
      </c>
      <c r="W10" s="64">
        <f>TRUNC((_xlfn.NORM.INV((RAND()),$V$6,$V$7)),3)</f>
        <v/>
      </c>
      <c r="Y10" s="64" t="n">
        <v>15</v>
      </c>
      <c r="Z10" s="5" t="n">
        <v>6.576</v>
      </c>
      <c r="AA10" s="5" t="n">
        <v>6.758</v>
      </c>
      <c r="AB10" s="5" t="n">
        <v>6.71</v>
      </c>
      <c r="AG10" s="64">
        <f>TRUNC((_xlfn.NORM.INV((RAND()),$AF$6,$AF$7)),3)</f>
        <v/>
      </c>
      <c r="AI10" s="64" t="n">
        <v>15</v>
      </c>
      <c r="AJ10" s="5" t="n">
        <v>50.825</v>
      </c>
      <c r="AK10" s="5" t="n">
        <v>55.76</v>
      </c>
      <c r="AL10" s="5" t="n">
        <v>46.177</v>
      </c>
      <c r="AR10" s="64" t="n">
        <v>15</v>
      </c>
      <c r="AS10" s="5" t="n">
        <v>13.03779402816948</v>
      </c>
      <c r="AT10" s="5" t="n">
        <v>0</v>
      </c>
      <c r="AU10" s="5" t="n">
        <v>0</v>
      </c>
      <c r="AW10" s="64">
        <f>Z10/Demand!AU28</f>
        <v/>
      </c>
      <c r="AX10" s="64">
        <f>AA10/Demand!AV28</f>
        <v/>
      </c>
      <c r="AY10" s="64">
        <f>AB10/Demand!AW28</f>
        <v/>
      </c>
      <c r="BG10" s="64" t="n">
        <v>15</v>
      </c>
      <c r="BH10" s="64">
        <f>Results!$B$19+AJ10-Results!$D$21</f>
        <v/>
      </c>
      <c r="BI10" s="64">
        <f>Results!$B$19+AK10-Results!$D$21</f>
        <v/>
      </c>
      <c r="BJ10" s="64">
        <f>Results!$B$19+AL10-Results!$D$21</f>
        <v/>
      </c>
      <c r="BM10" s="64" t="n">
        <v>15</v>
      </c>
      <c r="BN10" s="64">
        <f>Results!D25</f>
        <v/>
      </c>
      <c r="BO10" s="64">
        <f>Results!E25</f>
        <v/>
      </c>
      <c r="BP10" s="64">
        <f>Results!F25</f>
        <v/>
      </c>
      <c r="BS10" s="64" t="n">
        <v>15</v>
      </c>
      <c r="BT10" s="64">
        <f>Demand!AU28</f>
        <v/>
      </c>
      <c r="BU10" s="64">
        <f>Demand!AV28</f>
        <v/>
      </c>
      <c r="BV10" s="64">
        <f>Demand!AW28</f>
        <v/>
      </c>
      <c r="BY10" s="64" t="n">
        <v>15</v>
      </c>
      <c r="BZ10" s="64">
        <f>Retailers_Cap!N11</f>
        <v/>
      </c>
      <c r="CA10" s="64">
        <f>Retailers_Cap!O11</f>
        <v/>
      </c>
      <c r="CB10" s="64">
        <f>Retailers_Cap!P11</f>
        <v/>
      </c>
      <c r="CD10" s="64" t="n">
        <v>15</v>
      </c>
      <c r="CE10" s="64">
        <f>IF((BT10-BZ10)&gt;=0,"Dem","Folga")</f>
        <v/>
      </c>
      <c r="CF10" s="64">
        <f>IF((BU10-CA10)&gt;=0,"Dem","Folga")</f>
        <v/>
      </c>
      <c r="CG10" s="64">
        <f>IF((BV10-CB10)&gt;=0,"Dem","Folga")</f>
        <v/>
      </c>
    </row>
    <row r="11">
      <c r="M11" s="64">
        <f>TRUNC((_xlfn.NORM.INV((RAND()),$L$6,$L$7)),2)</f>
        <v/>
      </c>
      <c r="O11" s="64" t="n">
        <v>16</v>
      </c>
      <c r="P11" s="5" t="n">
        <v>254.52</v>
      </c>
      <c r="Q11" s="5" t="n">
        <v>127.67</v>
      </c>
      <c r="R11" s="5" t="n">
        <v>236.71</v>
      </c>
      <c r="W11" s="64">
        <f>TRUNC((_xlfn.NORM.INV((RAND()),$V$6,$V$7)),3)</f>
        <v/>
      </c>
      <c r="Y11" s="64" t="n">
        <v>16</v>
      </c>
      <c r="Z11" s="5" t="n">
        <v>6.852</v>
      </c>
      <c r="AA11" s="5" t="n">
        <v>6.663</v>
      </c>
      <c r="AB11" s="5" t="n">
        <v>6.795</v>
      </c>
      <c r="AG11" s="64">
        <f>TRUNC((_xlfn.NORM.INV((RAND()),$AF$6,$AF$7)),3)</f>
        <v/>
      </c>
      <c r="AI11" s="64" t="n">
        <v>16</v>
      </c>
      <c r="AJ11" s="5" t="n">
        <v>62.647</v>
      </c>
      <c r="AK11" s="5" t="n">
        <v>59.808</v>
      </c>
      <c r="AL11" s="5" t="n">
        <v>73.167</v>
      </c>
      <c r="AR11" s="64" t="n">
        <v>16</v>
      </c>
      <c r="AS11" s="5" t="n">
        <v>0</v>
      </c>
      <c r="AT11" s="5" t="n">
        <v>0</v>
      </c>
      <c r="AU11" s="5" t="n">
        <v>0</v>
      </c>
      <c r="AW11" s="64">
        <f>Z11/Demand!AU29</f>
        <v/>
      </c>
      <c r="AX11" s="64">
        <f>AA11/Demand!AV29</f>
        <v/>
      </c>
      <c r="AY11" s="64">
        <f>AB11/Demand!AW29</f>
        <v/>
      </c>
      <c r="BG11" s="64" t="n">
        <v>16</v>
      </c>
      <c r="BH11" s="64">
        <f>Results!$B$19+AJ11-Results!$D$21</f>
        <v/>
      </c>
      <c r="BI11" s="64">
        <f>Results!$B$19+AK11-Results!$D$21</f>
        <v/>
      </c>
      <c r="BJ11" s="64">
        <f>Results!$B$19+AL11-Results!$D$21</f>
        <v/>
      </c>
      <c r="BM11" s="64" t="n">
        <v>16</v>
      </c>
      <c r="BN11" s="64">
        <f>Results!D26</f>
        <v/>
      </c>
      <c r="BO11" s="64">
        <f>Results!E26</f>
        <v/>
      </c>
      <c r="BP11" s="64">
        <f>Results!F26</f>
        <v/>
      </c>
      <c r="BS11" s="64" t="n">
        <v>16</v>
      </c>
      <c r="BT11" s="64">
        <f>Demand!AU29</f>
        <v/>
      </c>
      <c r="BU11" s="64">
        <f>Demand!AV29</f>
        <v/>
      </c>
      <c r="BV11" s="64">
        <f>Demand!AW29</f>
        <v/>
      </c>
      <c r="BY11" s="64" t="n">
        <v>16</v>
      </c>
      <c r="BZ11" s="64">
        <f>Retailers_Cap!N12</f>
        <v/>
      </c>
      <c r="CA11" s="64">
        <f>Retailers_Cap!O12</f>
        <v/>
      </c>
      <c r="CB11" s="64">
        <f>Retailers_Cap!P12</f>
        <v/>
      </c>
      <c r="CD11" s="64" t="n">
        <v>16</v>
      </c>
      <c r="CE11" s="64">
        <f>IF((BT11-BZ11)&gt;=0,"Dem","Folga")</f>
        <v/>
      </c>
      <c r="CF11" s="64">
        <f>IF((BU11-CA11)&gt;=0,"Dem","Folga")</f>
        <v/>
      </c>
      <c r="CG11" s="64">
        <f>IF((BV11-CB11)&gt;=0,"Dem","Folga")</f>
        <v/>
      </c>
    </row>
    <row r="12">
      <c r="M12" s="64">
        <f>TRUNC((_xlfn.NORM.INV((RAND()),$L$6,$L$7)),2)</f>
        <v/>
      </c>
      <c r="O12" s="64" t="n">
        <v>17</v>
      </c>
      <c r="P12" s="5" t="n">
        <v>134.27</v>
      </c>
      <c r="Q12" s="5" t="n">
        <v>218.91</v>
      </c>
      <c r="R12" s="5" t="n">
        <v>219.58</v>
      </c>
      <c r="W12" s="64">
        <f>TRUNC((_xlfn.NORM.INV((RAND()),$V$6,$V$7)),3)</f>
        <v/>
      </c>
      <c r="Y12" s="64" t="n">
        <v>17</v>
      </c>
      <c r="Z12" s="5" t="n">
        <v>6.759</v>
      </c>
      <c r="AA12" s="5" t="n">
        <v>6.779</v>
      </c>
      <c r="AB12" s="5" t="n">
        <v>6.642</v>
      </c>
      <c r="AG12" s="64">
        <f>TRUNC((_xlfn.NORM.INV((RAND()),$AF$6,$AF$7)),3)</f>
        <v/>
      </c>
      <c r="AI12" s="64" t="n">
        <v>17</v>
      </c>
      <c r="AJ12" s="5" t="n">
        <v>56.062</v>
      </c>
      <c r="AK12" s="5" t="n">
        <v>46.061</v>
      </c>
      <c r="AL12" s="5" t="n">
        <v>67.54900000000001</v>
      </c>
      <c r="AR12" s="64" t="n">
        <v>17</v>
      </c>
      <c r="AS12" s="5" t="n">
        <v>11.95189787532524</v>
      </c>
      <c r="AT12" s="5" t="n">
        <v>0</v>
      </c>
      <c r="AU12" s="5" t="n">
        <v>11.72534969915612</v>
      </c>
      <c r="AW12" s="64">
        <f>Z12/Demand!AU30</f>
        <v/>
      </c>
      <c r="AX12" s="64">
        <f>AA12/Demand!AV30</f>
        <v/>
      </c>
      <c r="AY12" s="64">
        <f>AB12/Demand!AW30</f>
        <v/>
      </c>
      <c r="BG12" s="64" t="n">
        <v>17</v>
      </c>
      <c r="BH12" s="64">
        <f>Results!$B$19+AJ12-Results!$D$21</f>
        <v/>
      </c>
      <c r="BI12" s="64">
        <f>Results!$B$19+AK12-Results!$D$21</f>
        <v/>
      </c>
      <c r="BJ12" s="64">
        <f>Results!$B$19+AL12-Results!$D$21</f>
        <v/>
      </c>
      <c r="BM12" s="64" t="n">
        <v>17</v>
      </c>
      <c r="BN12" s="64">
        <f>Results!D27</f>
        <v/>
      </c>
      <c r="BO12" s="64">
        <f>Results!E27</f>
        <v/>
      </c>
      <c r="BP12" s="64">
        <f>Results!F27</f>
        <v/>
      </c>
      <c r="BS12" s="64" t="n">
        <v>17</v>
      </c>
      <c r="BT12" s="64">
        <f>Demand!AU30</f>
        <v/>
      </c>
      <c r="BU12" s="64">
        <f>Demand!AV30</f>
        <v/>
      </c>
      <c r="BV12" s="64">
        <f>Demand!AW30</f>
        <v/>
      </c>
      <c r="BY12" s="64" t="n">
        <v>17</v>
      </c>
      <c r="BZ12" s="64">
        <f>Retailers_Cap!N13</f>
        <v/>
      </c>
      <c r="CA12" s="64">
        <f>Retailers_Cap!O13</f>
        <v/>
      </c>
      <c r="CB12" s="64">
        <f>Retailers_Cap!P13</f>
        <v/>
      </c>
      <c r="CD12" s="64" t="n">
        <v>17</v>
      </c>
      <c r="CE12" s="64">
        <f>IF((BT12-BZ12)&gt;=0,"Dem","Folga")</f>
        <v/>
      </c>
      <c r="CF12" s="64">
        <f>IF((BU12-CA12)&gt;=0,"Dem","Folga")</f>
        <v/>
      </c>
      <c r="CG12" s="64">
        <f>IF((BV12-CB12)&gt;=0,"Dem","Folga")</f>
        <v/>
      </c>
    </row>
    <row r="13">
      <c r="M13" s="64">
        <f>TRUNC((_xlfn.NORM.INV((RAND()),$L$6,$L$7)),2)</f>
        <v/>
      </c>
      <c r="O13" s="64" t="n">
        <v>18</v>
      </c>
      <c r="P13" s="5" t="n">
        <v>178.25</v>
      </c>
      <c r="Q13" s="5" t="n">
        <v>196.91</v>
      </c>
      <c r="R13" s="5" t="n">
        <v>241.94</v>
      </c>
      <c r="W13" s="64">
        <f>TRUNC((_xlfn.NORM.INV((RAND()),$V$6,$V$7)),3)</f>
        <v/>
      </c>
      <c r="Y13" s="64" t="n">
        <v>18</v>
      </c>
      <c r="Z13" s="5" t="n">
        <v>6.784</v>
      </c>
      <c r="AA13" s="5" t="n">
        <v>6.738</v>
      </c>
      <c r="AB13" s="5" t="n">
        <v>6.823</v>
      </c>
      <c r="AG13" s="64">
        <f>TRUNC((_xlfn.NORM.INV((RAND()),$AF$6,$AF$7)),3)</f>
        <v/>
      </c>
      <c r="AI13" s="64" t="n">
        <v>18</v>
      </c>
      <c r="AJ13" s="5" t="n">
        <v>57.126</v>
      </c>
      <c r="AK13" s="5" t="n">
        <v>60.068</v>
      </c>
      <c r="AL13" s="5" t="n">
        <v>55.956</v>
      </c>
      <c r="AR13" s="64" t="n">
        <v>18</v>
      </c>
      <c r="AS13" s="5" t="n">
        <v>0</v>
      </c>
      <c r="AT13" s="5" t="n">
        <v>31.6035470785518</v>
      </c>
      <c r="AU13" s="5" t="n">
        <v>37.15874950440681</v>
      </c>
      <c r="AW13" s="64">
        <f>Z13/Demand!AU31</f>
        <v/>
      </c>
      <c r="AX13" s="64">
        <f>AA13/Demand!AV31</f>
        <v/>
      </c>
      <c r="AY13" s="64">
        <f>AB13/Demand!AW31</f>
        <v/>
      </c>
      <c r="BG13" s="64" t="n">
        <v>18</v>
      </c>
      <c r="BH13" s="64">
        <f>Results!$B$19+AJ13-Results!$D$21</f>
        <v/>
      </c>
      <c r="BI13" s="64">
        <f>Results!$B$19+AK13-Results!$D$21</f>
        <v/>
      </c>
      <c r="BJ13" s="64">
        <f>Results!$B$19+AL13-Results!$D$21</f>
        <v/>
      </c>
      <c r="BM13" s="64" t="n">
        <v>18</v>
      </c>
      <c r="BN13" s="64">
        <f>Results!D28</f>
        <v/>
      </c>
      <c r="BO13" s="64">
        <f>Results!E28</f>
        <v/>
      </c>
      <c r="BP13" s="64">
        <f>Results!F28</f>
        <v/>
      </c>
      <c r="BS13" s="64" t="n">
        <v>18</v>
      </c>
      <c r="BT13" s="64">
        <f>Demand!AU31</f>
        <v/>
      </c>
      <c r="BU13" s="64">
        <f>Demand!AV31</f>
        <v/>
      </c>
      <c r="BV13" s="64">
        <f>Demand!AW31</f>
        <v/>
      </c>
      <c r="BY13" s="64" t="n">
        <v>18</v>
      </c>
      <c r="BZ13" s="64">
        <f>Retailers_Cap!N14</f>
        <v/>
      </c>
      <c r="CA13" s="64">
        <f>Retailers_Cap!O14</f>
        <v/>
      </c>
      <c r="CB13" s="64">
        <f>Retailers_Cap!P14</f>
        <v/>
      </c>
      <c r="CD13" s="64" t="n">
        <v>18</v>
      </c>
      <c r="CE13" s="64">
        <f>IF((BT13-BZ13)&gt;=0,"Dem","Folga")</f>
        <v/>
      </c>
      <c r="CF13" s="64">
        <f>IF((BU13-CA13)&gt;=0,"Dem","Folga")</f>
        <v/>
      </c>
      <c r="CG13" s="64">
        <f>IF((BV13-CB13)&gt;=0,"Dem","Folga")</f>
        <v/>
      </c>
    </row>
    <row r="14">
      <c r="M14" s="64">
        <f>TRUNC((_xlfn.NORM.INV((RAND()),$L$6,$L$7)),2)</f>
        <v/>
      </c>
      <c r="O14" s="64" t="n">
        <v>19</v>
      </c>
      <c r="P14" s="5" t="n">
        <v>247.63</v>
      </c>
      <c r="Q14" s="5" t="n">
        <v>216.1</v>
      </c>
      <c r="R14" s="5" t="n">
        <v>172.43</v>
      </c>
      <c r="W14" s="64">
        <f>TRUNC((_xlfn.NORM.INV((RAND()),$V$6,$V$7)),3)</f>
        <v/>
      </c>
      <c r="Y14" s="64" t="n">
        <v>19</v>
      </c>
      <c r="Z14" s="5" t="n">
        <v>6.641</v>
      </c>
      <c r="AA14" s="5" t="n">
        <v>6.786</v>
      </c>
      <c r="AB14" s="5" t="n">
        <v>6.721</v>
      </c>
      <c r="AG14" s="64">
        <f>TRUNC((_xlfn.NORM.INV((RAND()),$AF$6,$AF$7)),3)</f>
        <v/>
      </c>
      <c r="AI14" s="64" t="n">
        <v>19</v>
      </c>
      <c r="AJ14" s="5" t="n">
        <v>70.82899999999999</v>
      </c>
      <c r="AK14" s="5" t="n">
        <v>50.286</v>
      </c>
      <c r="AL14" s="5" t="n">
        <v>59.843</v>
      </c>
      <c r="AR14" s="64" t="n">
        <v>19</v>
      </c>
      <c r="AS14" s="5" t="n">
        <v>0</v>
      </c>
      <c r="AT14" s="5" t="n">
        <v>0</v>
      </c>
      <c r="AU14" s="5" t="n">
        <v>0</v>
      </c>
      <c r="AW14" s="64">
        <f>Z14/Demand!AU32</f>
        <v/>
      </c>
      <c r="AX14" s="64">
        <f>AA14/Demand!AV32</f>
        <v/>
      </c>
      <c r="AY14" s="64">
        <f>AB14/Demand!AW32</f>
        <v/>
      </c>
      <c r="BG14" s="64" t="n">
        <v>19</v>
      </c>
      <c r="BH14" s="64">
        <f>Results!$B$19+AJ14-Results!$D$21</f>
        <v/>
      </c>
      <c r="BI14" s="64">
        <f>Results!$B$19+AK14-Results!$D$21</f>
        <v/>
      </c>
      <c r="BJ14" s="64">
        <f>Results!$B$19+AL14-Results!$D$21</f>
        <v/>
      </c>
      <c r="BM14" s="64" t="n">
        <v>19</v>
      </c>
      <c r="BN14" s="64">
        <f>Results!D29</f>
        <v/>
      </c>
      <c r="BO14" s="64">
        <f>Results!E29</f>
        <v/>
      </c>
      <c r="BP14" s="64">
        <f>Results!F29</f>
        <v/>
      </c>
      <c r="BS14" s="64" t="n">
        <v>19</v>
      </c>
      <c r="BT14" s="64">
        <f>Demand!AU32</f>
        <v/>
      </c>
      <c r="BU14" s="64">
        <f>Demand!AV32</f>
        <v/>
      </c>
      <c r="BV14" s="64">
        <f>Demand!AW32</f>
        <v/>
      </c>
      <c r="BY14" s="64" t="n">
        <v>19</v>
      </c>
      <c r="BZ14" s="64">
        <f>Retailers_Cap!N15</f>
        <v/>
      </c>
      <c r="CA14" s="64">
        <f>Retailers_Cap!O15</f>
        <v/>
      </c>
      <c r="CB14" s="64">
        <f>Retailers_Cap!P15</f>
        <v/>
      </c>
      <c r="CD14" s="64" t="n">
        <v>19</v>
      </c>
      <c r="CE14" s="64">
        <f>IF((BT14-BZ14)&gt;=0,"Dem","Folga")</f>
        <v/>
      </c>
      <c r="CF14" s="64">
        <f>IF((BU14-CA14)&gt;=0,"Dem","Folga")</f>
        <v/>
      </c>
      <c r="CG14" s="64">
        <f>IF((BV14-CB14)&gt;=0,"Dem","Folga")</f>
        <v/>
      </c>
    </row>
    <row r="15">
      <c r="M15" s="64">
        <f>TRUNC((_xlfn.NORM.INV((RAND()),$L$6,$L$7)),2)</f>
        <v/>
      </c>
      <c r="O15" s="64" t="n">
        <v>20</v>
      </c>
      <c r="P15" s="5" t="n">
        <v>197.11</v>
      </c>
      <c r="Q15" s="5" t="n">
        <v>149.84</v>
      </c>
      <c r="R15" s="5" t="n">
        <v>249.24</v>
      </c>
      <c r="W15" s="64">
        <f>TRUNC((_xlfn.NORM.INV((RAND()),$V$6,$V$7)),3)</f>
        <v/>
      </c>
      <c r="Y15" s="64" t="n">
        <v>20</v>
      </c>
      <c r="Z15" s="5" t="n">
        <v>6.848</v>
      </c>
      <c r="AA15" s="5" t="n">
        <v>6.772</v>
      </c>
      <c r="AB15" s="5" t="n">
        <v>6.734</v>
      </c>
      <c r="AG15" s="64">
        <f>TRUNC((_xlfn.NORM.INV((RAND()),$AF$6,$AF$7)),3)</f>
        <v/>
      </c>
      <c r="AI15" s="64" t="n">
        <v>20</v>
      </c>
      <c r="AJ15" s="5" t="n">
        <v>58.951</v>
      </c>
      <c r="AK15" s="5" t="n">
        <v>60.268</v>
      </c>
      <c r="AL15" s="5" t="n">
        <v>56.498</v>
      </c>
      <c r="AR15" s="64" t="n">
        <v>20</v>
      </c>
      <c r="AS15" s="5" t="n">
        <v>11.30420045082687</v>
      </c>
      <c r="AT15" s="5" t="n">
        <v>0</v>
      </c>
      <c r="AU15" s="5" t="n">
        <v>0</v>
      </c>
      <c r="AW15" s="64">
        <f>Z15/Demand!AU33</f>
        <v/>
      </c>
      <c r="AX15" s="64">
        <f>AA15/Demand!AV33</f>
        <v/>
      </c>
      <c r="AY15" s="64">
        <f>AB15/Demand!AW33</f>
        <v/>
      </c>
      <c r="BG15" s="64" t="n">
        <v>20</v>
      </c>
      <c r="BH15" s="64">
        <f>Results!$B$19+AJ15-Results!$D$21</f>
        <v/>
      </c>
      <c r="BI15" s="64">
        <f>Results!$B$19+AK15-Results!$D$21</f>
        <v/>
      </c>
      <c r="BJ15" s="64">
        <f>Results!$B$19+AL15-Results!$D$21</f>
        <v/>
      </c>
      <c r="BM15" s="64" t="n">
        <v>20</v>
      </c>
      <c r="BN15" s="64">
        <f>Results!D30</f>
        <v/>
      </c>
      <c r="BO15" s="64">
        <f>Results!E30</f>
        <v/>
      </c>
      <c r="BP15" s="64">
        <f>Results!F30</f>
        <v/>
      </c>
      <c r="BS15" s="64" t="n">
        <v>20</v>
      </c>
      <c r="BT15" s="64">
        <f>Demand!AU33</f>
        <v/>
      </c>
      <c r="BU15" s="64">
        <f>Demand!AV33</f>
        <v/>
      </c>
      <c r="BV15" s="64">
        <f>Demand!AW33</f>
        <v/>
      </c>
      <c r="BY15" s="64" t="n">
        <v>20</v>
      </c>
      <c r="BZ15" s="64">
        <f>Retailers_Cap!N16</f>
        <v/>
      </c>
      <c r="CA15" s="64">
        <f>Retailers_Cap!O16</f>
        <v/>
      </c>
      <c r="CB15" s="64">
        <f>Retailers_Cap!P16</f>
        <v/>
      </c>
      <c r="CD15" s="64" t="n">
        <v>20</v>
      </c>
      <c r="CE15" s="64">
        <f>IF((BT15-BZ15)&gt;=0,"Dem","Folga")</f>
        <v/>
      </c>
      <c r="CF15" s="64">
        <f>IF((BU15-CA15)&gt;=0,"Dem","Folga")</f>
        <v/>
      </c>
      <c r="CG15" s="64">
        <f>IF((BV15-CB15)&gt;=0,"Dem","Folga")</f>
        <v/>
      </c>
    </row>
    <row r="16">
      <c r="M16" s="64">
        <f>TRUNC((_xlfn.NORM.INV((RAND()),$L$6,$L$7)),2)</f>
        <v/>
      </c>
      <c r="O16" s="64" t="n">
        <v>21</v>
      </c>
      <c r="P16" s="5" t="n">
        <v>165.72</v>
      </c>
      <c r="Q16" s="5" t="n">
        <v>260.6</v>
      </c>
      <c r="R16" s="5" t="n">
        <v>215.87</v>
      </c>
      <c r="W16" s="64">
        <f>TRUNC((_xlfn.NORM.INV((RAND()),$V$6,$V$7)),3)</f>
        <v/>
      </c>
      <c r="Y16" s="64" t="n">
        <v>21</v>
      </c>
      <c r="Z16" s="5" t="n">
        <v>6.691</v>
      </c>
      <c r="AA16" s="5" t="n">
        <v>6.782</v>
      </c>
      <c r="AB16" s="5" t="n">
        <v>6.78</v>
      </c>
      <c r="AG16" s="64">
        <f>TRUNC((_xlfn.NORM.INV((RAND()),$AF$6,$AF$7)),3)</f>
        <v/>
      </c>
      <c r="AI16" s="64" t="n">
        <v>21</v>
      </c>
      <c r="AJ16" s="5" t="n">
        <v>36.203</v>
      </c>
      <c r="AK16" s="5" t="n">
        <v>68.202</v>
      </c>
      <c r="AL16" s="5" t="n">
        <v>69.22799999999999</v>
      </c>
      <c r="AR16" s="64" t="n">
        <v>21</v>
      </c>
      <c r="AS16" s="5" t="n">
        <v>0</v>
      </c>
      <c r="AT16" s="5" t="n">
        <v>0</v>
      </c>
      <c r="AU16" s="5" t="n">
        <v>0</v>
      </c>
      <c r="AW16" s="64">
        <f>Z16/Demand!AU34</f>
        <v/>
      </c>
      <c r="AX16" s="64">
        <f>AA16/Demand!AV34</f>
        <v/>
      </c>
      <c r="AY16" s="64">
        <f>AB16/Demand!AW34</f>
        <v/>
      </c>
      <c r="BG16" s="64" t="n">
        <v>21</v>
      </c>
      <c r="BH16" s="64">
        <f>Results!$B$19+AJ16-Results!$D$21</f>
        <v/>
      </c>
      <c r="BI16" s="64">
        <f>Results!$B$19+AK16-Results!$D$21</f>
        <v/>
      </c>
      <c r="BJ16" s="64">
        <f>Results!$B$19+AL16-Results!$D$21</f>
        <v/>
      </c>
      <c r="BM16" s="64" t="n">
        <v>21</v>
      </c>
      <c r="BN16" s="64">
        <f>Results!D31</f>
        <v/>
      </c>
      <c r="BO16" s="64">
        <f>Results!E31</f>
        <v/>
      </c>
      <c r="BP16" s="64">
        <f>Results!F31</f>
        <v/>
      </c>
      <c r="BS16" s="64" t="n">
        <v>21</v>
      </c>
      <c r="BT16" s="64">
        <f>Demand!AU34</f>
        <v/>
      </c>
      <c r="BU16" s="64">
        <f>Demand!AV34</f>
        <v/>
      </c>
      <c r="BV16" s="64">
        <f>Demand!AW34</f>
        <v/>
      </c>
      <c r="BY16" s="64" t="n">
        <v>21</v>
      </c>
      <c r="BZ16" s="64">
        <f>Retailers_Cap!N17</f>
        <v/>
      </c>
      <c r="CA16" s="64">
        <f>Retailers_Cap!O17</f>
        <v/>
      </c>
      <c r="CB16" s="64">
        <f>Retailers_Cap!P17</f>
        <v/>
      </c>
      <c r="CD16" s="64" t="n">
        <v>21</v>
      </c>
      <c r="CE16" s="64">
        <f>IF((BT16-BZ16)&gt;=0,"Dem","Folga")</f>
        <v/>
      </c>
      <c r="CF16" s="64">
        <f>IF((BU16-CA16)&gt;=0,"Dem","Folga")</f>
        <v/>
      </c>
      <c r="CG16" s="64">
        <f>IF((BV16-CB16)&gt;=0,"Dem","Folga")</f>
        <v/>
      </c>
    </row>
    <row r="17">
      <c r="M17" s="64">
        <f>TRUNC((_xlfn.NORM.INV((RAND()),$L$6,$L$7)),2)</f>
        <v/>
      </c>
      <c r="O17" s="64" t="n">
        <v>22</v>
      </c>
      <c r="P17" s="5" t="n">
        <v>193.86</v>
      </c>
      <c r="Q17" s="5" t="n">
        <v>335.73</v>
      </c>
      <c r="R17" s="5" t="n">
        <v>285.91</v>
      </c>
      <c r="W17" s="64">
        <f>TRUNC((_xlfn.NORM.INV((RAND()),$V$6,$V$7)),3)</f>
        <v/>
      </c>
      <c r="Y17" s="64" t="n">
        <v>22</v>
      </c>
      <c r="Z17" s="5" t="n">
        <v>6.787</v>
      </c>
      <c r="AA17" s="5" t="n">
        <v>6.751</v>
      </c>
      <c r="AB17" s="5" t="n">
        <v>6.729</v>
      </c>
      <c r="AG17" s="64">
        <f>TRUNC((_xlfn.NORM.INV((RAND()),$AF$6,$AF$7)),3)</f>
        <v/>
      </c>
      <c r="AI17" s="64" t="n">
        <v>22</v>
      </c>
      <c r="AJ17" s="5" t="n">
        <v>50.41</v>
      </c>
      <c r="AK17" s="5" t="n">
        <v>36.9</v>
      </c>
      <c r="AL17" s="5" t="n">
        <v>83.623</v>
      </c>
      <c r="AR17" s="64" t="n">
        <v>22</v>
      </c>
      <c r="AS17" s="5" t="n">
        <v>0</v>
      </c>
      <c r="AT17" s="5" t="n">
        <v>0</v>
      </c>
      <c r="AU17" s="5" t="n">
        <v>0</v>
      </c>
      <c r="AW17" s="64">
        <f>Z17/Demand!AU35</f>
        <v/>
      </c>
      <c r="AX17" s="64">
        <f>AA17/Demand!AV35</f>
        <v/>
      </c>
      <c r="AY17" s="64">
        <f>AB17/Demand!AW35</f>
        <v/>
      </c>
      <c r="BG17" s="64" t="n">
        <v>22</v>
      </c>
      <c r="BH17" s="64">
        <f>Results!$B$19+AJ17-Results!$D$21</f>
        <v/>
      </c>
      <c r="BI17" s="64">
        <f>Results!$B$19+AK17-Results!$D$21</f>
        <v/>
      </c>
      <c r="BJ17" s="64">
        <f>Results!$B$19+AL17-Results!$D$21</f>
        <v/>
      </c>
      <c r="BM17" s="64" t="n">
        <v>22</v>
      </c>
      <c r="BN17" s="64">
        <f>Results!D32</f>
        <v/>
      </c>
      <c r="BO17" s="64">
        <f>Results!E32</f>
        <v/>
      </c>
      <c r="BP17" s="64">
        <f>Results!F32</f>
        <v/>
      </c>
      <c r="BS17" s="64" t="n">
        <v>22</v>
      </c>
      <c r="BT17" s="64">
        <f>Demand!AU35</f>
        <v/>
      </c>
      <c r="BU17" s="64">
        <f>Demand!AV35</f>
        <v/>
      </c>
      <c r="BV17" s="64">
        <f>Demand!AW35</f>
        <v/>
      </c>
      <c r="BY17" s="64" t="n">
        <v>22</v>
      </c>
      <c r="BZ17" s="64">
        <f>Retailers_Cap!N18</f>
        <v/>
      </c>
      <c r="CA17" s="64">
        <f>Retailers_Cap!O18</f>
        <v/>
      </c>
      <c r="CB17" s="64">
        <f>Retailers_Cap!P18</f>
        <v/>
      </c>
      <c r="CD17" s="64" t="n">
        <v>22</v>
      </c>
      <c r="CE17" s="64">
        <f>IF((BT17-BZ17)&gt;=0,"Dem","Folga")</f>
        <v/>
      </c>
      <c r="CF17" s="64">
        <f>IF((BU17-CA17)&gt;=0,"Dem","Folga")</f>
        <v/>
      </c>
      <c r="CG17" s="64">
        <f>IF((BV17-CB17)&gt;=0,"Dem","Folga")</f>
        <v/>
      </c>
    </row>
    <row r="18">
      <c r="M18" s="64">
        <f>TRUNC((_xlfn.NORM.INV((RAND()),$L$6,$L$7)),2)</f>
        <v/>
      </c>
      <c r="O18" s="64" t="n">
        <v>23</v>
      </c>
      <c r="P18" s="5" t="n">
        <v>253.54</v>
      </c>
      <c r="Q18" s="5" t="n">
        <v>213.71</v>
      </c>
      <c r="R18" s="5" t="n">
        <v>181.43</v>
      </c>
      <c r="W18" s="64">
        <f>TRUNC((_xlfn.NORM.INV((RAND()),$V$6,$V$7)),3)</f>
        <v/>
      </c>
      <c r="Y18" s="64" t="n">
        <v>23</v>
      </c>
      <c r="Z18" s="5" t="n">
        <v>6.697</v>
      </c>
      <c r="AA18" s="5" t="n">
        <v>6.669</v>
      </c>
      <c r="AB18" s="5" t="n">
        <v>6.814</v>
      </c>
      <c r="AG18" s="64">
        <f>TRUNC((_xlfn.NORM.INV((RAND()),$AF$6,$AF$7)),3)</f>
        <v/>
      </c>
      <c r="AI18" s="64" t="n">
        <v>23</v>
      </c>
      <c r="AJ18" s="5" t="n">
        <v>75.764</v>
      </c>
      <c r="AK18" s="5" t="n">
        <v>47.993</v>
      </c>
      <c r="AL18" s="5" t="n">
        <v>52.899</v>
      </c>
      <c r="AR18" s="64" t="n">
        <v>23</v>
      </c>
      <c r="AS18" s="5" t="n">
        <v>16.41708088948642</v>
      </c>
      <c r="AT18" s="5" t="n">
        <v>11.41798118749846</v>
      </c>
      <c r="AU18" s="5" t="n">
        <v>0</v>
      </c>
      <c r="AW18" s="64">
        <f>Z18/Demand!AU36</f>
        <v/>
      </c>
      <c r="AX18" s="64">
        <f>AA18/Demand!AV36</f>
        <v/>
      </c>
      <c r="AY18" s="64">
        <f>AB18/Demand!AW36</f>
        <v/>
      </c>
      <c r="BG18" s="64" t="n">
        <v>23</v>
      </c>
      <c r="BH18" s="64">
        <f>Results!$B$19+AJ18-Results!$D$21</f>
        <v/>
      </c>
      <c r="BI18" s="64">
        <f>Results!$B$19+AK18-Results!$D$21</f>
        <v/>
      </c>
      <c r="BJ18" s="64">
        <f>Results!$B$19+AL18-Results!$D$21</f>
        <v/>
      </c>
      <c r="BM18" s="64" t="n">
        <v>23</v>
      </c>
      <c r="BN18" s="64">
        <f>Results!D33</f>
        <v/>
      </c>
      <c r="BO18" s="64">
        <f>Results!E33</f>
        <v/>
      </c>
      <c r="BP18" s="64">
        <f>Results!F33</f>
        <v/>
      </c>
      <c r="BS18" s="64" t="n">
        <v>23</v>
      </c>
      <c r="BT18" s="64">
        <f>Demand!AU36</f>
        <v/>
      </c>
      <c r="BU18" s="64">
        <f>Demand!AV36</f>
        <v/>
      </c>
      <c r="BV18" s="64">
        <f>Demand!AW36</f>
        <v/>
      </c>
      <c r="BY18" s="64" t="n">
        <v>23</v>
      </c>
      <c r="BZ18" s="64">
        <f>Retailers_Cap!N19</f>
        <v/>
      </c>
      <c r="CA18" s="64">
        <f>Retailers_Cap!O19</f>
        <v/>
      </c>
      <c r="CB18" s="64">
        <f>Retailers_Cap!P19</f>
        <v/>
      </c>
      <c r="CD18" s="64" t="n">
        <v>23</v>
      </c>
      <c r="CE18" s="64">
        <f>IF((BT18-BZ18)&gt;=0,"Dem","Folga")</f>
        <v/>
      </c>
      <c r="CF18" s="64">
        <f>IF((BU18-CA18)&gt;=0,"Dem","Folga")</f>
        <v/>
      </c>
      <c r="CG18" s="64">
        <f>IF((BV18-CB18)&gt;=0,"Dem","Folga")</f>
        <v/>
      </c>
    </row>
    <row r="19">
      <c r="M19" s="64">
        <f>TRUNC((_xlfn.NORM.INV((RAND()),$L$6,$L$7)),2)</f>
        <v/>
      </c>
      <c r="O19" s="64" t="n">
        <v>24</v>
      </c>
      <c r="P19" s="5" t="n">
        <v>70.78</v>
      </c>
      <c r="Q19" s="5" t="n">
        <v>266.26</v>
      </c>
      <c r="R19" s="5" t="n">
        <v>195.25</v>
      </c>
      <c r="W19" s="64">
        <f>TRUNC((_xlfn.NORM.INV((RAND()),$V$6,$V$7)),3)</f>
        <v/>
      </c>
      <c r="Y19" s="64" t="n">
        <v>24</v>
      </c>
      <c r="Z19" s="5" t="n">
        <v>6.711</v>
      </c>
      <c r="AA19" s="5" t="n">
        <v>6.702</v>
      </c>
      <c r="AB19" s="5" t="n">
        <v>6.691</v>
      </c>
      <c r="AG19" s="64">
        <f>TRUNC((_xlfn.NORM.INV((RAND()),$AF$6,$AF$7)),3)</f>
        <v/>
      </c>
      <c r="AI19" s="64" t="n">
        <v>24</v>
      </c>
      <c r="AJ19" s="5" t="n">
        <v>78.651</v>
      </c>
      <c r="AK19" s="5" t="n">
        <v>73.084</v>
      </c>
      <c r="AL19" s="5" t="n">
        <v>56.966</v>
      </c>
      <c r="AR19" s="64" t="n">
        <v>24</v>
      </c>
      <c r="AS19" s="5" t="n">
        <v>17.06145233660759</v>
      </c>
      <c r="AT19" s="5" t="n">
        <v>10.99741670723578</v>
      </c>
      <c r="AU19" s="5" t="n">
        <v>0</v>
      </c>
      <c r="AW19" s="64">
        <f>Z19/Demand!AU37</f>
        <v/>
      </c>
      <c r="AX19" s="64">
        <f>AA19/Demand!AV37</f>
        <v/>
      </c>
      <c r="AY19" s="64">
        <f>AB19/Demand!AW37</f>
        <v/>
      </c>
      <c r="BG19" s="64" t="n">
        <v>24</v>
      </c>
      <c r="BH19" s="64">
        <f>Results!$B$19+AJ19-Results!$D$21</f>
        <v/>
      </c>
      <c r="BI19" s="64">
        <f>Results!$B$19+AK19-Results!$D$21</f>
        <v/>
      </c>
      <c r="BJ19" s="64">
        <f>Results!$B$19+AL19-Results!$D$21</f>
        <v/>
      </c>
      <c r="BM19" s="64" t="n">
        <v>24</v>
      </c>
      <c r="BN19" s="64">
        <f>Results!D34</f>
        <v/>
      </c>
      <c r="BO19" s="64">
        <f>Results!E34</f>
        <v/>
      </c>
      <c r="BP19" s="64">
        <f>Results!F34</f>
        <v/>
      </c>
      <c r="BS19" s="64" t="n">
        <v>24</v>
      </c>
      <c r="BT19" s="64">
        <f>Demand!AU37</f>
        <v/>
      </c>
      <c r="BU19" s="64">
        <f>Demand!AV37</f>
        <v/>
      </c>
      <c r="BV19" s="64">
        <f>Demand!AW37</f>
        <v/>
      </c>
      <c r="BY19" s="64" t="n">
        <v>24</v>
      </c>
      <c r="BZ19" s="64">
        <f>Retailers_Cap!N20</f>
        <v/>
      </c>
      <c r="CA19" s="64">
        <f>Retailers_Cap!O20</f>
        <v/>
      </c>
      <c r="CB19" s="64">
        <f>Retailers_Cap!P20</f>
        <v/>
      </c>
      <c r="CD19" s="64" t="n">
        <v>24</v>
      </c>
      <c r="CE19" s="64">
        <f>IF((BT19-BZ19)&gt;=0,"Dem","Folga")</f>
        <v/>
      </c>
      <c r="CF19" s="64">
        <f>IF((BU19-CA19)&gt;=0,"Dem","Folga")</f>
        <v/>
      </c>
      <c r="CG19" s="64">
        <f>IF((BV19-CB19)&gt;=0,"Dem","Folga")</f>
        <v/>
      </c>
    </row>
    <row r="20">
      <c r="M20" s="64">
        <f>TRUNC((_xlfn.NORM.INV((RAND()),$L$6,$L$7)),2)</f>
        <v/>
      </c>
      <c r="O20" s="64" t="n">
        <v>25</v>
      </c>
      <c r="P20" s="5" t="n">
        <v>232.34</v>
      </c>
      <c r="Q20" s="5" t="n">
        <v>145.69</v>
      </c>
      <c r="R20" s="5" t="n">
        <v>143.16</v>
      </c>
      <c r="W20" s="64">
        <f>TRUNC((_xlfn.NORM.INV((RAND()),$V$6,$V$7)),3)</f>
        <v/>
      </c>
      <c r="Y20" s="64" t="n">
        <v>25</v>
      </c>
      <c r="Z20" s="5" t="n">
        <v>6.778</v>
      </c>
      <c r="AA20" s="5" t="n">
        <v>6.649</v>
      </c>
      <c r="AB20" s="5" t="n">
        <v>6.79</v>
      </c>
      <c r="AG20" s="64">
        <f>TRUNC((_xlfn.NORM.INV((RAND()),$AF$6,$AF$7)),3)</f>
        <v/>
      </c>
      <c r="AI20" s="64" t="n">
        <v>25</v>
      </c>
      <c r="AJ20" s="5" t="n">
        <v>49.287</v>
      </c>
      <c r="AK20" s="5" t="n">
        <v>71.176</v>
      </c>
      <c r="AL20" s="5" t="n">
        <v>63.71</v>
      </c>
      <c r="AR20" s="64" t="n">
        <v>25</v>
      </c>
      <c r="AS20" s="5" t="n">
        <v>0</v>
      </c>
      <c r="AT20" s="5" t="n">
        <v>0</v>
      </c>
      <c r="AU20" s="5" t="n">
        <v>0</v>
      </c>
      <c r="AW20" s="64">
        <f>Z20/Demand!AU38</f>
        <v/>
      </c>
      <c r="AX20" s="64">
        <f>AA20/Demand!AV38</f>
        <v/>
      </c>
      <c r="AY20" s="64">
        <f>AB20/Demand!AW38</f>
        <v/>
      </c>
      <c r="BG20" s="64" t="n">
        <v>25</v>
      </c>
      <c r="BH20" s="64">
        <f>Results!$B$19+AJ20-Results!$D$21</f>
        <v/>
      </c>
      <c r="BI20" s="64">
        <f>Results!$B$19+AK20-Results!$D$21</f>
        <v/>
      </c>
      <c r="BJ20" s="64">
        <f>Results!$B$19+AL20-Results!$D$21</f>
        <v/>
      </c>
      <c r="BM20" s="64" t="n">
        <v>25</v>
      </c>
      <c r="BN20" s="64">
        <f>Results!D35</f>
        <v/>
      </c>
      <c r="BO20" s="64">
        <f>Results!E35</f>
        <v/>
      </c>
      <c r="BP20" s="64">
        <f>Results!F35</f>
        <v/>
      </c>
      <c r="BS20" s="64" t="n">
        <v>25</v>
      </c>
      <c r="BT20" s="64">
        <f>Demand!AU38</f>
        <v/>
      </c>
      <c r="BU20" s="64">
        <f>Demand!AV38</f>
        <v/>
      </c>
      <c r="BV20" s="64">
        <f>Demand!AW38</f>
        <v/>
      </c>
      <c r="BY20" s="64" t="n">
        <v>25</v>
      </c>
      <c r="BZ20" s="64">
        <f>Retailers_Cap!N21</f>
        <v/>
      </c>
      <c r="CA20" s="64">
        <f>Retailers_Cap!O21</f>
        <v/>
      </c>
      <c r="CB20" s="64">
        <f>Retailers_Cap!P21</f>
        <v/>
      </c>
      <c r="CD20" s="64" t="n">
        <v>25</v>
      </c>
      <c r="CE20" s="64">
        <f>IF((BT20-BZ20)&gt;=0,"Dem","Folga")</f>
        <v/>
      </c>
      <c r="CF20" s="64">
        <f>IF((BU20-CA20)&gt;=0,"Dem","Folga")</f>
        <v/>
      </c>
      <c r="CG20" s="64">
        <f>IF((BV20-CB20)&gt;=0,"Dem","Folga")</f>
        <v/>
      </c>
    </row>
    <row r="21">
      <c r="M21" s="64">
        <f>TRUNC((_xlfn.NORM.INV((RAND()),$L$6,$L$7)),2)</f>
        <v/>
      </c>
      <c r="O21" s="64" t="n">
        <v>26</v>
      </c>
      <c r="P21" s="5" t="n">
        <v>126.78</v>
      </c>
      <c r="Q21" s="5" t="n">
        <v>202.9</v>
      </c>
      <c r="R21" s="5" t="n">
        <v>251.39</v>
      </c>
      <c r="W21" s="64">
        <f>TRUNC((_xlfn.NORM.INV((RAND()),$V$6,$V$7)),3)</f>
        <v/>
      </c>
      <c r="Y21" s="64" t="n">
        <v>26</v>
      </c>
      <c r="Z21" s="5" t="n">
        <v>6.835</v>
      </c>
      <c r="AA21" s="5" t="n">
        <v>6.805</v>
      </c>
      <c r="AB21" s="5" t="n">
        <v>6.815</v>
      </c>
      <c r="AG21" s="64">
        <f>TRUNC((_xlfn.NORM.INV((RAND()),$AF$6,$AF$7)),3)</f>
        <v/>
      </c>
      <c r="AI21" s="64" t="n">
        <v>26</v>
      </c>
      <c r="AJ21" s="5" t="n">
        <v>66.791</v>
      </c>
      <c r="AK21" s="5" t="n">
        <v>35.719</v>
      </c>
      <c r="AL21" s="5" t="n">
        <v>47.83</v>
      </c>
      <c r="AR21" s="64" t="n">
        <v>26</v>
      </c>
      <c r="AS21" s="5" t="n">
        <v>15.42644310395336</v>
      </c>
      <c r="AT21" s="5" t="n">
        <v>12.00069964319104</v>
      </c>
      <c r="AU21" s="5" t="n">
        <v>13.18029678674815</v>
      </c>
      <c r="AW21" s="64">
        <f>Z21/Demand!AU39</f>
        <v/>
      </c>
      <c r="AX21" s="64">
        <f>AA21/Demand!AV39</f>
        <v/>
      </c>
      <c r="AY21" s="64">
        <f>AB21/Demand!AW39</f>
        <v/>
      </c>
      <c r="BG21" s="64" t="n">
        <v>26</v>
      </c>
      <c r="BH21" s="64">
        <f>Results!$B$19+AJ21-Results!$D$21</f>
        <v/>
      </c>
      <c r="BI21" s="64">
        <f>Results!$B$19+AK21-Results!$D$21</f>
        <v/>
      </c>
      <c r="BJ21" s="64">
        <f>Results!$B$19+AL21-Results!$D$21</f>
        <v/>
      </c>
      <c r="BM21" s="64" t="n">
        <v>26</v>
      </c>
      <c r="BN21" s="64">
        <f>Results!D36</f>
        <v/>
      </c>
      <c r="BO21" s="64">
        <f>Results!E36</f>
        <v/>
      </c>
      <c r="BP21" s="64">
        <f>Results!F36</f>
        <v/>
      </c>
      <c r="BS21" s="64" t="n">
        <v>26</v>
      </c>
      <c r="BT21" s="64">
        <f>Demand!AU39</f>
        <v/>
      </c>
      <c r="BU21" s="64">
        <f>Demand!AV39</f>
        <v/>
      </c>
      <c r="BV21" s="64">
        <f>Demand!AW39</f>
        <v/>
      </c>
      <c r="BY21" s="64" t="n">
        <v>26</v>
      </c>
      <c r="BZ21" s="64">
        <f>Retailers_Cap!N22</f>
        <v/>
      </c>
      <c r="CA21" s="64">
        <f>Retailers_Cap!O22</f>
        <v/>
      </c>
      <c r="CB21" s="64">
        <f>Retailers_Cap!P22</f>
        <v/>
      </c>
      <c r="CD21" s="64" t="n">
        <v>26</v>
      </c>
      <c r="CE21" s="64">
        <f>IF((BT21-BZ21)&gt;=0,"Dem","Folga")</f>
        <v/>
      </c>
      <c r="CF21" s="64">
        <f>IF((BU21-CA21)&gt;=0,"Dem","Folga")</f>
        <v/>
      </c>
      <c r="CG21" s="64">
        <f>IF((BV21-CB21)&gt;=0,"Dem","Folga")</f>
        <v/>
      </c>
    </row>
    <row r="22">
      <c r="M22" s="64">
        <f>TRUNC((_xlfn.NORM.INV((RAND()),$L$6,$L$7)),2)</f>
        <v/>
      </c>
      <c r="O22" s="64" t="n">
        <v>27</v>
      </c>
      <c r="P22" s="5" t="n">
        <v>170.29</v>
      </c>
      <c r="Q22" s="5" t="n">
        <v>117.21</v>
      </c>
      <c r="R22" s="5" t="n">
        <v>180.64</v>
      </c>
      <c r="W22" s="64">
        <f>TRUNC((_xlfn.NORM.INV((RAND()),$V$6,$V$7)),3)</f>
        <v/>
      </c>
      <c r="Y22" s="64" t="n">
        <v>27</v>
      </c>
      <c r="Z22" s="5" t="n">
        <v>6.748</v>
      </c>
      <c r="AA22" s="5" t="n">
        <v>6.791</v>
      </c>
      <c r="AB22" s="5" t="n">
        <v>6.797</v>
      </c>
      <c r="AG22" s="64">
        <f>TRUNC((_xlfn.NORM.INV((RAND()),$AF$6,$AF$7)),3)</f>
        <v/>
      </c>
      <c r="AI22" s="64" t="n">
        <v>27</v>
      </c>
      <c r="AJ22" s="5" t="n">
        <v>48.149</v>
      </c>
      <c r="AK22" s="5" t="n">
        <v>45.611</v>
      </c>
      <c r="AL22" s="5" t="n">
        <v>38.699</v>
      </c>
      <c r="AR22" s="64" t="n">
        <v>27</v>
      </c>
      <c r="AS22" s="5" t="n">
        <v>0</v>
      </c>
      <c r="AT22" s="5" t="n">
        <v>0</v>
      </c>
      <c r="AU22" s="5" t="n">
        <v>0</v>
      </c>
      <c r="AW22" s="64">
        <f>Z22/Demand!AU40</f>
        <v/>
      </c>
      <c r="AX22" s="64">
        <f>AA22/Demand!AV40</f>
        <v/>
      </c>
      <c r="AY22" s="64">
        <f>AB22/Demand!AW40</f>
        <v/>
      </c>
      <c r="BG22" s="64" t="n">
        <v>27</v>
      </c>
      <c r="BH22" s="64">
        <f>Results!$B$19+AJ22-Results!$D$21</f>
        <v/>
      </c>
      <c r="BI22" s="64">
        <f>Results!$B$19+AK22-Results!$D$21</f>
        <v/>
      </c>
      <c r="BJ22" s="64">
        <f>Results!$B$19+AL22-Results!$D$21</f>
        <v/>
      </c>
      <c r="BM22" s="64" t="n">
        <v>27</v>
      </c>
      <c r="BN22" s="64">
        <f>Results!D37</f>
        <v/>
      </c>
      <c r="BO22" s="64">
        <f>Results!E37</f>
        <v/>
      </c>
      <c r="BP22" s="64">
        <f>Results!F37</f>
        <v/>
      </c>
      <c r="BS22" s="64" t="n">
        <v>27</v>
      </c>
      <c r="BT22" s="64">
        <f>Demand!AU40</f>
        <v/>
      </c>
      <c r="BU22" s="64">
        <f>Demand!AV40</f>
        <v/>
      </c>
      <c r="BV22" s="64">
        <f>Demand!AW40</f>
        <v/>
      </c>
      <c r="BY22" s="64" t="n">
        <v>27</v>
      </c>
      <c r="BZ22" s="64">
        <f>Retailers_Cap!N23</f>
        <v/>
      </c>
      <c r="CA22" s="64">
        <f>Retailers_Cap!O23</f>
        <v/>
      </c>
      <c r="CB22" s="64">
        <f>Retailers_Cap!P23</f>
        <v/>
      </c>
      <c r="CD22" s="64" t="n">
        <v>27</v>
      </c>
      <c r="CE22" s="64">
        <f>IF((BT22-BZ22)&gt;=0,"Dem","Folga")</f>
        <v/>
      </c>
      <c r="CF22" s="64">
        <f>IF((BU22-CA22)&gt;=0,"Dem","Folga")</f>
        <v/>
      </c>
      <c r="CG22" s="64">
        <f>IF((BV22-CB22)&gt;=0,"Dem","Folga")</f>
        <v/>
      </c>
    </row>
    <row r="23">
      <c r="M23" s="64">
        <f>TRUNC((_xlfn.NORM.INV((RAND()),$L$6,$L$7)),2)</f>
        <v/>
      </c>
      <c r="O23" s="64" t="n">
        <v>28</v>
      </c>
      <c r="P23" s="5" t="n">
        <v>227.93</v>
      </c>
      <c r="Q23" s="5" t="n">
        <v>259.73</v>
      </c>
      <c r="R23" s="5" t="n">
        <v>232.86</v>
      </c>
      <c r="W23" s="64">
        <f>TRUNC((_xlfn.NORM.INV((RAND()),$V$6,$V$7)),3)</f>
        <v/>
      </c>
      <c r="Y23" s="64" t="n">
        <v>28</v>
      </c>
      <c r="Z23" s="5" t="n">
        <v>6.68</v>
      </c>
      <c r="AA23" s="5" t="n">
        <v>6.738</v>
      </c>
      <c r="AB23" s="5" t="n">
        <v>6.773</v>
      </c>
      <c r="AG23" s="64">
        <f>TRUNC((_xlfn.NORM.INV((RAND()),$AF$6,$AF$7)),3)</f>
        <v/>
      </c>
      <c r="AI23" s="64" t="n">
        <v>28</v>
      </c>
      <c r="AJ23" s="5" t="n">
        <v>58.654</v>
      </c>
      <c r="AK23" s="5" t="n">
        <v>42.139</v>
      </c>
      <c r="AL23" s="5" t="n">
        <v>59.228</v>
      </c>
      <c r="AR23" s="64" t="n">
        <v>28</v>
      </c>
      <c r="AS23" s="5" t="n">
        <v>27.52804730626707</v>
      </c>
      <c r="AT23" s="5" t="n">
        <v>0</v>
      </c>
      <c r="AU23" s="5" t="n">
        <v>9.439796465992425</v>
      </c>
      <c r="AW23" s="64">
        <f>Z23/Demand!AU41</f>
        <v/>
      </c>
      <c r="AX23" s="64">
        <f>AA23/Demand!AV41</f>
        <v/>
      </c>
      <c r="AY23" s="64">
        <f>AB23/Demand!AW41</f>
        <v/>
      </c>
      <c r="BG23" s="64" t="n">
        <v>28</v>
      </c>
      <c r="BH23" s="64">
        <f>Results!$B$19+AJ23-Results!$D$21</f>
        <v/>
      </c>
      <c r="BI23" s="64">
        <f>Results!$B$19+AK23-Results!$D$21</f>
        <v/>
      </c>
      <c r="BJ23" s="64">
        <f>Results!$B$19+AL23-Results!$D$21</f>
        <v/>
      </c>
      <c r="BM23" s="64" t="n">
        <v>28</v>
      </c>
      <c r="BN23" s="64">
        <f>Results!D38</f>
        <v/>
      </c>
      <c r="BO23" s="64">
        <f>Results!E38</f>
        <v/>
      </c>
      <c r="BP23" s="64">
        <f>Results!F38</f>
        <v/>
      </c>
      <c r="BS23" s="64" t="n">
        <v>28</v>
      </c>
      <c r="BT23" s="64">
        <f>Demand!AU41</f>
        <v/>
      </c>
      <c r="BU23" s="64">
        <f>Demand!AV41</f>
        <v/>
      </c>
      <c r="BV23" s="64">
        <f>Demand!AW41</f>
        <v/>
      </c>
      <c r="BY23" s="64" t="n">
        <v>28</v>
      </c>
      <c r="BZ23" s="64">
        <f>Retailers_Cap!N24</f>
        <v/>
      </c>
      <c r="CA23" s="64">
        <f>Retailers_Cap!O24</f>
        <v/>
      </c>
      <c r="CB23" s="64">
        <f>Retailers_Cap!P24</f>
        <v/>
      </c>
      <c r="CD23" s="64" t="n">
        <v>28</v>
      </c>
      <c r="CE23" s="64">
        <f>IF((BT23-BZ23)&gt;=0,"Dem","Folga")</f>
        <v/>
      </c>
      <c r="CF23" s="64">
        <f>IF((BU23-CA23)&gt;=0,"Dem","Folga")</f>
        <v/>
      </c>
      <c r="CG23" s="64">
        <f>IF((BV23-CB23)&gt;=0,"Dem","Folga")</f>
        <v/>
      </c>
    </row>
    <row r="24">
      <c r="M24" s="64">
        <f>TRUNC((_xlfn.NORM.INV((RAND()),$L$6,$L$7)),2)</f>
        <v/>
      </c>
      <c r="O24" s="64" t="n">
        <v>29</v>
      </c>
      <c r="P24" s="5" t="n">
        <v>196.14</v>
      </c>
      <c r="Q24" s="5" t="n">
        <v>147.06</v>
      </c>
      <c r="R24" s="5" t="n">
        <v>164.85</v>
      </c>
      <c r="W24" s="64">
        <f>TRUNC((_xlfn.NORM.INV((RAND()),$V$6,$V$7)),3)</f>
        <v/>
      </c>
      <c r="Y24" s="64" t="n">
        <v>29</v>
      </c>
      <c r="Z24" s="5" t="n">
        <v>6.735</v>
      </c>
      <c r="AA24" s="5" t="n">
        <v>6.82</v>
      </c>
      <c r="AB24" s="5" t="n">
        <v>6.795</v>
      </c>
      <c r="AG24" s="64">
        <f>TRUNC((_xlfn.NORM.INV((RAND()),$AF$6,$AF$7)),3)</f>
        <v/>
      </c>
      <c r="AI24" s="64" t="n">
        <v>29</v>
      </c>
      <c r="AJ24" s="5" t="n">
        <v>74.997</v>
      </c>
      <c r="AK24" s="5" t="n">
        <v>45.427</v>
      </c>
      <c r="AL24" s="5" t="n">
        <v>54.332</v>
      </c>
      <c r="AR24" s="64" t="n">
        <v>29</v>
      </c>
      <c r="AS24" s="5" t="n">
        <v>0</v>
      </c>
      <c r="AT24" s="5" t="n">
        <v>0</v>
      </c>
      <c r="AU24" s="5" t="n">
        <v>0</v>
      </c>
      <c r="AW24" s="64">
        <f>Z24/Demand!AU42</f>
        <v/>
      </c>
      <c r="AX24" s="64">
        <f>AA24/Demand!AV42</f>
        <v/>
      </c>
      <c r="AY24" s="64">
        <f>AB24/Demand!AW42</f>
        <v/>
      </c>
      <c r="BG24" s="64" t="n">
        <v>29</v>
      </c>
      <c r="BH24" s="64">
        <f>Results!$B$19+AJ24-Results!$D$21</f>
        <v/>
      </c>
      <c r="BI24" s="64">
        <f>Results!$B$19+AK24-Results!$D$21</f>
        <v/>
      </c>
      <c r="BJ24" s="64">
        <f>Results!$B$19+AL24-Results!$D$21</f>
        <v/>
      </c>
      <c r="BM24" s="64" t="n">
        <v>29</v>
      </c>
      <c r="BN24" s="64">
        <f>Results!D39</f>
        <v/>
      </c>
      <c r="BO24" s="64">
        <f>Results!E39</f>
        <v/>
      </c>
      <c r="BP24" s="64">
        <f>Results!F39</f>
        <v/>
      </c>
      <c r="BS24" s="64" t="n">
        <v>29</v>
      </c>
      <c r="BT24" s="64">
        <f>Demand!AU42</f>
        <v/>
      </c>
      <c r="BU24" s="64">
        <f>Demand!AV42</f>
        <v/>
      </c>
      <c r="BV24" s="64">
        <f>Demand!AW42</f>
        <v/>
      </c>
      <c r="BY24" s="64" t="n">
        <v>29</v>
      </c>
      <c r="BZ24" s="64">
        <f>Retailers_Cap!N25</f>
        <v/>
      </c>
      <c r="CA24" s="64">
        <f>Retailers_Cap!O25</f>
        <v/>
      </c>
      <c r="CB24" s="64">
        <f>Retailers_Cap!P25</f>
        <v/>
      </c>
      <c r="CD24" s="64" t="n">
        <v>29</v>
      </c>
      <c r="CE24" s="64">
        <f>IF((BT24-BZ24)&gt;=0,"Dem","Folga")</f>
        <v/>
      </c>
      <c r="CF24" s="64">
        <f>IF((BU24-CA24)&gt;=0,"Dem","Folga")</f>
        <v/>
      </c>
      <c r="CG24" s="64">
        <f>IF((BV24-CB24)&gt;=0,"Dem","Folga")</f>
        <v/>
      </c>
    </row>
    <row r="25">
      <c r="M25" s="64">
        <f>TRUNC((_xlfn.NORM.INV((RAND()),$L$6,$L$7)),2)</f>
        <v/>
      </c>
      <c r="O25" s="64" t="n">
        <v>30</v>
      </c>
      <c r="P25" s="5" t="n">
        <v>258</v>
      </c>
      <c r="Q25" s="5" t="n">
        <v>231.58</v>
      </c>
      <c r="R25" s="5" t="n">
        <v>160.97</v>
      </c>
      <c r="W25" s="64">
        <f>TRUNC((_xlfn.NORM.INV((RAND()),$V$6,$V$7)),3)</f>
        <v/>
      </c>
      <c r="Y25" s="64" t="n">
        <v>30</v>
      </c>
      <c r="Z25" s="5" t="n">
        <v>6.694</v>
      </c>
      <c r="AA25" s="5" t="n">
        <v>6.71</v>
      </c>
      <c r="AB25" s="5" t="n">
        <v>6.708</v>
      </c>
      <c r="AG25" s="64">
        <f>TRUNC((_xlfn.NORM.INV((RAND()),$AF$6,$AF$7)),3)</f>
        <v/>
      </c>
      <c r="AI25" s="64" t="n">
        <v>30</v>
      </c>
      <c r="AJ25" s="5" t="n">
        <v>54.744</v>
      </c>
      <c r="AK25" s="5" t="n">
        <v>69.771</v>
      </c>
      <c r="AL25" s="5" t="n">
        <v>54.29</v>
      </c>
      <c r="AR25" s="64" t="n">
        <v>30</v>
      </c>
      <c r="AS25" s="5" t="n">
        <v>21.30150392801713</v>
      </c>
      <c r="AT25" s="5" t="n">
        <v>0</v>
      </c>
      <c r="AU25" s="5" t="n">
        <v>0</v>
      </c>
      <c r="AW25" s="64">
        <f>Z25/Demand!AU43</f>
        <v/>
      </c>
      <c r="AX25" s="64">
        <f>AA25/Demand!AV43</f>
        <v/>
      </c>
      <c r="AY25" s="64">
        <f>AB25/Demand!AW43</f>
        <v/>
      </c>
      <c r="BG25" s="64" t="n">
        <v>30</v>
      </c>
      <c r="BH25" s="64">
        <f>Results!$B$19+AJ25-Results!$D$21</f>
        <v/>
      </c>
      <c r="BI25" s="64">
        <f>Results!$B$19+AK25-Results!$D$21</f>
        <v/>
      </c>
      <c r="BJ25" s="64">
        <f>Results!$B$19+AL25-Results!$D$21</f>
        <v/>
      </c>
      <c r="BM25" s="64" t="n">
        <v>30</v>
      </c>
      <c r="BN25" s="64">
        <f>Results!D40</f>
        <v/>
      </c>
      <c r="BO25" s="64">
        <f>Results!E40</f>
        <v/>
      </c>
      <c r="BP25" s="64">
        <f>Results!F40</f>
        <v/>
      </c>
      <c r="BS25" s="64" t="n">
        <v>30</v>
      </c>
      <c r="BT25" s="64">
        <f>Demand!AU43</f>
        <v/>
      </c>
      <c r="BU25" s="64">
        <f>Demand!AV43</f>
        <v/>
      </c>
      <c r="BV25" s="64">
        <f>Demand!AW43</f>
        <v/>
      </c>
      <c r="BY25" s="64" t="n">
        <v>30</v>
      </c>
      <c r="BZ25" s="64">
        <f>Retailers_Cap!N26</f>
        <v/>
      </c>
      <c r="CA25" s="64">
        <f>Retailers_Cap!O26</f>
        <v/>
      </c>
      <c r="CB25" s="64">
        <f>Retailers_Cap!P26</f>
        <v/>
      </c>
      <c r="CD25" s="64" t="n">
        <v>30</v>
      </c>
      <c r="CE25" s="64">
        <f>IF((BT25-BZ25)&gt;=0,"Dem","Folga")</f>
        <v/>
      </c>
      <c r="CF25" s="64">
        <f>IF((BU25-CA25)&gt;=0,"Dem","Folga")</f>
        <v/>
      </c>
      <c r="CG25" s="64">
        <f>IF((BV25-CB25)&gt;=0,"Dem","Folga")</f>
        <v/>
      </c>
    </row>
    <row r="26">
      <c r="M26" s="64">
        <f>TRUNC((_xlfn.NORM.INV((RAND()),$L$6,$L$7)),2)</f>
        <v/>
      </c>
      <c r="O26" s="64" t="n">
        <v>31</v>
      </c>
      <c r="P26" s="5" t="n">
        <v>144.06</v>
      </c>
      <c r="Q26" s="5" t="n">
        <v>274.91</v>
      </c>
      <c r="R26" s="5" t="n">
        <v>236.68</v>
      </c>
      <c r="W26" s="64">
        <f>TRUNC((_xlfn.NORM.INV((RAND()),$V$6,$V$7)),3)</f>
        <v/>
      </c>
      <c r="Y26" s="64" t="n">
        <v>31</v>
      </c>
      <c r="Z26" s="5" t="n">
        <v>6.658</v>
      </c>
      <c r="AA26" s="5" t="n">
        <v>6.671</v>
      </c>
      <c r="AB26" s="5" t="n">
        <v>6.695</v>
      </c>
      <c r="AG26" s="64">
        <f>TRUNC((_xlfn.NORM.INV((RAND()),$AF$6,$AF$7)),3)</f>
        <v/>
      </c>
      <c r="AI26" s="64" t="n">
        <v>31</v>
      </c>
      <c r="AJ26" s="5" t="n">
        <v>65.696</v>
      </c>
      <c r="AK26" s="5" t="n">
        <v>66.53</v>
      </c>
      <c r="AL26" s="5" t="n">
        <v>49.735</v>
      </c>
      <c r="AR26" s="64" t="n">
        <v>31</v>
      </c>
      <c r="AS26" s="5" t="n">
        <v>0</v>
      </c>
      <c r="AT26" s="5" t="n">
        <v>0</v>
      </c>
      <c r="AU26" s="5" t="n">
        <v>7.213870759280733</v>
      </c>
      <c r="AW26" s="64">
        <f>Z26/Demand!AU44</f>
        <v/>
      </c>
      <c r="AX26" s="64">
        <f>AA26/Demand!AV44</f>
        <v/>
      </c>
      <c r="AY26" s="64">
        <f>AB26/Demand!AW44</f>
        <v/>
      </c>
      <c r="BG26" s="64" t="n">
        <v>31</v>
      </c>
      <c r="BH26" s="64">
        <f>Results!$B$19+AJ26-Results!$D$21</f>
        <v/>
      </c>
      <c r="BI26" s="64">
        <f>Results!$B$19+AK26-Results!$D$21</f>
        <v/>
      </c>
      <c r="BJ26" s="64">
        <f>Results!$B$19+AL26-Results!$D$21</f>
        <v/>
      </c>
      <c r="BM26" s="64" t="n">
        <v>31</v>
      </c>
      <c r="BN26" s="64">
        <f>Results!D41</f>
        <v/>
      </c>
      <c r="BO26" s="64">
        <f>Results!E41</f>
        <v/>
      </c>
      <c r="BP26" s="64">
        <f>Results!F41</f>
        <v/>
      </c>
      <c r="BS26" s="64" t="n">
        <v>31</v>
      </c>
      <c r="BT26" s="64">
        <f>Demand!AU44</f>
        <v/>
      </c>
      <c r="BU26" s="64">
        <f>Demand!AV44</f>
        <v/>
      </c>
      <c r="BV26" s="64">
        <f>Demand!AW44</f>
        <v/>
      </c>
      <c r="BY26" s="64" t="n">
        <v>31</v>
      </c>
      <c r="BZ26" s="64">
        <f>Retailers_Cap!N27</f>
        <v/>
      </c>
      <c r="CA26" s="64">
        <f>Retailers_Cap!O27</f>
        <v/>
      </c>
      <c r="CB26" s="64">
        <f>Retailers_Cap!P27</f>
        <v/>
      </c>
      <c r="CD26" s="64" t="n">
        <v>31</v>
      </c>
      <c r="CE26" s="64">
        <f>IF((BT26-BZ26)&gt;=0,"Dem","Folga")</f>
        <v/>
      </c>
      <c r="CF26" s="64">
        <f>IF((BU26-CA26)&gt;=0,"Dem","Folga")</f>
        <v/>
      </c>
      <c r="CG26" s="64">
        <f>IF((BV26-CB26)&gt;=0,"Dem","Folga")</f>
        <v/>
      </c>
    </row>
    <row r="27">
      <c r="M27" s="64">
        <f>TRUNC((_xlfn.NORM.INV((RAND()),$L$6,$L$7)),2)</f>
        <v/>
      </c>
      <c r="O27" s="64" t="n">
        <v>32</v>
      </c>
      <c r="P27" s="5" t="n">
        <v>222.17</v>
      </c>
      <c r="Q27" s="5" t="n">
        <v>204.07</v>
      </c>
      <c r="R27" s="5" t="n">
        <v>251.49</v>
      </c>
      <c r="W27" s="64">
        <f>TRUNC((_xlfn.NORM.INV((RAND()),$V$6,$V$7)),3)</f>
        <v/>
      </c>
      <c r="Y27" s="64" t="n">
        <v>32</v>
      </c>
      <c r="Z27" s="5" t="n">
        <v>6.835</v>
      </c>
      <c r="AA27" s="5" t="n">
        <v>6.645</v>
      </c>
      <c r="AB27" s="5" t="n">
        <v>6.771</v>
      </c>
      <c r="AG27" s="64">
        <f>TRUNC((_xlfn.NORM.INV((RAND()),$AF$6,$AF$7)),3)</f>
        <v/>
      </c>
      <c r="AI27" s="64" t="n">
        <v>32</v>
      </c>
      <c r="AJ27" s="5" t="n">
        <v>71.468</v>
      </c>
      <c r="AK27" s="5" t="n">
        <v>35.687</v>
      </c>
      <c r="AL27" s="5" t="n">
        <v>51.613</v>
      </c>
      <c r="AR27" s="64" t="n">
        <v>32</v>
      </c>
      <c r="AS27" s="5" t="n">
        <v>0</v>
      </c>
      <c r="AT27" s="5" t="n">
        <v>0</v>
      </c>
      <c r="AU27" s="5" t="n">
        <v>4.41493129245633</v>
      </c>
      <c r="AW27" s="64">
        <f>Z27/Demand!AU45</f>
        <v/>
      </c>
      <c r="AX27" s="64">
        <f>AA27/Demand!AV45</f>
        <v/>
      </c>
      <c r="AY27" s="64">
        <f>AB27/Demand!AW45</f>
        <v/>
      </c>
      <c r="BG27" s="64" t="n">
        <v>32</v>
      </c>
      <c r="BH27" s="64">
        <f>Results!$B$19+AJ27-Results!$D$21</f>
        <v/>
      </c>
      <c r="BI27" s="64">
        <f>Results!$B$19+AK27-Results!$D$21</f>
        <v/>
      </c>
      <c r="BJ27" s="64">
        <f>Results!$B$19+AL27-Results!$D$21</f>
        <v/>
      </c>
      <c r="BM27" s="64" t="n">
        <v>32</v>
      </c>
      <c r="BN27" s="64">
        <f>Results!D42</f>
        <v/>
      </c>
      <c r="BO27" s="64">
        <f>Results!E42</f>
        <v/>
      </c>
      <c r="BP27" s="64">
        <f>Results!F42</f>
        <v/>
      </c>
      <c r="BS27" s="64" t="n">
        <v>32</v>
      </c>
      <c r="BT27" s="64">
        <f>Demand!AU45</f>
        <v/>
      </c>
      <c r="BU27" s="64">
        <f>Demand!AV45</f>
        <v/>
      </c>
      <c r="BV27" s="64">
        <f>Demand!AW45</f>
        <v/>
      </c>
      <c r="BY27" s="64" t="n">
        <v>32</v>
      </c>
      <c r="BZ27" s="64">
        <f>Retailers_Cap!N28</f>
        <v/>
      </c>
      <c r="CA27" s="64">
        <f>Retailers_Cap!O28</f>
        <v/>
      </c>
      <c r="CB27" s="64">
        <f>Retailers_Cap!P28</f>
        <v/>
      </c>
      <c r="CD27" s="64" t="n">
        <v>32</v>
      </c>
      <c r="CE27" s="64">
        <f>IF((BT27-BZ27)&gt;=0,"Dem","Folga")</f>
        <v/>
      </c>
      <c r="CF27" s="64">
        <f>IF((BU27-CA27)&gt;=0,"Dem","Folga")</f>
        <v/>
      </c>
      <c r="CG27" s="64">
        <f>IF((BV27-CB27)&gt;=0,"Dem","Folga")</f>
        <v/>
      </c>
    </row>
    <row r="28">
      <c r="M28" s="64">
        <f>TRUNC((_xlfn.NORM.INV((RAND()),$L$6,$L$7)),2)</f>
        <v/>
      </c>
      <c r="O28" s="64" t="n">
        <v>33</v>
      </c>
      <c r="P28" s="5" t="n">
        <v>187.28</v>
      </c>
      <c r="Q28" s="5" t="n">
        <v>206.3</v>
      </c>
      <c r="R28" s="5" t="n">
        <v>192.44</v>
      </c>
      <c r="W28" s="64">
        <f>TRUNC((_xlfn.NORM.INV((RAND()),$V$6,$V$7)),3)</f>
        <v/>
      </c>
      <c r="Y28" s="64" t="n">
        <v>33</v>
      </c>
      <c r="Z28" s="5" t="n">
        <v>6.721</v>
      </c>
      <c r="AA28" s="5" t="n">
        <v>6.754</v>
      </c>
      <c r="AB28" s="5" t="n">
        <v>6.779</v>
      </c>
      <c r="AG28" s="64">
        <f>TRUNC((_xlfn.NORM.INV((RAND()),$AF$6,$AF$7)),3)</f>
        <v/>
      </c>
      <c r="AI28" s="64" t="n">
        <v>33</v>
      </c>
      <c r="AJ28" s="5" t="n">
        <v>67.304</v>
      </c>
      <c r="AK28" s="5" t="n">
        <v>53.203</v>
      </c>
      <c r="AL28" s="5" t="n">
        <v>55.226</v>
      </c>
      <c r="AR28" s="64" t="n">
        <v>33</v>
      </c>
      <c r="AS28" s="5" t="n">
        <v>4.213480520051422</v>
      </c>
      <c r="AT28" s="5" t="n">
        <v>8.414236728005648</v>
      </c>
      <c r="AU28" s="5" t="n">
        <v>29.36555208990596</v>
      </c>
      <c r="AW28" s="64">
        <f>Z28/Demand!AU46</f>
        <v/>
      </c>
      <c r="AX28" s="64">
        <f>AA28/Demand!AV46</f>
        <v/>
      </c>
      <c r="AY28" s="64">
        <f>AB28/Demand!AW46</f>
        <v/>
      </c>
      <c r="BG28" s="64" t="n">
        <v>33</v>
      </c>
      <c r="BH28" s="64">
        <f>Results!$B$19+AJ28-Results!$D$21</f>
        <v/>
      </c>
      <c r="BI28" s="64">
        <f>Results!$B$19+AK28-Results!$D$21</f>
        <v/>
      </c>
      <c r="BJ28" s="64">
        <f>Results!$B$19+AL28-Results!$D$21</f>
        <v/>
      </c>
      <c r="BM28" s="64" t="n">
        <v>33</v>
      </c>
      <c r="BN28" s="64">
        <f>Results!D43</f>
        <v/>
      </c>
      <c r="BO28" s="64">
        <f>Results!E43</f>
        <v/>
      </c>
      <c r="BP28" s="64">
        <f>Results!F43</f>
        <v/>
      </c>
      <c r="BS28" s="64" t="n">
        <v>33</v>
      </c>
      <c r="BT28" s="64">
        <f>Demand!AU46</f>
        <v/>
      </c>
      <c r="BU28" s="64">
        <f>Demand!AV46</f>
        <v/>
      </c>
      <c r="BV28" s="64">
        <f>Demand!AW46</f>
        <v/>
      </c>
      <c r="BY28" s="64" t="n">
        <v>33</v>
      </c>
      <c r="BZ28" s="64">
        <f>Retailers_Cap!N29</f>
        <v/>
      </c>
      <c r="CA28" s="64">
        <f>Retailers_Cap!O29</f>
        <v/>
      </c>
      <c r="CB28" s="64">
        <f>Retailers_Cap!P29</f>
        <v/>
      </c>
      <c r="CD28" s="64" t="n">
        <v>33</v>
      </c>
      <c r="CE28" s="64">
        <f>IF((BT28-BZ28)&gt;=0,"Dem","Folga")</f>
        <v/>
      </c>
      <c r="CF28" s="64">
        <f>IF((BU28-CA28)&gt;=0,"Dem","Folga")</f>
        <v/>
      </c>
      <c r="CG28" s="64">
        <f>IF((BV28-CB28)&gt;=0,"Dem","Folga")</f>
        <v/>
      </c>
    </row>
    <row r="29">
      <c r="M29" s="64">
        <f>TRUNC((_xlfn.NORM.INV((RAND()),$L$6,$L$7)),2)</f>
        <v/>
      </c>
      <c r="O29" s="64" t="n">
        <v>34</v>
      </c>
      <c r="P29" s="5" t="n">
        <v>194.92</v>
      </c>
      <c r="Q29" s="5" t="n">
        <v>203.71</v>
      </c>
      <c r="R29" s="5" t="n">
        <v>228.72</v>
      </c>
      <c r="W29" s="64">
        <f>TRUNC((_xlfn.NORM.INV((RAND()),$V$6,$V$7)),3)</f>
        <v/>
      </c>
      <c r="Y29" s="64" t="n">
        <v>34</v>
      </c>
      <c r="Z29" s="5" t="n">
        <v>6.746</v>
      </c>
      <c r="AA29" s="5" t="n">
        <v>6.784</v>
      </c>
      <c r="AB29" s="5" t="n">
        <v>6.747</v>
      </c>
      <c r="AG29" s="64">
        <f>TRUNC((_xlfn.NORM.INV((RAND()),$AF$6,$AF$7)),3)</f>
        <v/>
      </c>
      <c r="AI29" s="64" t="n">
        <v>34</v>
      </c>
      <c r="AJ29" s="5" t="n">
        <v>61.695</v>
      </c>
      <c r="AK29" s="5" t="n">
        <v>33.083</v>
      </c>
      <c r="AL29" s="5" t="n">
        <v>48.755</v>
      </c>
      <c r="AR29" s="64" t="n">
        <v>34</v>
      </c>
      <c r="AS29" s="5" t="n">
        <v>0</v>
      </c>
      <c r="AT29" s="5" t="n">
        <v>0</v>
      </c>
      <c r="AU29" s="5" t="n">
        <v>8.713216813441456</v>
      </c>
      <c r="AW29" s="64">
        <f>Z29/Demand!AU47</f>
        <v/>
      </c>
      <c r="AX29" s="64">
        <f>AA29/Demand!AV47</f>
        <v/>
      </c>
      <c r="AY29" s="64">
        <f>AB29/Demand!AW47</f>
        <v/>
      </c>
      <c r="BG29" s="64" t="n">
        <v>34</v>
      </c>
      <c r="BH29" s="64">
        <f>Results!$B$19+AJ29-Results!$D$21</f>
        <v/>
      </c>
      <c r="BI29" s="64">
        <f>Results!$B$19+AK29-Results!$D$21</f>
        <v/>
      </c>
      <c r="BJ29" s="64">
        <f>Results!$B$19+AL29-Results!$D$21</f>
        <v/>
      </c>
      <c r="BM29" s="64" t="n">
        <v>34</v>
      </c>
      <c r="BN29" s="64">
        <f>Results!D44</f>
        <v/>
      </c>
      <c r="BO29" s="64">
        <f>Results!E44</f>
        <v/>
      </c>
      <c r="BP29" s="64">
        <f>Results!F44</f>
        <v/>
      </c>
      <c r="BS29" s="64" t="n">
        <v>34</v>
      </c>
      <c r="BT29" s="64">
        <f>Demand!AU47</f>
        <v/>
      </c>
      <c r="BU29" s="64">
        <f>Demand!AV47</f>
        <v/>
      </c>
      <c r="BV29" s="64">
        <f>Demand!AW47</f>
        <v/>
      </c>
      <c r="BY29" s="64" t="n">
        <v>34</v>
      </c>
      <c r="BZ29" s="64">
        <f>Retailers_Cap!N30</f>
        <v/>
      </c>
      <c r="CA29" s="64">
        <f>Retailers_Cap!O30</f>
        <v/>
      </c>
      <c r="CB29" s="64">
        <f>Retailers_Cap!P30</f>
        <v/>
      </c>
      <c r="CD29" s="64" t="n">
        <v>34</v>
      </c>
      <c r="CE29" s="64">
        <f>IF((BT29-BZ29)&gt;=0,"Dem","Folga")</f>
        <v/>
      </c>
      <c r="CF29" s="64">
        <f>IF((BU29-CA29)&gt;=0,"Dem","Folga")</f>
        <v/>
      </c>
      <c r="CG29" s="64">
        <f>IF((BV29-CB29)&gt;=0,"Dem","Folga")</f>
        <v/>
      </c>
    </row>
    <row r="30">
      <c r="M30" s="64">
        <f>TRUNC((_xlfn.NORM.INV((RAND()),$L$6,$L$7)),2)</f>
        <v/>
      </c>
      <c r="O30" s="64" t="n">
        <v>35</v>
      </c>
      <c r="P30" s="5" t="n">
        <v>199.77</v>
      </c>
      <c r="Q30" s="5" t="n">
        <v>219.57</v>
      </c>
      <c r="R30" s="5" t="n">
        <v>178.06</v>
      </c>
      <c r="W30" s="64">
        <f>TRUNC((_xlfn.NORM.INV((RAND()),$V$6,$V$7)),3)</f>
        <v/>
      </c>
      <c r="Y30" s="64" t="n">
        <v>35</v>
      </c>
      <c r="Z30" s="5" t="n">
        <v>6.71</v>
      </c>
      <c r="AA30" s="5" t="n">
        <v>6.776</v>
      </c>
      <c r="AB30" s="5" t="n">
        <v>6.772</v>
      </c>
      <c r="AG30" s="64">
        <f>TRUNC((_xlfn.NORM.INV((RAND()),$AF$6,$AF$7)),3)</f>
        <v/>
      </c>
      <c r="AI30" s="64" t="n">
        <v>35</v>
      </c>
      <c r="AJ30" s="5" t="n">
        <v>68.51300000000001</v>
      </c>
      <c r="AK30" s="5" t="n">
        <v>45.747</v>
      </c>
      <c r="AL30" s="5" t="n">
        <v>67.163</v>
      </c>
      <c r="AR30" s="64" t="n">
        <v>35</v>
      </c>
      <c r="AS30" s="5" t="n">
        <v>21.16790248899576</v>
      </c>
      <c r="AT30" s="5" t="n">
        <v>0</v>
      </c>
      <c r="AU30" s="5" t="n">
        <v>30.68743079913455</v>
      </c>
      <c r="AW30" s="64">
        <f>Z30/Demand!AU48</f>
        <v/>
      </c>
      <c r="AX30" s="64">
        <f>AA30/Demand!AV48</f>
        <v/>
      </c>
      <c r="AY30" s="64">
        <f>AB30/Demand!AW48</f>
        <v/>
      </c>
      <c r="BG30" s="64" t="n">
        <v>35</v>
      </c>
      <c r="BH30" s="64">
        <f>Results!$B$19+AJ30-Results!$D$21</f>
        <v/>
      </c>
      <c r="BI30" s="64">
        <f>Results!$B$19+AK30-Results!$D$21</f>
        <v/>
      </c>
      <c r="BJ30" s="64">
        <f>Results!$B$19+AL30-Results!$D$21</f>
        <v/>
      </c>
      <c r="BM30" s="64" t="n">
        <v>35</v>
      </c>
      <c r="BN30" s="64">
        <f>Results!D45</f>
        <v/>
      </c>
      <c r="BO30" s="64">
        <f>Results!E45</f>
        <v/>
      </c>
      <c r="BP30" s="64">
        <f>Results!F45</f>
        <v/>
      </c>
      <c r="BS30" s="64" t="n">
        <v>35</v>
      </c>
      <c r="BT30" s="64">
        <f>Demand!AU48</f>
        <v/>
      </c>
      <c r="BU30" s="64">
        <f>Demand!AV48</f>
        <v/>
      </c>
      <c r="BV30" s="64">
        <f>Demand!AW48</f>
        <v/>
      </c>
      <c r="BY30" s="64" t="n">
        <v>35</v>
      </c>
      <c r="BZ30" s="64">
        <f>Retailers_Cap!N31</f>
        <v/>
      </c>
      <c r="CA30" s="64">
        <f>Retailers_Cap!O31</f>
        <v/>
      </c>
      <c r="CB30" s="64">
        <f>Retailers_Cap!P31</f>
        <v/>
      </c>
      <c r="CD30" s="64" t="n">
        <v>35</v>
      </c>
      <c r="CE30" s="64">
        <f>IF((BT30-BZ30)&gt;=0,"Dem","Folga")</f>
        <v/>
      </c>
      <c r="CF30" s="64">
        <f>IF((BU30-CA30)&gt;=0,"Dem","Folga")</f>
        <v/>
      </c>
      <c r="CG30" s="64">
        <f>IF((BV30-CB30)&gt;=0,"Dem","Folga")</f>
        <v/>
      </c>
    </row>
    <row r="31">
      <c r="M31" s="64">
        <f>TRUNC((_xlfn.NORM.INV((RAND()),$L$6,$L$7)),2)</f>
        <v/>
      </c>
      <c r="O31" s="64" t="n">
        <v>36</v>
      </c>
      <c r="P31" s="5" t="n">
        <v>151.1</v>
      </c>
      <c r="Q31" s="5" t="n">
        <v>157.09</v>
      </c>
      <c r="R31" s="5" t="n">
        <v>192.84</v>
      </c>
      <c r="W31" s="64">
        <f>TRUNC((_xlfn.NORM.INV((RAND()),$V$6,$V$7)),3)</f>
        <v/>
      </c>
      <c r="Y31" s="64" t="n">
        <v>36</v>
      </c>
      <c r="Z31" s="5" t="n">
        <v>6.66</v>
      </c>
      <c r="AA31" s="5" t="n">
        <v>6.685</v>
      </c>
      <c r="AB31" s="5" t="n">
        <v>6.734</v>
      </c>
      <c r="AG31" s="64">
        <f>TRUNC((_xlfn.NORM.INV((RAND()),$AF$6,$AF$7)),3)</f>
        <v/>
      </c>
      <c r="AI31" s="64" t="n">
        <v>36</v>
      </c>
      <c r="AJ31" s="5" t="n">
        <v>58.349</v>
      </c>
      <c r="AK31" s="5" t="n">
        <v>62.475</v>
      </c>
      <c r="AL31" s="5" t="n">
        <v>98.17400000000001</v>
      </c>
      <c r="AR31" s="64" t="n">
        <v>36</v>
      </c>
      <c r="AS31" s="5" t="n">
        <v>0</v>
      </c>
      <c r="AT31" s="5" t="n">
        <v>11.39724555242405</v>
      </c>
      <c r="AU31" s="5" t="n">
        <v>12.67953720040494</v>
      </c>
      <c r="AW31" s="64">
        <f>Z31/Demand!AU49</f>
        <v/>
      </c>
      <c r="AX31" s="64">
        <f>AA31/Demand!AV49</f>
        <v/>
      </c>
      <c r="AY31" s="64">
        <f>AB31/Demand!AW49</f>
        <v/>
      </c>
      <c r="BG31" s="64" t="n">
        <v>36</v>
      </c>
      <c r="BH31" s="64">
        <f>Results!$B$19+AJ31-Results!$D$21</f>
        <v/>
      </c>
      <c r="BI31" s="64">
        <f>Results!$B$19+AK31-Results!$D$21</f>
        <v/>
      </c>
      <c r="BJ31" s="64">
        <f>Results!$B$19+AL31-Results!$D$21</f>
        <v/>
      </c>
      <c r="BM31" s="64" t="n">
        <v>36</v>
      </c>
      <c r="BN31" s="64">
        <f>Results!D46</f>
        <v/>
      </c>
      <c r="BO31" s="64">
        <f>Results!E46</f>
        <v/>
      </c>
      <c r="BP31" s="64">
        <f>Results!F46</f>
        <v/>
      </c>
      <c r="BS31" s="64" t="n">
        <v>36</v>
      </c>
      <c r="BT31" s="64">
        <f>Demand!AU49</f>
        <v/>
      </c>
      <c r="BU31" s="64">
        <f>Demand!AV49</f>
        <v/>
      </c>
      <c r="BV31" s="64">
        <f>Demand!AW49</f>
        <v/>
      </c>
      <c r="BY31" s="64" t="n">
        <v>36</v>
      </c>
      <c r="BZ31" s="64">
        <f>Retailers_Cap!N32</f>
        <v/>
      </c>
      <c r="CA31" s="64">
        <f>Retailers_Cap!O32</f>
        <v/>
      </c>
      <c r="CB31" s="64">
        <f>Retailers_Cap!P32</f>
        <v/>
      </c>
      <c r="CD31" s="64" t="n">
        <v>36</v>
      </c>
      <c r="CE31" s="64">
        <f>IF((BT31-BZ31)&gt;=0,"Dem","Folga")</f>
        <v/>
      </c>
      <c r="CF31" s="64">
        <f>IF((BU31-CA31)&gt;=0,"Dem","Folga")</f>
        <v/>
      </c>
      <c r="CG31" s="64">
        <f>IF((BV31-CB31)&gt;=0,"Dem","Folga")</f>
        <v/>
      </c>
    </row>
    <row r="32">
      <c r="M32" s="64">
        <f>TRUNC((_xlfn.NORM.INV((RAND()),$L$6,$L$7)),2)</f>
        <v/>
      </c>
      <c r="O32" s="64" t="n">
        <v>37</v>
      </c>
      <c r="P32" s="5" t="n">
        <v>258.23</v>
      </c>
      <c r="Q32" s="5" t="n">
        <v>212.16</v>
      </c>
      <c r="R32" s="5" t="n">
        <v>95.67</v>
      </c>
      <c r="W32" s="64">
        <f>TRUNC((_xlfn.NORM.INV((RAND()),$V$6,$V$7)),3)</f>
        <v/>
      </c>
      <c r="Y32" s="64" t="n">
        <v>37</v>
      </c>
      <c r="Z32" s="5" t="n">
        <v>6.822</v>
      </c>
      <c r="AA32" s="5" t="n">
        <v>6.714</v>
      </c>
      <c r="AB32" s="5" t="n">
        <v>6.765</v>
      </c>
      <c r="AG32" s="64">
        <f>TRUNC((_xlfn.NORM.INV((RAND()),$AF$6,$AF$7)),3)</f>
        <v/>
      </c>
      <c r="AI32" s="64" t="n">
        <v>37</v>
      </c>
      <c r="AJ32" s="5" t="n">
        <v>50.638</v>
      </c>
      <c r="AK32" s="5" t="n">
        <v>52.521</v>
      </c>
      <c r="AL32" s="5" t="n">
        <v>85.3</v>
      </c>
      <c r="AR32" s="64" t="n">
        <v>37</v>
      </c>
      <c r="AS32" s="5" t="n">
        <v>8.599633654285723</v>
      </c>
      <c r="AT32" s="5" t="n">
        <v>12.52170304582716</v>
      </c>
      <c r="AU32" s="5" t="n">
        <v>0</v>
      </c>
      <c r="AW32" s="64">
        <f>Z32/Demand!AU50</f>
        <v/>
      </c>
      <c r="AX32" s="64">
        <f>AA32/Demand!AV50</f>
        <v/>
      </c>
      <c r="AY32" s="64">
        <f>AB32/Demand!AW50</f>
        <v/>
      </c>
      <c r="BG32" s="64" t="n">
        <v>37</v>
      </c>
      <c r="BH32" s="64">
        <f>Results!$B$19+AJ32-Results!$D$21</f>
        <v/>
      </c>
      <c r="BI32" s="64">
        <f>Results!$B$19+AK32-Results!$D$21</f>
        <v/>
      </c>
      <c r="BJ32" s="64">
        <f>Results!$B$19+AL32-Results!$D$21</f>
        <v/>
      </c>
      <c r="BM32" s="64" t="n">
        <v>37</v>
      </c>
      <c r="BN32" s="64">
        <f>Results!D47</f>
        <v/>
      </c>
      <c r="BO32" s="64">
        <f>Results!E47</f>
        <v/>
      </c>
      <c r="BP32" s="64">
        <f>Results!F47</f>
        <v/>
      </c>
      <c r="BS32" s="64" t="n">
        <v>37</v>
      </c>
      <c r="BT32" s="64">
        <f>Demand!AU50</f>
        <v/>
      </c>
      <c r="BU32" s="64">
        <f>Demand!AV50</f>
        <v/>
      </c>
      <c r="BV32" s="64">
        <f>Demand!AW50</f>
        <v/>
      </c>
      <c r="BY32" s="64" t="n">
        <v>37</v>
      </c>
      <c r="BZ32" s="64">
        <f>Retailers_Cap!N33</f>
        <v/>
      </c>
      <c r="CA32" s="64">
        <f>Retailers_Cap!O33</f>
        <v/>
      </c>
      <c r="CB32" s="64">
        <f>Retailers_Cap!P33</f>
        <v/>
      </c>
      <c r="CD32" s="64" t="n">
        <v>37</v>
      </c>
      <c r="CE32" s="64">
        <f>IF((BT32-BZ32)&gt;=0,"Dem","Folga")</f>
        <v/>
      </c>
      <c r="CF32" s="64">
        <f>IF((BU32-CA32)&gt;=0,"Dem","Folga")</f>
        <v/>
      </c>
      <c r="CG32" s="64">
        <f>IF((BV32-CB32)&gt;=0,"Dem","Folga")</f>
        <v/>
      </c>
    </row>
    <row r="33">
      <c r="M33" s="64">
        <f>TRUNC((_xlfn.NORM.INV((RAND()),$L$6,$L$7)),2)</f>
        <v/>
      </c>
      <c r="O33" s="64" t="n">
        <v>38</v>
      </c>
      <c r="P33" s="5" t="n">
        <v>223.06</v>
      </c>
      <c r="Q33" s="5" t="n">
        <v>199.68</v>
      </c>
      <c r="R33" s="5" t="n">
        <v>199.04</v>
      </c>
      <c r="W33" s="64">
        <f>TRUNC((_xlfn.NORM.INV((RAND()),$V$6,$V$7)),3)</f>
        <v/>
      </c>
      <c r="Y33" s="64" t="n">
        <v>38</v>
      </c>
      <c r="Z33" s="5" t="n">
        <v>6.771</v>
      </c>
      <c r="AA33" s="5" t="n">
        <v>6.687</v>
      </c>
      <c r="AB33" s="5" t="n">
        <v>6.681</v>
      </c>
      <c r="AG33" s="64">
        <f>TRUNC((_xlfn.NORM.INV((RAND()),$AF$6,$AF$7)),3)</f>
        <v/>
      </c>
      <c r="AI33" s="64" t="n">
        <v>38</v>
      </c>
      <c r="AJ33" s="5" t="n">
        <v>53.028</v>
      </c>
      <c r="AK33" s="5" t="n">
        <v>47.693</v>
      </c>
      <c r="AL33" s="5" t="n">
        <v>57.554</v>
      </c>
      <c r="AR33" s="64" t="n">
        <v>38</v>
      </c>
      <c r="AS33" s="5" t="n">
        <v>19.10351957663408</v>
      </c>
      <c r="AT33" s="5" t="n">
        <v>0</v>
      </c>
      <c r="AU33" s="5" t="n">
        <v>0</v>
      </c>
      <c r="AW33" s="64">
        <f>Z33/Demand!AU51</f>
        <v/>
      </c>
      <c r="AX33" s="64">
        <f>AA33/Demand!AV51</f>
        <v/>
      </c>
      <c r="AY33" s="64">
        <f>AB33/Demand!AW51</f>
        <v/>
      </c>
      <c r="BG33" s="64" t="n">
        <v>38</v>
      </c>
      <c r="BH33" s="64">
        <f>Results!$B$19+AJ33-Results!$D$21</f>
        <v/>
      </c>
      <c r="BI33" s="64">
        <f>Results!$B$19+AK33-Results!$D$21</f>
        <v/>
      </c>
      <c r="BJ33" s="64">
        <f>Results!$B$19+AL33-Results!$D$21</f>
        <v/>
      </c>
      <c r="BM33" s="64" t="n">
        <v>38</v>
      </c>
      <c r="BN33" s="64">
        <f>Results!D48</f>
        <v/>
      </c>
      <c r="BO33" s="64">
        <f>Results!E48</f>
        <v/>
      </c>
      <c r="BP33" s="64">
        <f>Results!F48</f>
        <v/>
      </c>
      <c r="BS33" s="64" t="n">
        <v>38</v>
      </c>
      <c r="BT33" s="64">
        <f>Demand!AU51</f>
        <v/>
      </c>
      <c r="BU33" s="64">
        <f>Demand!AV51</f>
        <v/>
      </c>
      <c r="BV33" s="64">
        <f>Demand!AW51</f>
        <v/>
      </c>
      <c r="BY33" s="64" t="n">
        <v>38</v>
      </c>
      <c r="BZ33" s="64">
        <f>Retailers_Cap!N34</f>
        <v/>
      </c>
      <c r="CA33" s="64">
        <f>Retailers_Cap!O34</f>
        <v/>
      </c>
      <c r="CB33" s="64">
        <f>Retailers_Cap!P34</f>
        <v/>
      </c>
      <c r="CD33" s="64" t="n">
        <v>38</v>
      </c>
      <c r="CE33" s="64">
        <f>IF((BT33-BZ33)&gt;=0,"Dem","Folga")</f>
        <v/>
      </c>
      <c r="CF33" s="64">
        <f>IF((BU33-CA33)&gt;=0,"Dem","Folga")</f>
        <v/>
      </c>
      <c r="CG33" s="64">
        <f>IF((BV33-CB33)&gt;=0,"Dem","Folga")</f>
        <v/>
      </c>
    </row>
    <row r="34">
      <c r="M34" s="64">
        <f>TRUNC((_xlfn.NORM.INV((RAND()),$L$6,$L$7)),2)</f>
        <v/>
      </c>
      <c r="O34" s="64" t="n">
        <v>39</v>
      </c>
      <c r="P34" s="5" t="n">
        <v>240.42</v>
      </c>
      <c r="Q34" s="5" t="n">
        <v>236.48</v>
      </c>
      <c r="R34" s="5" t="n">
        <v>209.49</v>
      </c>
      <c r="W34" s="64">
        <f>TRUNC((_xlfn.NORM.INV((RAND()),$V$6,$V$7)),3)</f>
        <v/>
      </c>
      <c r="Y34" s="64" t="n">
        <v>39</v>
      </c>
      <c r="Z34" s="5" t="n">
        <v>6.689</v>
      </c>
      <c r="AA34" s="5" t="n">
        <v>6.826</v>
      </c>
      <c r="AB34" s="5" t="n">
        <v>6.701</v>
      </c>
      <c r="AG34" s="64">
        <f>TRUNC((_xlfn.NORM.INV((RAND()),$AF$6,$AF$7)),3)</f>
        <v/>
      </c>
      <c r="AI34" s="64" t="n">
        <v>39</v>
      </c>
      <c r="AJ34" s="5" t="n">
        <v>66.75</v>
      </c>
      <c r="AK34" s="5" t="n">
        <v>50.137</v>
      </c>
      <c r="AL34" s="5" t="n">
        <v>61.721</v>
      </c>
      <c r="AR34" s="64" t="n">
        <v>39</v>
      </c>
      <c r="AS34" s="5" t="n">
        <v>0</v>
      </c>
      <c r="AT34" s="5" t="n">
        <v>0</v>
      </c>
      <c r="AU34" s="5" t="n">
        <v>0</v>
      </c>
      <c r="AW34" s="64">
        <f>Z34/Demand!AU52</f>
        <v/>
      </c>
      <c r="AX34" s="64">
        <f>AA34/Demand!AV52</f>
        <v/>
      </c>
      <c r="AY34" s="64">
        <f>AB34/Demand!AW52</f>
        <v/>
      </c>
      <c r="BG34" s="64" t="n">
        <v>39</v>
      </c>
      <c r="BH34" s="64">
        <f>Results!$B$19+AJ34-Results!$D$21</f>
        <v/>
      </c>
      <c r="BI34" s="64">
        <f>Results!$B$19+AK34-Results!$D$21</f>
        <v/>
      </c>
      <c r="BJ34" s="64">
        <f>Results!$B$19+AL34-Results!$D$21</f>
        <v/>
      </c>
      <c r="BM34" s="64" t="n">
        <v>39</v>
      </c>
      <c r="BN34" s="64">
        <f>Results!D49</f>
        <v/>
      </c>
      <c r="BO34" s="64">
        <f>Results!E49</f>
        <v/>
      </c>
      <c r="BP34" s="64">
        <f>Results!F49</f>
        <v/>
      </c>
      <c r="BS34" s="64" t="n">
        <v>39</v>
      </c>
      <c r="BT34" s="64">
        <f>Demand!AU52</f>
        <v/>
      </c>
      <c r="BU34" s="64">
        <f>Demand!AV52</f>
        <v/>
      </c>
      <c r="BV34" s="64">
        <f>Demand!AW52</f>
        <v/>
      </c>
      <c r="BY34" s="64" t="n">
        <v>39</v>
      </c>
      <c r="BZ34" s="64">
        <f>Retailers_Cap!N35</f>
        <v/>
      </c>
      <c r="CA34" s="64">
        <f>Retailers_Cap!O35</f>
        <v/>
      </c>
      <c r="CB34" s="64">
        <f>Retailers_Cap!P35</f>
        <v/>
      </c>
      <c r="CD34" s="64" t="n">
        <v>39</v>
      </c>
      <c r="CE34" s="64">
        <f>IF((BT34-BZ34)&gt;=0,"Dem","Folga")</f>
        <v/>
      </c>
      <c r="CF34" s="64">
        <f>IF((BU34-CA34)&gt;=0,"Dem","Folga")</f>
        <v/>
      </c>
      <c r="CG34" s="64">
        <f>IF((BV34-CB34)&gt;=0,"Dem","Folga")</f>
        <v/>
      </c>
    </row>
    <row r="35">
      <c r="M35" s="64">
        <f>TRUNC((_xlfn.NORM.INV((RAND()),$L$6,$L$7)),2)</f>
        <v/>
      </c>
      <c r="O35" s="64" t="n">
        <v>40</v>
      </c>
      <c r="P35" s="5" t="n">
        <v>195.27</v>
      </c>
      <c r="Q35" s="5" t="n">
        <v>219.8</v>
      </c>
      <c r="R35" s="5" t="n">
        <v>180.71</v>
      </c>
      <c r="W35" s="64">
        <f>TRUNC((_xlfn.NORM.INV((RAND()),$V$6,$V$7)),3)</f>
        <v/>
      </c>
      <c r="Y35" s="64" t="n">
        <v>40</v>
      </c>
      <c r="Z35" s="5" t="n">
        <v>6.884</v>
      </c>
      <c r="AA35" s="5" t="n">
        <v>6.74</v>
      </c>
      <c r="AB35" s="5" t="n">
        <v>6.9</v>
      </c>
      <c r="AG35" s="64">
        <f>TRUNC((_xlfn.NORM.INV((RAND()),$AF$6,$AF$7)),3)</f>
        <v/>
      </c>
      <c r="AI35" s="64" t="n">
        <v>40</v>
      </c>
      <c r="AJ35" s="5" t="n">
        <v>94.301</v>
      </c>
      <c r="AK35" s="5" t="n">
        <v>43.167</v>
      </c>
      <c r="AL35" s="5" t="n">
        <v>71.48</v>
      </c>
      <c r="AR35" s="64" t="n">
        <v>40</v>
      </c>
      <c r="AS35" s="5" t="n">
        <v>0</v>
      </c>
      <c r="AT35" s="5" t="n">
        <v>0</v>
      </c>
      <c r="AU35" s="5" t="n">
        <v>0</v>
      </c>
      <c r="AW35" s="64">
        <f>Z35/Demand!AU53</f>
        <v/>
      </c>
      <c r="AX35" s="64">
        <f>AA35/Demand!AV53</f>
        <v/>
      </c>
      <c r="AY35" s="64">
        <f>AB35/Demand!AW53</f>
        <v/>
      </c>
      <c r="BG35" s="64" t="n">
        <v>40</v>
      </c>
      <c r="BH35" s="64">
        <f>Results!$B$19+AJ35-Results!$D$21</f>
        <v/>
      </c>
      <c r="BI35" s="64">
        <f>Results!$B$19+AK35-Results!$D$21</f>
        <v/>
      </c>
      <c r="BJ35" s="64">
        <f>Results!$B$19+AL35-Results!$D$21</f>
        <v/>
      </c>
      <c r="BM35" s="64" t="n">
        <v>40</v>
      </c>
      <c r="BN35" s="64">
        <f>Results!D50</f>
        <v/>
      </c>
      <c r="BO35" s="64">
        <f>Results!E50</f>
        <v/>
      </c>
      <c r="BP35" s="64">
        <f>Results!F50</f>
        <v/>
      </c>
      <c r="BS35" s="64" t="n">
        <v>40</v>
      </c>
      <c r="BT35" s="64">
        <f>Demand!AU53</f>
        <v/>
      </c>
      <c r="BU35" s="64">
        <f>Demand!AV53</f>
        <v/>
      </c>
      <c r="BV35" s="64">
        <f>Demand!AW53</f>
        <v/>
      </c>
      <c r="BY35" s="64" t="n">
        <v>40</v>
      </c>
      <c r="BZ35" s="64">
        <f>Retailers_Cap!N36</f>
        <v/>
      </c>
      <c r="CA35" s="64">
        <f>Retailers_Cap!O36</f>
        <v/>
      </c>
      <c r="CB35" s="64">
        <f>Retailers_Cap!P36</f>
        <v/>
      </c>
      <c r="CD35" s="64" t="n">
        <v>40</v>
      </c>
      <c r="CE35" s="64">
        <f>IF((BT35-BZ35)&gt;=0,"Dem","Folga")</f>
        <v/>
      </c>
      <c r="CF35" s="64">
        <f>IF((BU35-CA35)&gt;=0,"Dem","Folga")</f>
        <v/>
      </c>
      <c r="CG35" s="64">
        <f>IF((BV35-CB35)&gt;=0,"Dem","Folga")</f>
        <v/>
      </c>
    </row>
    <row r="36">
      <c r="M36" s="64">
        <f>TRUNC((_xlfn.NORM.INV((RAND()),$L$6,$L$7)),2)</f>
        <v/>
      </c>
      <c r="O36" s="64" t="n">
        <v>41</v>
      </c>
      <c r="P36" s="5" t="n">
        <v>189.4</v>
      </c>
      <c r="Q36" s="5" t="n">
        <v>272.65</v>
      </c>
      <c r="R36" s="5" t="n">
        <v>251.76</v>
      </c>
      <c r="W36" s="64">
        <f>TRUNC((_xlfn.NORM.INV((RAND()),$V$6,$V$7)),3)</f>
        <v/>
      </c>
      <c r="Y36" s="64" t="n">
        <v>41</v>
      </c>
      <c r="Z36" s="5" t="n">
        <v>6.679</v>
      </c>
      <c r="AA36" s="5" t="n">
        <v>6.781</v>
      </c>
      <c r="AB36" s="5" t="n">
        <v>6.721</v>
      </c>
      <c r="AG36" s="64">
        <f>TRUNC((_xlfn.NORM.INV((RAND()),$AF$6,$AF$7)),3)</f>
        <v/>
      </c>
      <c r="AI36" s="64" t="n">
        <v>41</v>
      </c>
      <c r="AJ36" s="5" t="n">
        <v>77.779</v>
      </c>
      <c r="AK36" s="5" t="n">
        <v>55.93</v>
      </c>
      <c r="AL36" s="5" t="n">
        <v>54.943</v>
      </c>
      <c r="AR36" s="64" t="n">
        <v>41</v>
      </c>
      <c r="AS36" s="5" t="n">
        <v>0</v>
      </c>
      <c r="AT36" s="5" t="n">
        <v>8.584341298205384</v>
      </c>
      <c r="AU36" s="5" t="n">
        <v>0</v>
      </c>
      <c r="AW36" s="64">
        <f>Z36/Demand!AU54</f>
        <v/>
      </c>
      <c r="AX36" s="64">
        <f>AA36/Demand!AV54</f>
        <v/>
      </c>
      <c r="AY36" s="64">
        <f>AB36/Demand!AW54</f>
        <v/>
      </c>
      <c r="BG36" s="64" t="n">
        <v>41</v>
      </c>
      <c r="BH36" s="64">
        <f>Results!$B$19+AJ36-Results!$D$21</f>
        <v/>
      </c>
      <c r="BI36" s="64">
        <f>Results!$B$19+AK36-Results!$D$21</f>
        <v/>
      </c>
      <c r="BJ36" s="64">
        <f>Results!$B$19+AL36-Results!$D$21</f>
        <v/>
      </c>
      <c r="BM36" s="64" t="n">
        <v>41</v>
      </c>
      <c r="BN36" s="64">
        <f>Results!D51</f>
        <v/>
      </c>
      <c r="BO36" s="64">
        <f>Results!E51</f>
        <v/>
      </c>
      <c r="BP36" s="64">
        <f>Results!F51</f>
        <v/>
      </c>
      <c r="BS36" s="64" t="n">
        <v>41</v>
      </c>
      <c r="BT36" s="64">
        <f>Demand!AU54</f>
        <v/>
      </c>
      <c r="BU36" s="64">
        <f>Demand!AV54</f>
        <v/>
      </c>
      <c r="BV36" s="64">
        <f>Demand!AW54</f>
        <v/>
      </c>
      <c r="BY36" s="64" t="n">
        <v>41</v>
      </c>
      <c r="BZ36" s="64">
        <f>Retailers_Cap!N37</f>
        <v/>
      </c>
      <c r="CA36" s="64">
        <f>Retailers_Cap!O37</f>
        <v/>
      </c>
      <c r="CB36" s="64">
        <f>Retailers_Cap!P37</f>
        <v/>
      </c>
      <c r="CD36" s="64" t="n">
        <v>41</v>
      </c>
      <c r="CE36" s="64">
        <f>IF((BT36-BZ36)&gt;=0,"Dem","Folga")</f>
        <v/>
      </c>
      <c r="CF36" s="64">
        <f>IF((BU36-CA36)&gt;=0,"Dem","Folga")</f>
        <v/>
      </c>
      <c r="CG36" s="64">
        <f>IF((BV36-CB36)&gt;=0,"Dem","Folga")</f>
        <v/>
      </c>
    </row>
    <row r="37">
      <c r="M37" s="64">
        <f>TRUNC((_xlfn.NORM.INV((RAND()),$L$6,$L$7)),2)</f>
        <v/>
      </c>
      <c r="O37" s="64" t="n">
        <v>42</v>
      </c>
      <c r="P37" s="5" t="n">
        <v>194.05</v>
      </c>
      <c r="Q37" s="5" t="n">
        <v>224.24</v>
      </c>
      <c r="R37" s="5" t="n">
        <v>157.58</v>
      </c>
      <c r="W37" s="64">
        <f>TRUNC((_xlfn.NORM.INV((RAND()),$V$6,$V$7)),3)</f>
        <v/>
      </c>
      <c r="Y37" s="64" t="n">
        <v>42</v>
      </c>
      <c r="Z37" s="5" t="n">
        <v>6.831</v>
      </c>
      <c r="AA37" s="5" t="n">
        <v>6.827</v>
      </c>
      <c r="AB37" s="5" t="n">
        <v>6.774</v>
      </c>
      <c r="AG37" s="64">
        <f>TRUNC((_xlfn.NORM.INV((RAND()),$AF$6,$AF$7)),3)</f>
        <v/>
      </c>
      <c r="AI37" s="64" t="n">
        <v>42</v>
      </c>
      <c r="AJ37" s="5" t="n">
        <v>63.59</v>
      </c>
      <c r="AK37" s="5" t="n">
        <v>78.036</v>
      </c>
      <c r="AL37" s="5" t="n">
        <v>38.118</v>
      </c>
      <c r="AR37" s="64" t="n">
        <v>42</v>
      </c>
      <c r="AS37" s="5" t="n">
        <v>0</v>
      </c>
      <c r="AT37" s="5" t="n">
        <v>0</v>
      </c>
      <c r="AU37" s="5" t="n">
        <v>0</v>
      </c>
      <c r="AW37" s="64">
        <f>Z37/Demand!AU55</f>
        <v/>
      </c>
      <c r="AX37" s="64">
        <f>AA37/Demand!AV55</f>
        <v/>
      </c>
      <c r="AY37" s="64">
        <f>AB37/Demand!AW55</f>
        <v/>
      </c>
      <c r="BG37" s="64" t="n">
        <v>42</v>
      </c>
      <c r="BH37" s="64">
        <f>Results!$B$19+AJ37-Results!$D$21</f>
        <v/>
      </c>
      <c r="BI37" s="64">
        <f>Results!$B$19+AK37-Results!$D$21</f>
        <v/>
      </c>
      <c r="BJ37" s="64">
        <f>Results!$B$19+AL37-Results!$D$21</f>
        <v/>
      </c>
      <c r="BM37" s="64" t="n">
        <v>42</v>
      </c>
      <c r="BN37" s="64">
        <f>Results!D52</f>
        <v/>
      </c>
      <c r="BO37" s="64">
        <f>Results!E52</f>
        <v/>
      </c>
      <c r="BP37" s="64">
        <f>Results!F52</f>
        <v/>
      </c>
      <c r="BS37" s="64" t="n">
        <v>42</v>
      </c>
      <c r="BT37" s="64">
        <f>Demand!AU55</f>
        <v/>
      </c>
      <c r="BU37" s="64">
        <f>Demand!AV55</f>
        <v/>
      </c>
      <c r="BV37" s="64">
        <f>Demand!AW55</f>
        <v/>
      </c>
      <c r="BY37" s="64" t="n">
        <v>42</v>
      </c>
      <c r="BZ37" s="64">
        <f>Retailers_Cap!N38</f>
        <v/>
      </c>
      <c r="CA37" s="64">
        <f>Retailers_Cap!O38</f>
        <v/>
      </c>
      <c r="CB37" s="64">
        <f>Retailers_Cap!P38</f>
        <v/>
      </c>
      <c r="CD37" s="64" t="n">
        <v>42</v>
      </c>
      <c r="CE37" s="64">
        <f>IF((BT37-BZ37)&gt;=0,"Dem","Folga")</f>
        <v/>
      </c>
      <c r="CF37" s="64">
        <f>IF((BU37-CA37)&gt;=0,"Dem","Folga")</f>
        <v/>
      </c>
      <c r="CG37" s="64">
        <f>IF((BV37-CB37)&gt;=0,"Dem","Folga")</f>
        <v/>
      </c>
    </row>
    <row r="38">
      <c r="M38" s="64">
        <f>TRUNC((_xlfn.NORM.INV((RAND()),$L$6,$L$7)),2)</f>
        <v/>
      </c>
      <c r="O38" s="64" t="n">
        <v>43</v>
      </c>
      <c r="P38" s="5" t="n">
        <v>247.86</v>
      </c>
      <c r="Q38" s="5" t="n">
        <v>248.48</v>
      </c>
      <c r="R38" s="5" t="n">
        <v>185.62</v>
      </c>
      <c r="W38" s="64">
        <f>TRUNC((_xlfn.NORM.INV((RAND()),$V$6,$V$7)),3)</f>
        <v/>
      </c>
      <c r="Y38" s="64" t="n">
        <v>43</v>
      </c>
      <c r="Z38" s="5" t="n">
        <v>6.676</v>
      </c>
      <c r="AA38" s="5" t="n">
        <v>6.747</v>
      </c>
      <c r="AB38" s="5" t="n">
        <v>6.739</v>
      </c>
      <c r="AG38" s="64">
        <f>TRUNC((_xlfn.NORM.INV((RAND()),$AF$6,$AF$7)),3)</f>
        <v/>
      </c>
      <c r="AI38" s="64" t="n">
        <v>43</v>
      </c>
      <c r="AJ38" s="5" t="n">
        <v>47.243</v>
      </c>
      <c r="AK38" s="5" t="n">
        <v>44.416</v>
      </c>
      <c r="AL38" s="5" t="n">
        <v>71.06699999999999</v>
      </c>
      <c r="AR38" s="64" t="n">
        <v>43</v>
      </c>
      <c r="AS38" s="5" t="n">
        <v>16.86229855405494</v>
      </c>
      <c r="AT38" s="5" t="n">
        <v>18.57635440858925</v>
      </c>
      <c r="AU38" s="5" t="n">
        <v>9.689741326538645</v>
      </c>
      <c r="AW38" s="64">
        <f>Z38/Demand!AU56</f>
        <v/>
      </c>
      <c r="AX38" s="64">
        <f>AA38/Demand!AV56</f>
        <v/>
      </c>
      <c r="AY38" s="64">
        <f>AB38/Demand!AW56</f>
        <v/>
      </c>
      <c r="BG38" s="64" t="n">
        <v>43</v>
      </c>
      <c r="BH38" s="64">
        <f>Results!$B$19+AJ38-Results!$D$21</f>
        <v/>
      </c>
      <c r="BI38" s="64">
        <f>Results!$B$19+AK38-Results!$D$21</f>
        <v/>
      </c>
      <c r="BJ38" s="64">
        <f>Results!$B$19+AL38-Results!$D$21</f>
        <v/>
      </c>
      <c r="BM38" s="64" t="n">
        <v>43</v>
      </c>
      <c r="BN38" s="64">
        <f>Results!D53</f>
        <v/>
      </c>
      <c r="BO38" s="64">
        <f>Results!E53</f>
        <v/>
      </c>
      <c r="BP38" s="64">
        <f>Results!F53</f>
        <v/>
      </c>
      <c r="BS38" s="64" t="n">
        <v>43</v>
      </c>
      <c r="BT38" s="64">
        <f>Demand!AU56</f>
        <v/>
      </c>
      <c r="BU38" s="64">
        <f>Demand!AV56</f>
        <v/>
      </c>
      <c r="BV38" s="64">
        <f>Demand!AW56</f>
        <v/>
      </c>
      <c r="BY38" s="64" t="n">
        <v>43</v>
      </c>
      <c r="BZ38" s="64">
        <f>Retailers_Cap!N39</f>
        <v/>
      </c>
      <c r="CA38" s="64">
        <f>Retailers_Cap!O39</f>
        <v/>
      </c>
      <c r="CB38" s="64">
        <f>Retailers_Cap!P39</f>
        <v/>
      </c>
      <c r="CD38" s="64" t="n">
        <v>43</v>
      </c>
      <c r="CE38" s="64">
        <f>IF((BT38-BZ38)&gt;=0,"Dem","Folga")</f>
        <v/>
      </c>
      <c r="CF38" s="64">
        <f>IF((BU38-CA38)&gt;=0,"Dem","Folga")</f>
        <v/>
      </c>
      <c r="CG38" s="64">
        <f>IF((BV38-CB38)&gt;=0,"Dem","Folga")</f>
        <v/>
      </c>
    </row>
    <row r="39">
      <c r="M39" s="64">
        <f>TRUNC((_xlfn.NORM.INV((RAND()),$L$6,$L$7)),2)</f>
        <v/>
      </c>
      <c r="O39" s="64" t="n">
        <v>44</v>
      </c>
      <c r="P39" s="5" t="n">
        <v>161.8</v>
      </c>
      <c r="Q39" s="5" t="n">
        <v>225.17</v>
      </c>
      <c r="R39" s="5" t="n">
        <v>233.77</v>
      </c>
      <c r="W39" s="64">
        <f>TRUNC((_xlfn.NORM.INV((RAND()),$V$6,$V$7)),3)</f>
        <v/>
      </c>
      <c r="Y39" s="64" t="n">
        <v>44</v>
      </c>
      <c r="Z39" s="5" t="n">
        <v>6.686</v>
      </c>
      <c r="AA39" s="5" t="n">
        <v>6.703</v>
      </c>
      <c r="AB39" s="5" t="n">
        <v>6.811</v>
      </c>
      <c r="AG39" s="64">
        <f>TRUNC((_xlfn.NORM.INV((RAND()),$AF$6,$AF$7)),3)</f>
        <v/>
      </c>
      <c r="AI39" s="64" t="n">
        <v>44</v>
      </c>
      <c r="AJ39" s="5" t="n">
        <v>68.708</v>
      </c>
      <c r="AK39" s="5" t="n">
        <v>81.249</v>
      </c>
      <c r="AL39" s="5" t="n">
        <v>71.997</v>
      </c>
      <c r="AR39" s="64" t="n">
        <v>44</v>
      </c>
      <c r="AS39" s="5" t="n">
        <v>0</v>
      </c>
      <c r="AT39" s="5" t="n">
        <v>0</v>
      </c>
      <c r="AU39" s="5" t="n">
        <v>2.85371997064442</v>
      </c>
      <c r="AW39" s="64">
        <f>Z39/Demand!AU57</f>
        <v/>
      </c>
      <c r="AX39" s="64">
        <f>AA39/Demand!AV57</f>
        <v/>
      </c>
      <c r="AY39" s="64">
        <f>AB39/Demand!AW57</f>
        <v/>
      </c>
      <c r="BG39" s="64" t="n">
        <v>44</v>
      </c>
      <c r="BH39" s="64">
        <f>Results!$B$19+AJ39-Results!$D$21</f>
        <v/>
      </c>
      <c r="BI39" s="64">
        <f>Results!$B$19+AK39-Results!$D$21</f>
        <v/>
      </c>
      <c r="BJ39" s="64">
        <f>Results!$B$19+AL39-Results!$D$21</f>
        <v/>
      </c>
      <c r="BM39" s="64" t="n">
        <v>44</v>
      </c>
      <c r="BN39" s="64">
        <f>Results!D54</f>
        <v/>
      </c>
      <c r="BO39" s="64">
        <f>Results!E54</f>
        <v/>
      </c>
      <c r="BP39" s="64">
        <f>Results!F54</f>
        <v/>
      </c>
      <c r="BS39" s="64" t="n">
        <v>44</v>
      </c>
      <c r="BT39" s="64">
        <f>Demand!AU57</f>
        <v/>
      </c>
      <c r="BU39" s="64">
        <f>Demand!AV57</f>
        <v/>
      </c>
      <c r="BV39" s="64">
        <f>Demand!AW57</f>
        <v/>
      </c>
      <c r="BY39" s="64" t="n">
        <v>44</v>
      </c>
      <c r="BZ39" s="64">
        <f>Retailers_Cap!N40</f>
        <v/>
      </c>
      <c r="CA39" s="64">
        <f>Retailers_Cap!O40</f>
        <v/>
      </c>
      <c r="CB39" s="64">
        <f>Retailers_Cap!P40</f>
        <v/>
      </c>
      <c r="CD39" s="64" t="n">
        <v>44</v>
      </c>
      <c r="CE39" s="64">
        <f>IF((BT39-BZ39)&gt;=0,"Dem","Folga")</f>
        <v/>
      </c>
      <c r="CF39" s="64">
        <f>IF((BU39-CA39)&gt;=0,"Dem","Folga")</f>
        <v/>
      </c>
      <c r="CG39" s="64">
        <f>IF((BV39-CB39)&gt;=0,"Dem","Folga")</f>
        <v/>
      </c>
    </row>
    <row r="40">
      <c r="M40" s="64">
        <f>TRUNC((_xlfn.NORM.INV((RAND()),$L$6,$L$7)),2)</f>
        <v/>
      </c>
      <c r="O40" s="64" t="n">
        <v>45</v>
      </c>
      <c r="P40" s="5" t="n">
        <v>207.94</v>
      </c>
      <c r="Q40" s="5" t="n">
        <v>177.49</v>
      </c>
      <c r="R40" s="5" t="n">
        <v>180.9</v>
      </c>
      <c r="W40" s="64">
        <f>TRUNC((_xlfn.NORM.INV((RAND()),$V$6,$V$7)),3)</f>
        <v/>
      </c>
      <c r="Y40" s="64" t="n">
        <v>45</v>
      </c>
      <c r="Z40" s="5" t="n">
        <v>6.727</v>
      </c>
      <c r="AA40" s="5" t="n">
        <v>6.679</v>
      </c>
      <c r="AB40" s="5" t="n">
        <v>6.66</v>
      </c>
      <c r="AG40" s="64">
        <f>TRUNC((_xlfn.NORM.INV((RAND()),$AF$6,$AF$7)),3)</f>
        <v/>
      </c>
      <c r="AI40" s="64" t="n">
        <v>45</v>
      </c>
      <c r="AJ40" s="5" t="n">
        <v>80.925</v>
      </c>
      <c r="AK40" s="5" t="n">
        <v>54.896</v>
      </c>
      <c r="AL40" s="5" t="n">
        <v>64.851</v>
      </c>
      <c r="AR40" s="64" t="n">
        <v>45</v>
      </c>
      <c r="AS40" s="5" t="n">
        <v>0</v>
      </c>
      <c r="AT40" s="5" t="n">
        <v>0</v>
      </c>
      <c r="AU40" s="5" t="n">
        <v>7.001607535858487</v>
      </c>
      <c r="AW40" s="64">
        <f>Z40/Demand!AU58</f>
        <v/>
      </c>
      <c r="AX40" s="64">
        <f>AA40/Demand!AV58</f>
        <v/>
      </c>
      <c r="AY40" s="64">
        <f>AB40/Demand!AW58</f>
        <v/>
      </c>
      <c r="BG40" s="64" t="n">
        <v>45</v>
      </c>
      <c r="BH40" s="64">
        <f>Results!$B$19+AJ40-Results!$D$21</f>
        <v/>
      </c>
      <c r="BI40" s="64">
        <f>Results!$B$19+AK40-Results!$D$21</f>
        <v/>
      </c>
      <c r="BJ40" s="64">
        <f>Results!$B$19+AL40-Results!$D$21</f>
        <v/>
      </c>
      <c r="BM40" s="64" t="n">
        <v>45</v>
      </c>
      <c r="BN40" s="64">
        <f>Results!D55</f>
        <v/>
      </c>
      <c r="BO40" s="64">
        <f>Results!E55</f>
        <v/>
      </c>
      <c r="BP40" s="64">
        <f>Results!F55</f>
        <v/>
      </c>
      <c r="BS40" s="64" t="n">
        <v>45</v>
      </c>
      <c r="BT40" s="64">
        <f>Demand!AU58</f>
        <v/>
      </c>
      <c r="BU40" s="64">
        <f>Demand!AV58</f>
        <v/>
      </c>
      <c r="BV40" s="64">
        <f>Demand!AW58</f>
        <v/>
      </c>
      <c r="BY40" s="64" t="n">
        <v>45</v>
      </c>
      <c r="BZ40" s="64">
        <f>Retailers_Cap!N41</f>
        <v/>
      </c>
      <c r="CA40" s="64">
        <f>Retailers_Cap!O41</f>
        <v/>
      </c>
      <c r="CB40" s="64">
        <f>Retailers_Cap!P41</f>
        <v/>
      </c>
      <c r="CD40" s="64" t="n">
        <v>45</v>
      </c>
      <c r="CE40" s="64">
        <f>IF((BT40-BZ40)&gt;=0,"Dem","Folga")</f>
        <v/>
      </c>
      <c r="CF40" s="64">
        <f>IF((BU40-CA40)&gt;=0,"Dem","Folga")</f>
        <v/>
      </c>
      <c r="CG40" s="64">
        <f>IF((BV40-CB40)&gt;=0,"Dem","Folga")</f>
        <v/>
      </c>
    </row>
    <row r="41">
      <c r="M41" s="64">
        <f>TRUNC((_xlfn.NORM.INV((RAND()),$L$6,$L$7)),2)</f>
        <v/>
      </c>
      <c r="O41" s="64" t="n">
        <v>46</v>
      </c>
      <c r="P41" s="5" t="n">
        <v>213.53</v>
      </c>
      <c r="Q41" s="5" t="n">
        <v>158.86</v>
      </c>
      <c r="R41" s="5" t="n">
        <v>199.97</v>
      </c>
      <c r="W41" s="64">
        <f>TRUNC((_xlfn.NORM.INV((RAND()),$V$6,$V$7)),3)</f>
        <v/>
      </c>
      <c r="Y41" s="64" t="n">
        <v>46</v>
      </c>
      <c r="Z41" s="5" t="n">
        <v>6.677</v>
      </c>
      <c r="AA41" s="5" t="n">
        <v>6.744</v>
      </c>
      <c r="AB41" s="5" t="n">
        <v>6.708</v>
      </c>
      <c r="AG41" s="64">
        <f>TRUNC((_xlfn.NORM.INV((RAND()),$AF$6,$AF$7)),3)</f>
        <v/>
      </c>
      <c r="AI41" s="64" t="n">
        <v>46</v>
      </c>
      <c r="AJ41" s="5" t="n">
        <v>47.123</v>
      </c>
      <c r="AK41" s="5" t="n">
        <v>62.216</v>
      </c>
      <c r="AL41" s="5" t="n">
        <v>85.279</v>
      </c>
      <c r="AR41" s="64" t="n">
        <v>46</v>
      </c>
      <c r="AS41" s="5" t="n">
        <v>0</v>
      </c>
      <c r="AT41" s="5" t="n">
        <v>16.81284998489906</v>
      </c>
      <c r="AU41" s="5" t="n">
        <v>21.45656202300282</v>
      </c>
      <c r="AW41" s="64">
        <f>Z41/Demand!AU59</f>
        <v/>
      </c>
      <c r="AX41" s="64">
        <f>AA41/Demand!AV59</f>
        <v/>
      </c>
      <c r="AY41" s="64">
        <f>AB41/Demand!AW59</f>
        <v/>
      </c>
      <c r="BG41" s="64" t="n">
        <v>46</v>
      </c>
      <c r="BH41" s="64">
        <f>Results!$B$19+AJ41-Results!$D$21</f>
        <v/>
      </c>
      <c r="BI41" s="64">
        <f>Results!$B$19+AK41-Results!$D$21</f>
        <v/>
      </c>
      <c r="BJ41" s="64">
        <f>Results!$B$19+AL41-Results!$D$21</f>
        <v/>
      </c>
      <c r="BM41" s="64" t="n">
        <v>46</v>
      </c>
      <c r="BN41" s="64">
        <f>Results!D56</f>
        <v/>
      </c>
      <c r="BO41" s="64">
        <f>Results!E56</f>
        <v/>
      </c>
      <c r="BP41" s="64">
        <f>Results!F56</f>
        <v/>
      </c>
      <c r="BS41" s="64" t="n">
        <v>46</v>
      </c>
      <c r="BT41" s="64">
        <f>Demand!AU59</f>
        <v/>
      </c>
      <c r="BU41" s="64">
        <f>Demand!AV59</f>
        <v/>
      </c>
      <c r="BV41" s="64">
        <f>Demand!AW59</f>
        <v/>
      </c>
      <c r="BY41" s="64" t="n">
        <v>46</v>
      </c>
      <c r="BZ41" s="64">
        <f>Retailers_Cap!N42</f>
        <v/>
      </c>
      <c r="CA41" s="64">
        <f>Retailers_Cap!O42</f>
        <v/>
      </c>
      <c r="CB41" s="64">
        <f>Retailers_Cap!P42</f>
        <v/>
      </c>
      <c r="CD41" s="64" t="n">
        <v>46</v>
      </c>
      <c r="CE41" s="64">
        <f>IF((BT41-BZ41)&gt;=0,"Dem","Folga")</f>
        <v/>
      </c>
      <c r="CF41" s="64">
        <f>IF((BU41-CA41)&gt;=0,"Dem","Folga")</f>
        <v/>
      </c>
      <c r="CG41" s="64">
        <f>IF((BV41-CB41)&gt;=0,"Dem","Folga")</f>
        <v/>
      </c>
    </row>
    <row r="42">
      <c r="M42" s="64">
        <f>TRUNC((_xlfn.NORM.INV((RAND()),$L$6,$L$7)),2)</f>
        <v/>
      </c>
      <c r="O42" s="64" t="n">
        <v>47</v>
      </c>
      <c r="P42" s="5" t="n">
        <v>127.37</v>
      </c>
      <c r="Q42" s="5" t="n">
        <v>233.08</v>
      </c>
      <c r="R42" s="5" t="n">
        <v>228.92</v>
      </c>
      <c r="W42" s="64">
        <f>TRUNC((_xlfn.NORM.INV((RAND()),$V$6,$V$7)),3)</f>
        <v/>
      </c>
      <c r="Y42" s="64" t="n">
        <v>47</v>
      </c>
      <c r="Z42" s="5" t="n">
        <v>6.809</v>
      </c>
      <c r="AA42" s="5" t="n">
        <v>6.789</v>
      </c>
      <c r="AB42" s="5" t="n">
        <v>6.811</v>
      </c>
      <c r="AG42" s="64">
        <f>TRUNC((_xlfn.NORM.INV((RAND()),$AF$6,$AF$7)),3)</f>
        <v/>
      </c>
      <c r="AI42" s="64" t="n">
        <v>47</v>
      </c>
      <c r="AJ42" s="5" t="n">
        <v>63.343</v>
      </c>
      <c r="AK42" s="5" t="n">
        <v>64.31</v>
      </c>
      <c r="AL42" s="5" t="n">
        <v>65.268</v>
      </c>
      <c r="AR42" s="64" t="n">
        <v>47</v>
      </c>
      <c r="AS42" s="5" t="n">
        <v>10.46128014483272</v>
      </c>
      <c r="AT42" s="5" t="n">
        <v>7.172268586159964</v>
      </c>
      <c r="AU42" s="5" t="n">
        <v>0</v>
      </c>
      <c r="AW42" s="64">
        <f>Z42/Demand!AU60</f>
        <v/>
      </c>
      <c r="AX42" s="64">
        <f>AA42/Demand!AV60</f>
        <v/>
      </c>
      <c r="AY42" s="64">
        <f>AB42/Demand!AW60</f>
        <v/>
      </c>
      <c r="BG42" s="64" t="n">
        <v>47</v>
      </c>
      <c r="BH42" s="64">
        <f>Results!$B$19+AJ42-Results!$D$21</f>
        <v/>
      </c>
      <c r="BI42" s="64">
        <f>Results!$B$19+AK42-Results!$D$21</f>
        <v/>
      </c>
      <c r="BJ42" s="64">
        <f>Results!$B$19+AL42-Results!$D$21</f>
        <v/>
      </c>
      <c r="BM42" s="64" t="n">
        <v>47</v>
      </c>
      <c r="BN42" s="64">
        <f>Results!D57</f>
        <v/>
      </c>
      <c r="BO42" s="64">
        <f>Results!E57</f>
        <v/>
      </c>
      <c r="BP42" s="64">
        <f>Results!F57</f>
        <v/>
      </c>
      <c r="BS42" s="64" t="n">
        <v>47</v>
      </c>
      <c r="BT42" s="64">
        <f>Demand!AU60</f>
        <v/>
      </c>
      <c r="BU42" s="64">
        <f>Demand!AV60</f>
        <v/>
      </c>
      <c r="BV42" s="64">
        <f>Demand!AW60</f>
        <v/>
      </c>
      <c r="BY42" s="64" t="n">
        <v>47</v>
      </c>
      <c r="BZ42" s="64">
        <f>Retailers_Cap!N43</f>
        <v/>
      </c>
      <c r="CA42" s="64">
        <f>Retailers_Cap!O43</f>
        <v/>
      </c>
      <c r="CB42" s="64">
        <f>Retailers_Cap!P43</f>
        <v/>
      </c>
      <c r="CD42" s="64" t="n">
        <v>47</v>
      </c>
      <c r="CE42" s="64">
        <f>IF((BT42-BZ42)&gt;=0,"Dem","Folga")</f>
        <v/>
      </c>
      <c r="CF42" s="64">
        <f>IF((BU42-CA42)&gt;=0,"Dem","Folga")</f>
        <v/>
      </c>
      <c r="CG42" s="64">
        <f>IF((BV42-CB42)&gt;=0,"Dem","Folga")</f>
        <v/>
      </c>
    </row>
    <row r="43">
      <c r="M43" s="64">
        <f>TRUNC((_xlfn.NORM.INV((RAND()),$L$6,$L$7)),2)</f>
        <v/>
      </c>
      <c r="O43" s="64" t="n">
        <v>48</v>
      </c>
      <c r="P43" s="5" t="n">
        <v>159.71</v>
      </c>
      <c r="Q43" s="5" t="n">
        <v>198.57</v>
      </c>
      <c r="R43" s="5" t="n">
        <v>231.52</v>
      </c>
      <c r="W43" s="64">
        <f>TRUNC((_xlfn.NORM.INV((RAND()),$V$6,$V$7)),3)</f>
        <v/>
      </c>
      <c r="Y43" s="64" t="n">
        <v>48</v>
      </c>
      <c r="Z43" s="5" t="n">
        <v>6.736</v>
      </c>
      <c r="AA43" s="5" t="n">
        <v>6.768</v>
      </c>
      <c r="AB43" s="5" t="n">
        <v>6.672</v>
      </c>
      <c r="AG43" s="64">
        <f>TRUNC((_xlfn.NORM.INV((RAND()),$AF$6,$AF$7)),3)</f>
        <v/>
      </c>
      <c r="AI43" s="64" t="n">
        <v>48</v>
      </c>
      <c r="AJ43" s="5" t="n">
        <v>67.218</v>
      </c>
      <c r="AK43" s="5" t="n">
        <v>52.683</v>
      </c>
      <c r="AL43" s="5" t="n">
        <v>60.908</v>
      </c>
      <c r="AR43" s="64" t="n">
        <v>48</v>
      </c>
      <c r="AS43" s="5" t="n">
        <v>2.204918478739804</v>
      </c>
      <c r="AT43" s="5" t="n">
        <v>5.57950456163671</v>
      </c>
      <c r="AU43" s="5" t="n">
        <v>0</v>
      </c>
      <c r="AW43" s="64">
        <f>Z43/Demand!AU61</f>
        <v/>
      </c>
      <c r="AX43" s="64">
        <f>AA43/Demand!AV61</f>
        <v/>
      </c>
      <c r="AY43" s="64">
        <f>AB43/Demand!AW61</f>
        <v/>
      </c>
      <c r="BG43" s="64" t="n">
        <v>48</v>
      </c>
      <c r="BH43" s="64">
        <f>Results!$B$19+AJ43-Results!$D$21</f>
        <v/>
      </c>
      <c r="BI43" s="64">
        <f>Results!$B$19+AK43-Results!$D$21</f>
        <v/>
      </c>
      <c r="BJ43" s="64">
        <f>Results!$B$19+AL43-Results!$D$21</f>
        <v/>
      </c>
      <c r="BM43" s="64" t="n">
        <v>48</v>
      </c>
      <c r="BN43" s="64">
        <f>Results!D58</f>
        <v/>
      </c>
      <c r="BO43" s="64">
        <f>Results!E58</f>
        <v/>
      </c>
      <c r="BP43" s="64">
        <f>Results!F58</f>
        <v/>
      </c>
      <c r="BS43" s="64" t="n">
        <v>48</v>
      </c>
      <c r="BT43" s="64">
        <f>Demand!AU61</f>
        <v/>
      </c>
      <c r="BU43" s="64">
        <f>Demand!AV61</f>
        <v/>
      </c>
      <c r="BV43" s="64">
        <f>Demand!AW61</f>
        <v/>
      </c>
      <c r="BY43" s="64" t="n">
        <v>48</v>
      </c>
      <c r="BZ43" s="64">
        <f>Retailers_Cap!N44</f>
        <v/>
      </c>
      <c r="CA43" s="64">
        <f>Retailers_Cap!O44</f>
        <v/>
      </c>
      <c r="CB43" s="64">
        <f>Retailers_Cap!P44</f>
        <v/>
      </c>
      <c r="CD43" s="64" t="n">
        <v>48</v>
      </c>
      <c r="CE43" s="64">
        <f>IF((BT43-BZ43)&gt;=0,"Dem","Folga")</f>
        <v/>
      </c>
      <c r="CF43" s="64">
        <f>IF((BU43-CA43)&gt;=0,"Dem","Folga")</f>
        <v/>
      </c>
      <c r="CG43" s="64">
        <f>IF((BV43-CB43)&gt;=0,"Dem","Folga")</f>
        <v/>
      </c>
    </row>
    <row r="44">
      <c r="M44" s="64">
        <f>TRUNC((_xlfn.NORM.INV((RAND()),$L$6,$L$7)),2)</f>
        <v/>
      </c>
      <c r="O44" s="64" t="n">
        <v>49</v>
      </c>
      <c r="P44" s="5" t="n">
        <v>211.04</v>
      </c>
      <c r="Q44" s="5" t="n">
        <v>213.6</v>
      </c>
      <c r="R44" s="5" t="n">
        <v>228.92</v>
      </c>
      <c r="W44" s="64">
        <f>TRUNC((_xlfn.NORM.INV((RAND()),$V$6,$V$7)),3)</f>
        <v/>
      </c>
      <c r="Y44" s="64" t="n">
        <v>49</v>
      </c>
      <c r="Z44" s="5" t="n">
        <v>6.873</v>
      </c>
      <c r="AA44" s="5" t="n">
        <v>6.702</v>
      </c>
      <c r="AB44" s="5" t="n">
        <v>6.764</v>
      </c>
      <c r="AG44" s="64">
        <f>TRUNC((_xlfn.NORM.INV((RAND()),$AF$6,$AF$7)),3)</f>
        <v/>
      </c>
      <c r="AI44" s="64" t="n">
        <v>49</v>
      </c>
      <c r="AJ44" s="5" t="n">
        <v>66.607</v>
      </c>
      <c r="AK44" s="5" t="n">
        <v>71.277</v>
      </c>
      <c r="AL44" s="5" t="n">
        <v>76.54600000000001</v>
      </c>
      <c r="AR44" s="64" t="n">
        <v>49</v>
      </c>
      <c r="AS44" s="5" t="n">
        <v>16.19133036410964</v>
      </c>
      <c r="AT44" s="5" t="n">
        <v>0</v>
      </c>
      <c r="AU44" s="5" t="n">
        <v>9.609718410778617</v>
      </c>
      <c r="AW44" s="64">
        <f>Z44/Demand!AU62</f>
        <v/>
      </c>
      <c r="AX44" s="64">
        <f>AA44/Demand!AV62</f>
        <v/>
      </c>
      <c r="AY44" s="64">
        <f>AB44/Demand!AW62</f>
        <v/>
      </c>
      <c r="BG44" s="64" t="n">
        <v>49</v>
      </c>
      <c r="BH44" s="64">
        <f>Results!$B$19+AJ44-Results!$D$21</f>
        <v/>
      </c>
      <c r="BI44" s="64">
        <f>Results!$B$19+AK44-Results!$D$21</f>
        <v/>
      </c>
      <c r="BJ44" s="64">
        <f>Results!$B$19+AL44-Results!$D$21</f>
        <v/>
      </c>
      <c r="BM44" s="64" t="n">
        <v>49</v>
      </c>
      <c r="BN44" s="64">
        <f>Results!D59</f>
        <v/>
      </c>
      <c r="BO44" s="64">
        <f>Results!E59</f>
        <v/>
      </c>
      <c r="BP44" s="64">
        <f>Results!F59</f>
        <v/>
      </c>
      <c r="BS44" s="64" t="n">
        <v>49</v>
      </c>
      <c r="BT44" s="64">
        <f>Demand!AU62</f>
        <v/>
      </c>
      <c r="BU44" s="64">
        <f>Demand!AV62</f>
        <v/>
      </c>
      <c r="BV44" s="64">
        <f>Demand!AW62</f>
        <v/>
      </c>
      <c r="BY44" s="64" t="n">
        <v>49</v>
      </c>
      <c r="BZ44" s="64">
        <f>Retailers_Cap!N45</f>
        <v/>
      </c>
      <c r="CA44" s="64">
        <f>Retailers_Cap!O45</f>
        <v/>
      </c>
      <c r="CB44" s="64">
        <f>Retailers_Cap!P45</f>
        <v/>
      </c>
      <c r="CD44" s="64" t="n">
        <v>49</v>
      </c>
      <c r="CE44" s="64">
        <f>IF((BT44-BZ44)&gt;=0,"Dem","Folga")</f>
        <v/>
      </c>
      <c r="CF44" s="64">
        <f>IF((BU44-CA44)&gt;=0,"Dem","Folga")</f>
        <v/>
      </c>
      <c r="CG44" s="64">
        <f>IF((BV44-CB44)&gt;=0,"Dem","Folga")</f>
        <v/>
      </c>
    </row>
    <row r="45">
      <c r="M45" s="64">
        <f>TRUNC((_xlfn.NORM.INV((RAND()),$L$6,$L$7)),2)</f>
        <v/>
      </c>
      <c r="O45" s="64" t="n">
        <v>50</v>
      </c>
      <c r="P45" s="5" t="n">
        <v>130.83</v>
      </c>
      <c r="Q45" s="5" t="n">
        <v>216.87</v>
      </c>
      <c r="R45" s="5" t="n">
        <v>207.63</v>
      </c>
      <c r="W45" s="64">
        <f>TRUNC((_xlfn.NORM.INV((RAND()),$V$6,$V$7)),3)</f>
        <v/>
      </c>
      <c r="Y45" s="64" t="n">
        <v>50</v>
      </c>
      <c r="Z45" s="5" t="n">
        <v>6.775</v>
      </c>
      <c r="AA45" s="5" t="n">
        <v>6.706</v>
      </c>
      <c r="AB45" s="5" t="n">
        <v>6.754</v>
      </c>
      <c r="AG45" s="64">
        <f>TRUNC((_xlfn.NORM.INV((RAND()),$AF$6,$AF$7)),3)</f>
        <v/>
      </c>
      <c r="AI45" s="64" t="n">
        <v>50</v>
      </c>
      <c r="AJ45" s="5" t="n">
        <v>58.9</v>
      </c>
      <c r="AK45" s="5" t="n">
        <v>54.101</v>
      </c>
      <c r="AL45" s="5" t="n">
        <v>62.384</v>
      </c>
      <c r="AR45" s="64" t="n">
        <v>50</v>
      </c>
      <c r="AS45" s="5" t="n">
        <v>0</v>
      </c>
      <c r="AT45" s="5" t="n">
        <v>0</v>
      </c>
      <c r="AU45" s="5" t="n">
        <v>20.95504121192554</v>
      </c>
      <c r="AW45" s="64">
        <f>Z45/Demand!AU63</f>
        <v/>
      </c>
      <c r="AX45" s="64">
        <f>AA45/Demand!AV63</f>
        <v/>
      </c>
      <c r="AY45" s="64">
        <f>AB45/Demand!AW63</f>
        <v/>
      </c>
      <c r="BG45" s="64" t="n">
        <v>50</v>
      </c>
      <c r="BH45" s="64">
        <f>Results!$B$19+AJ45-Results!$D$21</f>
        <v/>
      </c>
      <c r="BI45" s="64">
        <f>Results!$B$19+AK45-Results!$D$21</f>
        <v/>
      </c>
      <c r="BJ45" s="64">
        <f>Results!$B$19+AL45-Results!$D$21</f>
        <v/>
      </c>
      <c r="BM45" s="64" t="n">
        <v>50</v>
      </c>
      <c r="BN45" s="64">
        <f>Results!D60</f>
        <v/>
      </c>
      <c r="BO45" s="64">
        <f>Results!E60</f>
        <v/>
      </c>
      <c r="BP45" s="64">
        <f>Results!F60</f>
        <v/>
      </c>
      <c r="BS45" s="64" t="n">
        <v>50</v>
      </c>
      <c r="BT45" s="64">
        <f>Demand!AU63</f>
        <v/>
      </c>
      <c r="BU45" s="64">
        <f>Demand!AV63</f>
        <v/>
      </c>
      <c r="BV45" s="64">
        <f>Demand!AW63</f>
        <v/>
      </c>
      <c r="BY45" s="64" t="n">
        <v>50</v>
      </c>
      <c r="BZ45" s="64">
        <f>Retailers_Cap!N46</f>
        <v/>
      </c>
      <c r="CA45" s="64">
        <f>Retailers_Cap!O46</f>
        <v/>
      </c>
      <c r="CB45" s="64">
        <f>Retailers_Cap!P46</f>
        <v/>
      </c>
      <c r="CD45" s="64" t="n">
        <v>50</v>
      </c>
      <c r="CE45" s="64">
        <f>IF((BT45-BZ45)&gt;=0,"Dem","Folga")</f>
        <v/>
      </c>
      <c r="CF45" s="64">
        <f>IF((BU45-CA45)&gt;=0,"Dem","Folga")</f>
        <v/>
      </c>
      <c r="CG45" s="64">
        <f>IF((BV45-CB45)&gt;=0,"Dem","Folga")</f>
        <v/>
      </c>
    </row>
    <row r="46">
      <c r="M46" s="64">
        <f>TRUNC((_xlfn.NORM.INV((RAND()),$L$6,$L$7)),2)</f>
        <v/>
      </c>
      <c r="O46" s="64" t="n">
        <v>51</v>
      </c>
      <c r="P46" s="5" t="n">
        <v>183.58</v>
      </c>
      <c r="Q46" s="5" t="n">
        <v>197.98</v>
      </c>
      <c r="R46" s="5" t="n">
        <v>216.78</v>
      </c>
      <c r="W46" s="64">
        <f>TRUNC((_xlfn.NORM.INV((RAND()),$V$6,$V$7)),3)</f>
        <v/>
      </c>
      <c r="Y46" s="64" t="n">
        <v>51</v>
      </c>
      <c r="Z46" s="5" t="n">
        <v>6.85</v>
      </c>
      <c r="AA46" s="5" t="n">
        <v>6.746</v>
      </c>
      <c r="AB46" s="5" t="n">
        <v>6.656</v>
      </c>
      <c r="AG46" s="64">
        <f>TRUNC((_xlfn.NORM.INV((RAND()),$AF$6,$AF$7)),3)</f>
        <v/>
      </c>
      <c r="AI46" s="64" t="n">
        <v>51</v>
      </c>
      <c r="AJ46" s="5" t="n">
        <v>68.458</v>
      </c>
      <c r="AK46" s="5" t="n">
        <v>56.296</v>
      </c>
      <c r="AL46" s="5" t="n">
        <v>58.884</v>
      </c>
      <c r="AR46" s="64" t="n">
        <v>51</v>
      </c>
      <c r="AS46" s="5" t="n">
        <v>0</v>
      </c>
      <c r="AT46" s="5" t="n">
        <v>10.45967417911625</v>
      </c>
      <c r="AU46" s="5" t="n">
        <v>0</v>
      </c>
      <c r="AW46" s="64">
        <f>Z46/Demand!AU64</f>
        <v/>
      </c>
      <c r="AX46" s="64">
        <f>AA46/Demand!AV64</f>
        <v/>
      </c>
      <c r="AY46" s="64">
        <f>AB46/Demand!AW64</f>
        <v/>
      </c>
      <c r="BG46" s="64" t="n">
        <v>51</v>
      </c>
      <c r="BH46" s="64">
        <f>Results!$B$19+AJ46-Results!$D$21</f>
        <v/>
      </c>
      <c r="BI46" s="64">
        <f>Results!$B$19+AK46-Results!$D$21</f>
        <v/>
      </c>
      <c r="BJ46" s="64">
        <f>Results!$B$19+AL46-Results!$D$21</f>
        <v/>
      </c>
      <c r="BM46" s="64" t="n">
        <v>51</v>
      </c>
      <c r="BN46" s="64">
        <f>Results!D61</f>
        <v/>
      </c>
      <c r="BO46" s="64">
        <f>Results!E61</f>
        <v/>
      </c>
      <c r="BP46" s="64">
        <f>Results!F61</f>
        <v/>
      </c>
      <c r="BS46" s="64" t="n">
        <v>51</v>
      </c>
      <c r="BT46" s="64">
        <f>Demand!AU64</f>
        <v/>
      </c>
      <c r="BU46" s="64">
        <f>Demand!AV64</f>
        <v/>
      </c>
      <c r="BV46" s="64">
        <f>Demand!AW64</f>
        <v/>
      </c>
      <c r="BY46" s="64" t="n">
        <v>51</v>
      </c>
      <c r="BZ46" s="64">
        <f>Retailers_Cap!N47</f>
        <v/>
      </c>
      <c r="CA46" s="64">
        <f>Retailers_Cap!O47</f>
        <v/>
      </c>
      <c r="CB46" s="64">
        <f>Retailers_Cap!P47</f>
        <v/>
      </c>
      <c r="CD46" s="64" t="n">
        <v>51</v>
      </c>
      <c r="CE46" s="64">
        <f>IF((BT46-BZ46)&gt;=0,"Dem","Folga")</f>
        <v/>
      </c>
      <c r="CF46" s="64">
        <f>IF((BU46-CA46)&gt;=0,"Dem","Folga")</f>
        <v/>
      </c>
      <c r="CG46" s="64">
        <f>IF((BV46-CB46)&gt;=0,"Dem","Folga")</f>
        <v/>
      </c>
    </row>
    <row r="47">
      <c r="M47" s="64">
        <f>TRUNC((_xlfn.NORM.INV((RAND()),$L$6,$L$7)),2)</f>
        <v/>
      </c>
      <c r="O47" s="64" t="n">
        <v>52</v>
      </c>
      <c r="P47" s="5" t="n">
        <v>183.23</v>
      </c>
      <c r="Q47" s="5" t="n">
        <v>237.64</v>
      </c>
      <c r="R47" s="5" t="n">
        <v>193.14</v>
      </c>
      <c r="W47" s="64">
        <f>TRUNC((_xlfn.NORM.INV((RAND()),$V$6,$V$7)),3)</f>
        <v/>
      </c>
      <c r="Y47" s="64" t="n">
        <v>52</v>
      </c>
      <c r="Z47" s="5" t="n">
        <v>6.79</v>
      </c>
      <c r="AA47" s="5" t="n">
        <v>6.864</v>
      </c>
      <c r="AB47" s="5" t="n">
        <v>6.834</v>
      </c>
      <c r="AG47" s="64">
        <f>TRUNC((_xlfn.NORM.INV((RAND()),$AF$6,$AF$7)),3)</f>
        <v/>
      </c>
      <c r="AI47" s="64" t="n">
        <v>52</v>
      </c>
      <c r="AJ47" s="5" t="n">
        <v>55.646</v>
      </c>
      <c r="AK47" s="5" t="n">
        <v>74.48699999999999</v>
      </c>
      <c r="AL47" s="5" t="n">
        <v>50.951</v>
      </c>
      <c r="AR47" s="64" t="n">
        <v>52</v>
      </c>
      <c r="AS47" s="5" t="n">
        <v>10.68934575838922</v>
      </c>
      <c r="AT47" s="5" t="n">
        <v>14.73522218558104</v>
      </c>
      <c r="AU47" s="5" t="n">
        <v>0</v>
      </c>
      <c r="AW47" s="64">
        <f>Z47/Demand!AU65</f>
        <v/>
      </c>
      <c r="AX47" s="64">
        <f>AA47/Demand!AV65</f>
        <v/>
      </c>
      <c r="AY47" s="64">
        <f>AB47/Demand!AW65</f>
        <v/>
      </c>
      <c r="BG47" s="64" t="n">
        <v>52</v>
      </c>
      <c r="BH47" s="64">
        <f>Results!$B$19+AJ47-Results!$D$21</f>
        <v/>
      </c>
      <c r="BI47" s="64">
        <f>Results!$B$19+AK47-Results!$D$21</f>
        <v/>
      </c>
      <c r="BJ47" s="64">
        <f>Results!$B$19+AL47-Results!$D$21</f>
        <v/>
      </c>
      <c r="BM47" s="64" t="n">
        <v>52</v>
      </c>
      <c r="BN47" s="64">
        <f>Results!D62</f>
        <v/>
      </c>
      <c r="BO47" s="64">
        <f>Results!E62</f>
        <v/>
      </c>
      <c r="BP47" s="64">
        <f>Results!F62</f>
        <v/>
      </c>
      <c r="BS47" s="64" t="n">
        <v>52</v>
      </c>
      <c r="BT47" s="64">
        <f>Demand!AU65</f>
        <v/>
      </c>
      <c r="BU47" s="64">
        <f>Demand!AV65</f>
        <v/>
      </c>
      <c r="BV47" s="64">
        <f>Demand!AW65</f>
        <v/>
      </c>
      <c r="BY47" s="64" t="n">
        <v>52</v>
      </c>
      <c r="BZ47" s="64">
        <f>Retailers_Cap!N48</f>
        <v/>
      </c>
      <c r="CA47" s="64">
        <f>Retailers_Cap!O48</f>
        <v/>
      </c>
      <c r="CB47" s="64">
        <f>Retailers_Cap!P48</f>
        <v/>
      </c>
      <c r="CD47" s="64" t="n">
        <v>52</v>
      </c>
      <c r="CE47" s="64">
        <f>IF((BT47-BZ47)&gt;=0,"Dem","Folga")</f>
        <v/>
      </c>
      <c r="CF47" s="64">
        <f>IF((BU47-CA47)&gt;=0,"Dem","Folga")</f>
        <v/>
      </c>
      <c r="CG47" s="64">
        <f>IF((BV47-CB47)&gt;=0,"Dem","Folga")</f>
        <v/>
      </c>
    </row>
    <row r="48">
      <c r="M48" s="64">
        <f>TRUNC((_xlfn.NORM.INV((RAND()),$L$6,$L$7)),2)</f>
        <v/>
      </c>
      <c r="O48" s="64" t="n">
        <v>53</v>
      </c>
      <c r="P48" s="5" t="n">
        <v>169.93</v>
      </c>
      <c r="Q48" s="5" t="n">
        <v>176.61</v>
      </c>
      <c r="R48" s="5" t="n">
        <v>241.48</v>
      </c>
      <c r="W48" s="64">
        <f>TRUNC((_xlfn.NORM.INV((RAND()),$V$6,$V$7)),3)</f>
        <v/>
      </c>
      <c r="Y48" s="64" t="n">
        <v>53</v>
      </c>
      <c r="Z48" s="5" t="n">
        <v>6.789</v>
      </c>
      <c r="AA48" s="5" t="n">
        <v>6.74</v>
      </c>
      <c r="AB48" s="5" t="n">
        <v>6.694</v>
      </c>
      <c r="AG48" s="64">
        <f>TRUNC((_xlfn.NORM.INV((RAND()),$AF$6,$AF$7)),3)</f>
        <v/>
      </c>
      <c r="AI48" s="64" t="n">
        <v>53</v>
      </c>
      <c r="AJ48" s="5" t="n">
        <v>71.663</v>
      </c>
      <c r="AK48" s="5" t="n">
        <v>58.181</v>
      </c>
      <c r="AL48" s="5" t="n">
        <v>44.543</v>
      </c>
      <c r="AR48" s="64" t="n">
        <v>53</v>
      </c>
      <c r="AS48" s="5" t="n">
        <v>0</v>
      </c>
      <c r="AT48" s="5" t="n">
        <v>0</v>
      </c>
      <c r="AU48" s="5" t="n">
        <v>0</v>
      </c>
      <c r="AW48" s="64">
        <f>Z48/Demand!AU66</f>
        <v/>
      </c>
      <c r="AX48" s="64">
        <f>AA48/Demand!AV66</f>
        <v/>
      </c>
      <c r="AY48" s="64">
        <f>AB48/Demand!AW66</f>
        <v/>
      </c>
      <c r="BG48" s="64" t="n">
        <v>53</v>
      </c>
      <c r="BH48" s="64">
        <f>Results!$B$19+AJ48-Results!$D$21</f>
        <v/>
      </c>
      <c r="BI48" s="64">
        <f>Results!$B$19+AK48-Results!$D$21</f>
        <v/>
      </c>
      <c r="BJ48" s="64">
        <f>Results!$B$19+AL48-Results!$D$21</f>
        <v/>
      </c>
      <c r="BM48" s="64" t="n">
        <v>53</v>
      </c>
      <c r="BN48" s="64">
        <f>Results!D63</f>
        <v/>
      </c>
      <c r="BO48" s="64">
        <f>Results!E63</f>
        <v/>
      </c>
      <c r="BP48" s="64">
        <f>Results!F63</f>
        <v/>
      </c>
      <c r="BS48" s="64" t="n">
        <v>53</v>
      </c>
      <c r="BT48" s="64">
        <f>Demand!AU66</f>
        <v/>
      </c>
      <c r="BU48" s="64">
        <f>Demand!AV66</f>
        <v/>
      </c>
      <c r="BV48" s="64">
        <f>Demand!AW66</f>
        <v/>
      </c>
      <c r="BY48" s="64" t="n">
        <v>53</v>
      </c>
      <c r="BZ48" s="64">
        <f>Retailers_Cap!N49</f>
        <v/>
      </c>
      <c r="CA48" s="64">
        <f>Retailers_Cap!O49</f>
        <v/>
      </c>
      <c r="CB48" s="64">
        <f>Retailers_Cap!P49</f>
        <v/>
      </c>
      <c r="CD48" s="64" t="n">
        <v>53</v>
      </c>
      <c r="CE48" s="64">
        <f>IF((BT48-BZ48)&gt;=0,"Dem","Folga")</f>
        <v/>
      </c>
      <c r="CF48" s="64">
        <f>IF((BU48-CA48)&gt;=0,"Dem","Folga")</f>
        <v/>
      </c>
      <c r="CG48" s="64">
        <f>IF((BV48-CB48)&gt;=0,"Dem","Folga")</f>
        <v/>
      </c>
    </row>
    <row r="49">
      <c r="M49" s="64">
        <f>TRUNC((_xlfn.NORM.INV((RAND()),$L$6,$L$7)),2)</f>
        <v/>
      </c>
      <c r="O49" s="64" t="n">
        <v>54</v>
      </c>
      <c r="P49" s="5" t="n">
        <v>222.73</v>
      </c>
      <c r="Q49" s="5" t="n">
        <v>201.67</v>
      </c>
      <c r="R49" s="5" t="n">
        <v>149.22</v>
      </c>
      <c r="W49" s="64">
        <f>TRUNC((_xlfn.NORM.INV((RAND()),$V$6,$V$7)),3)</f>
        <v/>
      </c>
      <c r="Y49" s="64" t="n">
        <v>54</v>
      </c>
      <c r="Z49" s="5" t="n">
        <v>6.749</v>
      </c>
      <c r="AA49" s="5" t="n">
        <v>6.8</v>
      </c>
      <c r="AB49" s="5" t="n">
        <v>6.712</v>
      </c>
      <c r="AG49" s="64">
        <f>TRUNC((_xlfn.NORM.INV((RAND()),$AF$6,$AF$7)),3)</f>
        <v/>
      </c>
      <c r="AI49" s="64" t="n">
        <v>54</v>
      </c>
      <c r="AJ49" s="5" t="n">
        <v>64.634</v>
      </c>
      <c r="AK49" s="5" t="n">
        <v>47.679</v>
      </c>
      <c r="AL49" s="5" t="n">
        <v>59.555</v>
      </c>
      <c r="AR49" s="64" t="n">
        <v>54</v>
      </c>
      <c r="AS49" s="5" t="n">
        <v>11.34319940996044</v>
      </c>
      <c r="AT49" s="5" t="n">
        <v>0</v>
      </c>
      <c r="AU49" s="5" t="n">
        <v>0</v>
      </c>
      <c r="AW49" s="64">
        <f>Z49/Demand!AU67</f>
        <v/>
      </c>
      <c r="AX49" s="64">
        <f>AA49/Demand!AV67</f>
        <v/>
      </c>
      <c r="AY49" s="64">
        <f>AB49/Demand!AW67</f>
        <v/>
      </c>
      <c r="BG49" s="64" t="n">
        <v>54</v>
      </c>
      <c r="BH49" s="64">
        <f>Results!$B$19+AJ49-Results!$D$21</f>
        <v/>
      </c>
      <c r="BI49" s="64">
        <f>Results!$B$19+AK49-Results!$D$21</f>
        <v/>
      </c>
      <c r="BJ49" s="64">
        <f>Results!$B$19+AL49-Results!$D$21</f>
        <v/>
      </c>
      <c r="BM49" s="64" t="n">
        <v>54</v>
      </c>
      <c r="BN49" s="64">
        <f>Results!D64</f>
        <v/>
      </c>
      <c r="BO49" s="64">
        <f>Results!E64</f>
        <v/>
      </c>
      <c r="BP49" s="64">
        <f>Results!F64</f>
        <v/>
      </c>
      <c r="BS49" s="64" t="n">
        <v>54</v>
      </c>
      <c r="BT49" s="64">
        <f>Demand!AU67</f>
        <v/>
      </c>
      <c r="BU49" s="64">
        <f>Demand!AV67</f>
        <v/>
      </c>
      <c r="BV49" s="64">
        <f>Demand!AW67</f>
        <v/>
      </c>
      <c r="BY49" s="64" t="n">
        <v>54</v>
      </c>
      <c r="BZ49" s="64">
        <f>Retailers_Cap!N50</f>
        <v/>
      </c>
      <c r="CA49" s="64">
        <f>Retailers_Cap!O50</f>
        <v/>
      </c>
      <c r="CB49" s="64">
        <f>Retailers_Cap!P50</f>
        <v/>
      </c>
      <c r="CD49" s="64" t="n">
        <v>54</v>
      </c>
      <c r="CE49" s="64">
        <f>IF((BT49-BZ49)&gt;=0,"Dem","Folga")</f>
        <v/>
      </c>
      <c r="CF49" s="64">
        <f>IF((BU49-CA49)&gt;=0,"Dem","Folga")</f>
        <v/>
      </c>
      <c r="CG49" s="64">
        <f>IF((BV49-CB49)&gt;=0,"Dem","Folga")</f>
        <v/>
      </c>
    </row>
    <row r="50">
      <c r="M50" s="64">
        <f>TRUNC((_xlfn.NORM.INV((RAND()),$L$6,$L$7)),2)</f>
        <v/>
      </c>
      <c r="O50" s="64" t="n">
        <v>55</v>
      </c>
      <c r="P50" s="5" t="n">
        <v>166.01</v>
      </c>
      <c r="Q50" s="5" t="n">
        <v>237.73</v>
      </c>
      <c r="R50" s="5" t="n">
        <v>144.95</v>
      </c>
      <c r="W50" s="64">
        <f>TRUNC((_xlfn.NORM.INV((RAND()),$V$6,$V$7)),3)</f>
        <v/>
      </c>
      <c r="Y50" s="64" t="n">
        <v>55</v>
      </c>
      <c r="Z50" s="5" t="n">
        <v>6.582</v>
      </c>
      <c r="AA50" s="5" t="n">
        <v>6.656</v>
      </c>
      <c r="AB50" s="5" t="n">
        <v>6.747</v>
      </c>
      <c r="AG50" s="64">
        <f>TRUNC((_xlfn.NORM.INV((RAND()),$AF$6,$AF$7)),3)</f>
        <v/>
      </c>
      <c r="AI50" s="64" t="n">
        <v>55</v>
      </c>
      <c r="AJ50" s="5" t="n">
        <v>53.255</v>
      </c>
      <c r="AK50" s="5" t="n">
        <v>78.795</v>
      </c>
      <c r="AL50" s="5" t="n">
        <v>67.131</v>
      </c>
      <c r="AR50" s="64" t="n">
        <v>55</v>
      </c>
      <c r="AS50" s="5" t="n">
        <v>0</v>
      </c>
      <c r="AT50" s="5" t="n">
        <v>0</v>
      </c>
      <c r="AU50" s="5" t="n">
        <v>0</v>
      </c>
      <c r="AW50" s="64">
        <f>Z50/Demand!AU68</f>
        <v/>
      </c>
      <c r="AX50" s="64">
        <f>AA50/Demand!AV68</f>
        <v/>
      </c>
      <c r="AY50" s="64">
        <f>AB50/Demand!AW68</f>
        <v/>
      </c>
      <c r="BG50" s="64" t="n">
        <v>55</v>
      </c>
      <c r="BH50" s="64">
        <f>Results!$B$19+AJ50-Results!$D$21</f>
        <v/>
      </c>
      <c r="BI50" s="64">
        <f>Results!$B$19+AK50-Results!$D$21</f>
        <v/>
      </c>
      <c r="BJ50" s="64">
        <f>Results!$B$19+AL50-Results!$D$21</f>
        <v/>
      </c>
      <c r="BM50" s="64" t="n">
        <v>55</v>
      </c>
      <c r="BN50" s="64">
        <f>Results!D65</f>
        <v/>
      </c>
      <c r="BO50" s="64">
        <f>Results!E65</f>
        <v/>
      </c>
      <c r="BP50" s="64">
        <f>Results!F65</f>
        <v/>
      </c>
      <c r="BS50" s="64" t="n">
        <v>55</v>
      </c>
      <c r="BT50" s="64">
        <f>Demand!AU68</f>
        <v/>
      </c>
      <c r="BU50" s="64">
        <f>Demand!AV68</f>
        <v/>
      </c>
      <c r="BV50" s="64">
        <f>Demand!AW68</f>
        <v/>
      </c>
      <c r="BY50" s="64" t="n">
        <v>55</v>
      </c>
      <c r="BZ50" s="64">
        <f>Retailers_Cap!N51</f>
        <v/>
      </c>
      <c r="CA50" s="64">
        <f>Retailers_Cap!O51</f>
        <v/>
      </c>
      <c r="CB50" s="64">
        <f>Retailers_Cap!P51</f>
        <v/>
      </c>
      <c r="CD50" s="64" t="n">
        <v>55</v>
      </c>
      <c r="CE50" s="64">
        <f>IF((BT50-BZ50)&gt;=0,"Dem","Folga")</f>
        <v/>
      </c>
      <c r="CF50" s="64">
        <f>IF((BU50-CA50)&gt;=0,"Dem","Folga")</f>
        <v/>
      </c>
      <c r="CG50" s="64">
        <f>IF((BV50-CB50)&gt;=0,"Dem","Folga")</f>
        <v/>
      </c>
    </row>
    <row r="51">
      <c r="M51" s="64">
        <f>TRUNC((_xlfn.NORM.INV((RAND()),$L$6,$L$7)),2)</f>
        <v/>
      </c>
      <c r="O51" s="64" t="n">
        <v>56</v>
      </c>
      <c r="P51" s="5" t="n">
        <v>238.21</v>
      </c>
      <c r="Q51" s="5" t="n">
        <v>137.05</v>
      </c>
      <c r="R51" s="5" t="n">
        <v>263.82</v>
      </c>
      <c r="W51" s="64">
        <f>TRUNC((_xlfn.NORM.INV((RAND()),$V$6,$V$7)),3)</f>
        <v/>
      </c>
      <c r="Y51" s="64" t="n">
        <v>56</v>
      </c>
      <c r="Z51" s="5" t="n">
        <v>6.728</v>
      </c>
      <c r="AA51" s="5" t="n">
        <v>6.776</v>
      </c>
      <c r="AB51" s="5" t="n">
        <v>6.803</v>
      </c>
      <c r="AG51" s="64">
        <f>TRUNC((_xlfn.NORM.INV((RAND()),$AF$6,$AF$7)),3)</f>
        <v/>
      </c>
      <c r="AI51" s="64" t="n">
        <v>56</v>
      </c>
      <c r="AJ51" s="5" t="n">
        <v>53.912</v>
      </c>
      <c r="AK51" s="5" t="n">
        <v>70.194</v>
      </c>
      <c r="AL51" s="5" t="n">
        <v>59.256</v>
      </c>
      <c r="AR51" s="64" t="n">
        <v>56</v>
      </c>
      <c r="AS51" s="5" t="n">
        <v>0</v>
      </c>
      <c r="AT51" s="5" t="n">
        <v>0</v>
      </c>
      <c r="AU51" s="5" t="n">
        <v>12.93795263791339</v>
      </c>
      <c r="AW51" s="64">
        <f>Z51/Demand!AU69</f>
        <v/>
      </c>
      <c r="AX51" s="64">
        <f>AA51/Demand!AV69</f>
        <v/>
      </c>
      <c r="AY51" s="64">
        <f>AB51/Demand!AW69</f>
        <v/>
      </c>
      <c r="BG51" s="64" t="n">
        <v>56</v>
      </c>
      <c r="BH51" s="64">
        <f>Results!$B$19+AJ51-Results!$D$21</f>
        <v/>
      </c>
      <c r="BI51" s="64">
        <f>Results!$B$19+AK51-Results!$D$21</f>
        <v/>
      </c>
      <c r="BJ51" s="64">
        <f>Results!$B$19+AL51-Results!$D$21</f>
        <v/>
      </c>
      <c r="BM51" s="64" t="n">
        <v>56</v>
      </c>
      <c r="BN51" s="64">
        <f>Results!D66</f>
        <v/>
      </c>
      <c r="BO51" s="64">
        <f>Results!E66</f>
        <v/>
      </c>
      <c r="BP51" s="64">
        <f>Results!F66</f>
        <v/>
      </c>
      <c r="BS51" s="64" t="n">
        <v>56</v>
      </c>
      <c r="BT51" s="64">
        <f>Demand!AU69</f>
        <v/>
      </c>
      <c r="BU51" s="64">
        <f>Demand!AV69</f>
        <v/>
      </c>
      <c r="BV51" s="64">
        <f>Demand!AW69</f>
        <v/>
      </c>
      <c r="BY51" s="64" t="n">
        <v>56</v>
      </c>
      <c r="BZ51" s="64">
        <f>Retailers_Cap!N52</f>
        <v/>
      </c>
      <c r="CA51" s="64">
        <f>Retailers_Cap!O52</f>
        <v/>
      </c>
      <c r="CB51" s="64">
        <f>Retailers_Cap!P52</f>
        <v/>
      </c>
      <c r="CD51" s="64" t="n">
        <v>56</v>
      </c>
      <c r="CE51" s="64">
        <f>IF((BT51-BZ51)&gt;=0,"Dem","Folga")</f>
        <v/>
      </c>
      <c r="CF51" s="64">
        <f>IF((BU51-CA51)&gt;=0,"Dem","Folga")</f>
        <v/>
      </c>
      <c r="CG51" s="64">
        <f>IF((BV51-CB51)&gt;=0,"Dem","Folga")</f>
        <v/>
      </c>
    </row>
    <row r="52">
      <c r="M52" s="64">
        <f>TRUNC((_xlfn.NORM.INV((RAND()),$L$6,$L$7)),2)</f>
        <v/>
      </c>
      <c r="O52" s="64" t="n">
        <v>57</v>
      </c>
      <c r="P52" s="5" t="n">
        <v>178.17</v>
      </c>
      <c r="Q52" s="5" t="n">
        <v>251.15</v>
      </c>
      <c r="R52" s="5" t="n">
        <v>188.46</v>
      </c>
      <c r="W52" s="64">
        <f>TRUNC((_xlfn.NORM.INV((RAND()),$V$6,$V$7)),3)</f>
        <v/>
      </c>
      <c r="Y52" s="64" t="n">
        <v>57</v>
      </c>
      <c r="Z52" s="5" t="n">
        <v>6.816</v>
      </c>
      <c r="AA52" s="5" t="n">
        <v>6.685</v>
      </c>
      <c r="AB52" s="5" t="n">
        <v>6.779</v>
      </c>
      <c r="AG52" s="64">
        <f>TRUNC((_xlfn.NORM.INV((RAND()),$AF$6,$AF$7)),3)</f>
        <v/>
      </c>
      <c r="AI52" s="64" t="n">
        <v>57</v>
      </c>
      <c r="AJ52" s="5" t="n">
        <v>61.562</v>
      </c>
      <c r="AK52" s="5" t="n">
        <v>70.205</v>
      </c>
      <c r="AL52" s="5" t="n">
        <v>52.015</v>
      </c>
      <c r="AR52" s="64" t="n">
        <v>57</v>
      </c>
      <c r="AS52" s="5" t="n">
        <v>14.84641019733664</v>
      </c>
      <c r="AT52" s="5" t="n">
        <v>33.55470764022593</v>
      </c>
      <c r="AU52" s="5" t="n">
        <v>14.98491945261265</v>
      </c>
      <c r="AW52" s="64">
        <f>Z52/Demand!AU70</f>
        <v/>
      </c>
      <c r="AX52" s="64">
        <f>AA52/Demand!AV70</f>
        <v/>
      </c>
      <c r="AY52" s="64">
        <f>AB52/Demand!AW70</f>
        <v/>
      </c>
      <c r="BG52" s="64" t="n">
        <v>57</v>
      </c>
      <c r="BH52" s="64">
        <f>Results!$B$19+AJ52-Results!$D$21</f>
        <v/>
      </c>
      <c r="BI52" s="64">
        <f>Results!$B$19+AK52-Results!$D$21</f>
        <v/>
      </c>
      <c r="BJ52" s="64">
        <f>Results!$B$19+AL52-Results!$D$21</f>
        <v/>
      </c>
      <c r="BM52" s="64" t="n">
        <v>57</v>
      </c>
      <c r="BN52" s="64">
        <f>Results!D67</f>
        <v/>
      </c>
      <c r="BO52" s="64">
        <f>Results!E67</f>
        <v/>
      </c>
      <c r="BP52" s="64">
        <f>Results!F67</f>
        <v/>
      </c>
      <c r="BS52" s="64" t="n">
        <v>57</v>
      </c>
      <c r="BT52" s="64">
        <f>Demand!AU70</f>
        <v/>
      </c>
      <c r="BU52" s="64">
        <f>Demand!AV70</f>
        <v/>
      </c>
      <c r="BV52" s="64">
        <f>Demand!AW70</f>
        <v/>
      </c>
      <c r="BY52" s="64" t="n">
        <v>57</v>
      </c>
      <c r="BZ52" s="64">
        <f>Retailers_Cap!N53</f>
        <v/>
      </c>
      <c r="CA52" s="64">
        <f>Retailers_Cap!O53</f>
        <v/>
      </c>
      <c r="CB52" s="64">
        <f>Retailers_Cap!P53</f>
        <v/>
      </c>
      <c r="CD52" s="64" t="n">
        <v>57</v>
      </c>
      <c r="CE52" s="64">
        <f>IF((BT52-BZ52)&gt;=0,"Dem","Folga")</f>
        <v/>
      </c>
      <c r="CF52" s="64">
        <f>IF((BU52-CA52)&gt;=0,"Dem","Folga")</f>
        <v/>
      </c>
      <c r="CG52" s="64">
        <f>IF((BV52-CB52)&gt;=0,"Dem","Folga")</f>
        <v/>
      </c>
    </row>
    <row r="53">
      <c r="M53" s="64">
        <f>TRUNC((_xlfn.NORM.INV((RAND()),$L$6,$L$7)),2)</f>
        <v/>
      </c>
      <c r="O53" s="64" t="n">
        <v>58</v>
      </c>
      <c r="P53" s="5" t="n">
        <v>211.78</v>
      </c>
      <c r="Q53" s="5" t="n">
        <v>204.95</v>
      </c>
      <c r="R53" s="5" t="n">
        <v>162.32</v>
      </c>
      <c r="W53" s="64">
        <f>TRUNC((_xlfn.NORM.INV((RAND()),$V$6,$V$7)),3)</f>
        <v/>
      </c>
      <c r="Y53" s="64" t="n">
        <v>58</v>
      </c>
      <c r="Z53" s="5" t="n">
        <v>6.865</v>
      </c>
      <c r="AA53" s="5" t="n">
        <v>6.71</v>
      </c>
      <c r="AB53" s="5" t="n">
        <v>6.894</v>
      </c>
      <c r="AG53" s="64">
        <f>TRUNC((_xlfn.NORM.INV((RAND()),$AF$6,$AF$7)),3)</f>
        <v/>
      </c>
      <c r="AI53" s="64" t="n">
        <v>58</v>
      </c>
      <c r="AJ53" s="5" t="n">
        <v>48.395</v>
      </c>
      <c r="AK53" s="5" t="n">
        <v>66.886</v>
      </c>
      <c r="AL53" s="5" t="n">
        <v>47.992</v>
      </c>
      <c r="AR53" s="64" t="n">
        <v>58</v>
      </c>
      <c r="AS53" s="5" t="n">
        <v>0</v>
      </c>
      <c r="AT53" s="5" t="n">
        <v>3.674936933794036</v>
      </c>
      <c r="AU53" s="5" t="n">
        <v>14.12159173423713</v>
      </c>
      <c r="AW53" s="64">
        <f>Z53/Demand!AU71</f>
        <v/>
      </c>
      <c r="AX53" s="64">
        <f>AA53/Demand!AV71</f>
        <v/>
      </c>
      <c r="AY53" s="64">
        <f>AB53/Demand!AW71</f>
        <v/>
      </c>
      <c r="BG53" s="64" t="n">
        <v>58</v>
      </c>
      <c r="BH53" s="64">
        <f>Results!$B$19+AJ53-Results!$D$21</f>
        <v/>
      </c>
      <c r="BI53" s="64">
        <f>Results!$B$19+AK53-Results!$D$21</f>
        <v/>
      </c>
      <c r="BJ53" s="64">
        <f>Results!$B$19+AL53-Results!$D$21</f>
        <v/>
      </c>
      <c r="BM53" s="64" t="n">
        <v>58</v>
      </c>
      <c r="BN53" s="64">
        <f>Results!D68</f>
        <v/>
      </c>
      <c r="BO53" s="64">
        <f>Results!E68</f>
        <v/>
      </c>
      <c r="BP53" s="64">
        <f>Results!F68</f>
        <v/>
      </c>
      <c r="BS53" s="64" t="n">
        <v>58</v>
      </c>
      <c r="BT53" s="64">
        <f>Demand!AU71</f>
        <v/>
      </c>
      <c r="BU53" s="64">
        <f>Demand!AV71</f>
        <v/>
      </c>
      <c r="BV53" s="64">
        <f>Demand!AW71</f>
        <v/>
      </c>
      <c r="BY53" s="64" t="n">
        <v>58</v>
      </c>
      <c r="BZ53" s="64">
        <f>Retailers_Cap!N54</f>
        <v/>
      </c>
      <c r="CA53" s="64">
        <f>Retailers_Cap!O54</f>
        <v/>
      </c>
      <c r="CB53" s="64">
        <f>Retailers_Cap!P54</f>
        <v/>
      </c>
      <c r="CD53" s="64" t="n">
        <v>58</v>
      </c>
      <c r="CE53" s="64">
        <f>IF((BT53-BZ53)&gt;=0,"Dem","Folga")</f>
        <v/>
      </c>
      <c r="CF53" s="64">
        <f>IF((BU53-CA53)&gt;=0,"Dem","Folga")</f>
        <v/>
      </c>
      <c r="CG53" s="64">
        <f>IF((BV53-CB53)&gt;=0,"Dem","Folga")</f>
        <v/>
      </c>
    </row>
    <row r="54">
      <c r="M54" s="64">
        <f>TRUNC((_xlfn.NORM.INV((RAND()),$L$6,$L$7)),2)</f>
        <v/>
      </c>
      <c r="O54" s="64" t="n">
        <v>59</v>
      </c>
      <c r="P54" s="5" t="n">
        <v>195.52</v>
      </c>
      <c r="Q54" s="5" t="n">
        <v>256.36</v>
      </c>
      <c r="R54" s="5" t="n">
        <v>237.06</v>
      </c>
      <c r="W54" s="64">
        <f>TRUNC((_xlfn.NORM.INV((RAND()),$V$6,$V$7)),3)</f>
        <v/>
      </c>
      <c r="Y54" s="64" t="n">
        <v>59</v>
      </c>
      <c r="Z54" s="5" t="n">
        <v>6.62</v>
      </c>
      <c r="AA54" s="5" t="n">
        <v>6.736</v>
      </c>
      <c r="AB54" s="5" t="n">
        <v>6.709</v>
      </c>
      <c r="AG54" s="64">
        <f>TRUNC((_xlfn.NORM.INV((RAND()),$AF$6,$AF$7)),3)</f>
        <v/>
      </c>
      <c r="AI54" s="64" t="n">
        <v>59</v>
      </c>
      <c r="AJ54" s="5" t="n">
        <v>61.747</v>
      </c>
      <c r="AK54" s="5" t="n">
        <v>51.345</v>
      </c>
      <c r="AL54" s="5" t="n">
        <v>59.566</v>
      </c>
      <c r="AR54" s="64" t="n">
        <v>59</v>
      </c>
      <c r="AS54" s="5" t="n">
        <v>0</v>
      </c>
      <c r="AT54" s="5" t="n">
        <v>0</v>
      </c>
      <c r="AU54" s="5" t="n">
        <v>0</v>
      </c>
      <c r="AW54" s="64">
        <f>Z54/Demand!AU72</f>
        <v/>
      </c>
      <c r="AX54" s="64">
        <f>AA54/Demand!AV72</f>
        <v/>
      </c>
      <c r="AY54" s="64">
        <f>AB54/Demand!AW72</f>
        <v/>
      </c>
      <c r="BG54" s="64" t="n">
        <v>59</v>
      </c>
      <c r="BH54" s="64">
        <f>Results!$B$19+AJ54-Results!$D$21</f>
        <v/>
      </c>
      <c r="BI54" s="64">
        <f>Results!$B$19+AK54-Results!$D$21</f>
        <v/>
      </c>
      <c r="BJ54" s="64">
        <f>Results!$B$19+AL54-Results!$D$21</f>
        <v/>
      </c>
      <c r="BM54" s="64" t="n">
        <v>59</v>
      </c>
      <c r="BN54" s="64">
        <f>Results!D69</f>
        <v/>
      </c>
      <c r="BO54" s="64">
        <f>Results!E69</f>
        <v/>
      </c>
      <c r="BP54" s="64">
        <f>Results!F69</f>
        <v/>
      </c>
      <c r="BS54" s="64" t="n">
        <v>59</v>
      </c>
      <c r="BT54" s="64">
        <f>Demand!AU72</f>
        <v/>
      </c>
      <c r="BU54" s="64">
        <f>Demand!AV72</f>
        <v/>
      </c>
      <c r="BV54" s="64">
        <f>Demand!AW72</f>
        <v/>
      </c>
      <c r="BY54" s="64" t="n">
        <v>59</v>
      </c>
      <c r="BZ54" s="64">
        <f>Retailers_Cap!N55</f>
        <v/>
      </c>
      <c r="CA54" s="64">
        <f>Retailers_Cap!O55</f>
        <v/>
      </c>
      <c r="CB54" s="64">
        <f>Retailers_Cap!P55</f>
        <v/>
      </c>
      <c r="CD54" s="64" t="n">
        <v>59</v>
      </c>
      <c r="CE54" s="64">
        <f>IF((BT54-BZ54)&gt;=0,"Dem","Folga")</f>
        <v/>
      </c>
      <c r="CF54" s="64">
        <f>IF((BU54-CA54)&gt;=0,"Dem","Folga")</f>
        <v/>
      </c>
      <c r="CG54" s="64">
        <f>IF((BV54-CB54)&gt;=0,"Dem","Folga")</f>
        <v/>
      </c>
    </row>
    <row r="55">
      <c r="M55" s="64">
        <f>TRUNC((_xlfn.NORM.INV((RAND()),$L$6,$L$7)),2)</f>
        <v/>
      </c>
      <c r="O55" s="64" t="n">
        <v>60</v>
      </c>
      <c r="P55" s="5" t="n">
        <v>235.93</v>
      </c>
      <c r="Q55" s="5" t="n">
        <v>141.85</v>
      </c>
      <c r="R55" s="5" t="n">
        <v>157.72</v>
      </c>
      <c r="W55" s="64">
        <f>TRUNC((_xlfn.NORM.INV((RAND()),$V$6,$V$7)),3)</f>
        <v/>
      </c>
      <c r="Y55" s="64" t="n">
        <v>60</v>
      </c>
      <c r="Z55" s="5" t="n">
        <v>6.758</v>
      </c>
      <c r="AA55" s="5" t="n">
        <v>6.81</v>
      </c>
      <c r="AB55" s="5" t="n">
        <v>6.735</v>
      </c>
      <c r="AG55" s="64">
        <f>TRUNC((_xlfn.NORM.INV((RAND()),$AF$6,$AF$7)),3)</f>
        <v/>
      </c>
      <c r="AI55" s="64" t="n">
        <v>60</v>
      </c>
      <c r="AJ55" s="5" t="n">
        <v>62.542</v>
      </c>
      <c r="AK55" s="5" t="n">
        <v>26.582</v>
      </c>
      <c r="AL55" s="5" t="n">
        <v>46.146</v>
      </c>
      <c r="AR55" s="64" t="n">
        <v>60</v>
      </c>
      <c r="AS55" s="5" t="n">
        <v>0</v>
      </c>
      <c r="AT55" s="5" t="n">
        <v>0</v>
      </c>
      <c r="AU55" s="5" t="n">
        <v>0</v>
      </c>
      <c r="AW55" s="64">
        <f>Z55/Demand!AU73</f>
        <v/>
      </c>
      <c r="AX55" s="64">
        <f>AA55/Demand!AV73</f>
        <v/>
      </c>
      <c r="AY55" s="64">
        <f>AB55/Demand!AW73</f>
        <v/>
      </c>
      <c r="BG55" s="64" t="n">
        <v>60</v>
      </c>
      <c r="BH55" s="64">
        <f>Results!$B$19+AJ55-Results!$D$21</f>
        <v/>
      </c>
      <c r="BI55" s="64">
        <f>Results!$B$19+AK55-Results!$D$21</f>
        <v/>
      </c>
      <c r="BJ55" s="64">
        <f>Results!$B$19+AL55-Results!$D$21</f>
        <v/>
      </c>
      <c r="BM55" s="64" t="n">
        <v>60</v>
      </c>
      <c r="BN55" s="64">
        <f>Results!D70</f>
        <v/>
      </c>
      <c r="BO55" s="64">
        <f>Results!E70</f>
        <v/>
      </c>
      <c r="BP55" s="64">
        <f>Results!F70</f>
        <v/>
      </c>
      <c r="BS55" s="64" t="n">
        <v>60</v>
      </c>
      <c r="BT55" s="64">
        <f>Demand!AU73</f>
        <v/>
      </c>
      <c r="BU55" s="64">
        <f>Demand!AV73</f>
        <v/>
      </c>
      <c r="BV55" s="64">
        <f>Demand!AW73</f>
        <v/>
      </c>
      <c r="BY55" s="64" t="n">
        <v>60</v>
      </c>
      <c r="BZ55" s="64">
        <f>Retailers_Cap!N56</f>
        <v/>
      </c>
      <c r="CA55" s="64">
        <f>Retailers_Cap!O56</f>
        <v/>
      </c>
      <c r="CB55" s="64">
        <f>Retailers_Cap!P56</f>
        <v/>
      </c>
      <c r="CD55" s="64" t="n">
        <v>60</v>
      </c>
      <c r="CE55" s="64">
        <f>IF((BT55-BZ55)&gt;=0,"Dem","Folga")</f>
        <v/>
      </c>
      <c r="CF55" s="64">
        <f>IF((BU55-CA55)&gt;=0,"Dem","Folga")</f>
        <v/>
      </c>
      <c r="CG55" s="64">
        <f>IF((BV55-CB55)&gt;=0,"Dem","Folga")</f>
        <v/>
      </c>
    </row>
    <row r="56">
      <c r="M56" s="64">
        <f>TRUNC((_xlfn.NORM.INV((RAND()),$L$6,$L$7)),2)</f>
        <v/>
      </c>
      <c r="O56" s="64" t="n">
        <v>61</v>
      </c>
      <c r="P56" s="5" t="n">
        <v>212.68</v>
      </c>
      <c r="Q56" s="5" t="n">
        <v>193.64</v>
      </c>
      <c r="R56" s="5" t="n">
        <v>169.33</v>
      </c>
      <c r="W56" s="64">
        <f>TRUNC((_xlfn.NORM.INV((RAND()),$V$6,$V$7)),3)</f>
        <v/>
      </c>
      <c r="Y56" s="64" t="n">
        <v>61</v>
      </c>
      <c r="Z56" s="5" t="n">
        <v>6.703</v>
      </c>
      <c r="AA56" s="5" t="n">
        <v>6.71</v>
      </c>
      <c r="AB56" s="5" t="n">
        <v>6.637</v>
      </c>
      <c r="AG56" s="64">
        <f>TRUNC((_xlfn.NORM.INV((RAND()),$AF$6,$AF$7)),3)</f>
        <v/>
      </c>
      <c r="AI56" s="64" t="n">
        <v>61</v>
      </c>
      <c r="AJ56" s="5" t="n">
        <v>74.661</v>
      </c>
      <c r="AK56" s="5" t="n">
        <v>87.357</v>
      </c>
      <c r="AL56" s="5" t="n">
        <v>59.856</v>
      </c>
      <c r="AR56" s="64" t="n">
        <v>61</v>
      </c>
      <c r="AS56" s="5" t="n">
        <v>4.547912183780533</v>
      </c>
      <c r="AT56" s="5" t="n">
        <v>13.07245271709981</v>
      </c>
      <c r="AU56" s="5" t="n">
        <v>26.35899110811429</v>
      </c>
      <c r="AW56" s="64">
        <f>Z56/Demand!AU74</f>
        <v/>
      </c>
      <c r="AX56" s="64">
        <f>AA56/Demand!AV74</f>
        <v/>
      </c>
      <c r="AY56" s="64">
        <f>AB56/Demand!AW74</f>
        <v/>
      </c>
      <c r="BG56" s="64" t="n">
        <v>61</v>
      </c>
      <c r="BH56" s="64">
        <f>Results!$B$19+AJ56-Results!$D$21</f>
        <v/>
      </c>
      <c r="BI56" s="64">
        <f>Results!$B$19+AK56-Results!$D$21</f>
        <v/>
      </c>
      <c r="BJ56" s="64">
        <f>Results!$B$19+AL56-Results!$D$21</f>
        <v/>
      </c>
      <c r="BM56" s="64" t="n">
        <v>61</v>
      </c>
      <c r="BN56" s="64">
        <f>Results!D71</f>
        <v/>
      </c>
      <c r="BO56" s="64">
        <f>Results!E71</f>
        <v/>
      </c>
      <c r="BP56" s="64">
        <f>Results!F71</f>
        <v/>
      </c>
      <c r="BS56" s="64" t="n">
        <v>61</v>
      </c>
      <c r="BT56" s="64">
        <f>Demand!AU74</f>
        <v/>
      </c>
      <c r="BU56" s="64">
        <f>Demand!AV74</f>
        <v/>
      </c>
      <c r="BV56" s="64">
        <f>Demand!AW74</f>
        <v/>
      </c>
      <c r="BY56" s="64" t="n">
        <v>61</v>
      </c>
      <c r="BZ56" s="64">
        <f>Retailers_Cap!N57</f>
        <v/>
      </c>
      <c r="CA56" s="64">
        <f>Retailers_Cap!O57</f>
        <v/>
      </c>
      <c r="CB56" s="64">
        <f>Retailers_Cap!P57</f>
        <v/>
      </c>
      <c r="CD56" s="64" t="n">
        <v>61</v>
      </c>
      <c r="CE56" s="64">
        <f>IF((BT56-BZ56)&gt;=0,"Dem","Folga")</f>
        <v/>
      </c>
      <c r="CF56" s="64">
        <f>IF((BU56-CA56)&gt;=0,"Dem","Folga")</f>
        <v/>
      </c>
      <c r="CG56" s="64">
        <f>IF((BV56-CB56)&gt;=0,"Dem","Folga")</f>
        <v/>
      </c>
    </row>
    <row r="57">
      <c r="M57" s="64">
        <f>TRUNC((_xlfn.NORM.INV((RAND()),$L$6,$L$7)),2)</f>
        <v/>
      </c>
      <c r="O57" s="64" t="n">
        <v>62</v>
      </c>
      <c r="P57" s="5" t="n">
        <v>153.84</v>
      </c>
      <c r="Q57" s="5" t="n">
        <v>147.73</v>
      </c>
      <c r="R57" s="5" t="n">
        <v>220.09</v>
      </c>
      <c r="W57" s="64">
        <f>TRUNC((_xlfn.NORM.INV((RAND()),$V$6,$V$7)),3)</f>
        <v/>
      </c>
      <c r="Y57" s="64" t="n">
        <v>62</v>
      </c>
      <c r="Z57" s="5" t="n">
        <v>6.724</v>
      </c>
      <c r="AA57" s="5" t="n">
        <v>6.772</v>
      </c>
      <c r="AB57" s="5" t="n">
        <v>6.766</v>
      </c>
      <c r="AG57" s="64">
        <f>TRUNC((_xlfn.NORM.INV((RAND()),$AF$6,$AF$7)),3)</f>
        <v/>
      </c>
      <c r="AI57" s="64" t="n">
        <v>62</v>
      </c>
      <c r="AJ57" s="5" t="n">
        <v>65.672</v>
      </c>
      <c r="AK57" s="5" t="n">
        <v>61.337</v>
      </c>
      <c r="AL57" s="5" t="n">
        <v>64.488</v>
      </c>
      <c r="AR57" s="64" t="n">
        <v>62</v>
      </c>
      <c r="AS57" s="5" t="n">
        <v>0</v>
      </c>
      <c r="AT57" s="5" t="n">
        <v>0</v>
      </c>
      <c r="AU57" s="5" t="n">
        <v>0</v>
      </c>
      <c r="AW57" s="64">
        <f>Z57/Demand!AU75</f>
        <v/>
      </c>
      <c r="AX57" s="64">
        <f>AA57/Demand!AV75</f>
        <v/>
      </c>
      <c r="AY57" s="64">
        <f>AB57/Demand!AW75</f>
        <v/>
      </c>
      <c r="BG57" s="64" t="n">
        <v>62</v>
      </c>
      <c r="BH57" s="64">
        <f>Results!$B$19+AJ57-Results!$D$21</f>
        <v/>
      </c>
      <c r="BI57" s="64">
        <f>Results!$B$19+AK57-Results!$D$21</f>
        <v/>
      </c>
      <c r="BJ57" s="64">
        <f>Results!$B$19+AL57-Results!$D$21</f>
        <v/>
      </c>
      <c r="BM57" s="64" t="n">
        <v>62</v>
      </c>
      <c r="BN57" s="64">
        <f>Results!D72</f>
        <v/>
      </c>
      <c r="BO57" s="64">
        <f>Results!E72</f>
        <v/>
      </c>
      <c r="BP57" s="64">
        <f>Results!F72</f>
        <v/>
      </c>
      <c r="BS57" s="64" t="n">
        <v>62</v>
      </c>
      <c r="BT57" s="64">
        <f>Demand!AU75</f>
        <v/>
      </c>
      <c r="BU57" s="64">
        <f>Demand!AV75</f>
        <v/>
      </c>
      <c r="BV57" s="64">
        <f>Demand!AW75</f>
        <v/>
      </c>
      <c r="BY57" s="64" t="n">
        <v>62</v>
      </c>
      <c r="BZ57" s="64">
        <f>Retailers_Cap!N58</f>
        <v/>
      </c>
      <c r="CA57" s="64">
        <f>Retailers_Cap!O58</f>
        <v/>
      </c>
      <c r="CB57" s="64">
        <f>Retailers_Cap!P58</f>
        <v/>
      </c>
      <c r="CD57" s="64" t="n">
        <v>62</v>
      </c>
      <c r="CE57" s="64">
        <f>IF((BT57-BZ57)&gt;=0,"Dem","Folga")</f>
        <v/>
      </c>
      <c r="CF57" s="64">
        <f>IF((BU57-CA57)&gt;=0,"Dem","Folga")</f>
        <v/>
      </c>
      <c r="CG57" s="64">
        <f>IF((BV57-CB57)&gt;=0,"Dem","Folga")</f>
        <v/>
      </c>
    </row>
    <row r="58">
      <c r="M58" s="64">
        <f>TRUNC((_xlfn.NORM.INV((RAND()),$L$6,$L$7)),2)</f>
        <v/>
      </c>
      <c r="O58" s="64" t="n">
        <v>63</v>
      </c>
      <c r="P58" s="5" t="n">
        <v>179.88</v>
      </c>
      <c r="Q58" s="5" t="n">
        <v>198.66</v>
      </c>
      <c r="R58" s="5" t="n">
        <v>204.58</v>
      </c>
      <c r="W58" s="64">
        <f>TRUNC((_xlfn.NORM.INV((RAND()),$V$6,$V$7)),3)</f>
        <v/>
      </c>
      <c r="Y58" s="64" t="n">
        <v>63</v>
      </c>
      <c r="Z58" s="5" t="n">
        <v>6.819</v>
      </c>
      <c r="AA58" s="5" t="n">
        <v>6.739</v>
      </c>
      <c r="AB58" s="5" t="n">
        <v>6.729</v>
      </c>
      <c r="AG58" s="64">
        <f>TRUNC((_xlfn.NORM.INV((RAND()),$AF$6,$AF$7)),3)</f>
        <v/>
      </c>
      <c r="AI58" s="64" t="n">
        <v>63</v>
      </c>
      <c r="AJ58" s="5" t="n">
        <v>62.047</v>
      </c>
      <c r="AK58" s="5" t="n">
        <v>83.80800000000001</v>
      </c>
      <c r="AL58" s="5" t="n">
        <v>61.121</v>
      </c>
      <c r="AR58" s="64" t="n">
        <v>63</v>
      </c>
      <c r="AS58" s="5" t="n">
        <v>0</v>
      </c>
      <c r="AT58" s="5" t="n">
        <v>0</v>
      </c>
      <c r="AU58" s="5" t="n">
        <v>0</v>
      </c>
      <c r="AW58" s="64">
        <f>Z58/Demand!AU76</f>
        <v/>
      </c>
      <c r="AX58" s="64">
        <f>AA58/Demand!AV76</f>
        <v/>
      </c>
      <c r="AY58" s="64">
        <f>AB58/Demand!AW76</f>
        <v/>
      </c>
      <c r="BG58" s="64" t="n">
        <v>63</v>
      </c>
      <c r="BH58" s="64">
        <f>Results!$B$19+AJ58-Results!$D$21</f>
        <v/>
      </c>
      <c r="BI58" s="64">
        <f>Results!$B$19+AK58-Results!$D$21</f>
        <v/>
      </c>
      <c r="BJ58" s="64">
        <f>Results!$B$19+AL58-Results!$D$21</f>
        <v/>
      </c>
      <c r="BM58" s="64" t="n">
        <v>63</v>
      </c>
      <c r="BN58" s="64">
        <f>Results!D73</f>
        <v/>
      </c>
      <c r="BO58" s="64">
        <f>Results!E73</f>
        <v/>
      </c>
      <c r="BP58" s="64">
        <f>Results!F73</f>
        <v/>
      </c>
      <c r="BS58" s="64" t="n">
        <v>63</v>
      </c>
      <c r="BT58" s="64">
        <f>Demand!AU76</f>
        <v/>
      </c>
      <c r="BU58" s="64">
        <f>Demand!AV76</f>
        <v/>
      </c>
      <c r="BV58" s="64">
        <f>Demand!AW76</f>
        <v/>
      </c>
      <c r="BY58" s="64" t="n">
        <v>63</v>
      </c>
      <c r="BZ58" s="64">
        <f>Retailers_Cap!N59</f>
        <v/>
      </c>
      <c r="CA58" s="64">
        <f>Retailers_Cap!O59</f>
        <v/>
      </c>
      <c r="CB58" s="64">
        <f>Retailers_Cap!P59</f>
        <v/>
      </c>
      <c r="CD58" s="64" t="n">
        <v>63</v>
      </c>
      <c r="CE58" s="64">
        <f>IF((BT58-BZ58)&gt;=0,"Dem","Folga")</f>
        <v/>
      </c>
      <c r="CF58" s="64">
        <f>IF((BU58-CA58)&gt;=0,"Dem","Folga")</f>
        <v/>
      </c>
      <c r="CG58" s="64">
        <f>IF((BV58-CB58)&gt;=0,"Dem","Folga")</f>
        <v/>
      </c>
    </row>
    <row r="59">
      <c r="M59" s="64">
        <f>TRUNC((_xlfn.NORM.INV((RAND()),$L$6,$L$7)),2)</f>
        <v/>
      </c>
      <c r="O59" s="64" t="n">
        <v>64</v>
      </c>
      <c r="P59" s="5" t="n">
        <v>134.34</v>
      </c>
      <c r="Q59" s="5" t="n">
        <v>194.38</v>
      </c>
      <c r="R59" s="5" t="n">
        <v>218.67</v>
      </c>
      <c r="W59" s="64">
        <f>TRUNC((_xlfn.NORM.INV((RAND()),$V$6,$V$7)),3)</f>
        <v/>
      </c>
      <c r="Y59" s="64" t="n">
        <v>64</v>
      </c>
      <c r="Z59" s="5" t="n">
        <v>6.752</v>
      </c>
      <c r="AA59" s="5" t="n">
        <v>6.616</v>
      </c>
      <c r="AB59" s="5" t="n">
        <v>6.752</v>
      </c>
      <c r="AG59" s="64">
        <f>TRUNC((_xlfn.NORM.INV((RAND()),$AF$6,$AF$7)),3)</f>
        <v/>
      </c>
      <c r="AI59" s="64" t="n">
        <v>64</v>
      </c>
      <c r="AJ59" s="5" t="n">
        <v>68.32899999999999</v>
      </c>
      <c r="AK59" s="5" t="n">
        <v>45.112</v>
      </c>
      <c r="AL59" s="5" t="n">
        <v>50.708</v>
      </c>
      <c r="AR59" s="64" t="n">
        <v>64</v>
      </c>
      <c r="AS59" s="5" t="n">
        <v>0</v>
      </c>
      <c r="AT59" s="5" t="n">
        <v>19.4853680968678</v>
      </c>
      <c r="AU59" s="5" t="n">
        <v>0</v>
      </c>
      <c r="AW59" s="64">
        <f>Z59/Demand!AU77</f>
        <v/>
      </c>
      <c r="AX59" s="64">
        <f>AA59/Demand!AV77</f>
        <v/>
      </c>
      <c r="AY59" s="64">
        <f>AB59/Demand!AW77</f>
        <v/>
      </c>
      <c r="BG59" s="64" t="n">
        <v>64</v>
      </c>
      <c r="BH59" s="64">
        <f>Results!$B$19+AJ59-Results!$D$21</f>
        <v/>
      </c>
      <c r="BI59" s="64">
        <f>Results!$B$19+AK59-Results!$D$21</f>
        <v/>
      </c>
      <c r="BJ59" s="64">
        <f>Results!$B$19+AL59-Results!$D$21</f>
        <v/>
      </c>
      <c r="BM59" s="64" t="n">
        <v>64</v>
      </c>
      <c r="BN59" s="64">
        <f>Results!D74</f>
        <v/>
      </c>
      <c r="BO59" s="64">
        <f>Results!E74</f>
        <v/>
      </c>
      <c r="BP59" s="64">
        <f>Results!F74</f>
        <v/>
      </c>
      <c r="BS59" s="64" t="n">
        <v>64</v>
      </c>
      <c r="BT59" s="64">
        <f>Demand!AU77</f>
        <v/>
      </c>
      <c r="BU59" s="64">
        <f>Demand!AV77</f>
        <v/>
      </c>
      <c r="BV59" s="64">
        <f>Demand!AW77</f>
        <v/>
      </c>
      <c r="BY59" s="64" t="n">
        <v>64</v>
      </c>
      <c r="BZ59" s="64">
        <f>Retailers_Cap!N60</f>
        <v/>
      </c>
      <c r="CA59" s="64">
        <f>Retailers_Cap!O60</f>
        <v/>
      </c>
      <c r="CB59" s="64">
        <f>Retailers_Cap!P60</f>
        <v/>
      </c>
      <c r="CD59" s="64" t="n">
        <v>64</v>
      </c>
      <c r="CE59" s="64">
        <f>IF((BT59-BZ59)&gt;=0,"Dem","Folga")</f>
        <v/>
      </c>
      <c r="CF59" s="64">
        <f>IF((BU59-CA59)&gt;=0,"Dem","Folga")</f>
        <v/>
      </c>
      <c r="CG59" s="64">
        <f>IF((BV59-CB59)&gt;=0,"Dem","Folga")</f>
        <v/>
      </c>
    </row>
    <row r="60">
      <c r="M60" s="64">
        <f>TRUNC((_xlfn.NORM.INV((RAND()),$L$6,$L$7)),2)</f>
        <v/>
      </c>
      <c r="O60" s="64" t="n">
        <v>65</v>
      </c>
      <c r="P60" s="5" t="n">
        <v>233.23</v>
      </c>
      <c r="Q60" s="5" t="n">
        <v>227.12</v>
      </c>
      <c r="R60" s="5" t="n">
        <v>240.03</v>
      </c>
      <c r="W60" s="64">
        <f>TRUNC((_xlfn.NORM.INV((RAND()),$V$6,$V$7)),3)</f>
        <v/>
      </c>
      <c r="Y60" s="64" t="n">
        <v>65</v>
      </c>
      <c r="Z60" s="5" t="n">
        <v>6.828</v>
      </c>
      <c r="AA60" s="5" t="n">
        <v>6.637</v>
      </c>
      <c r="AB60" s="5" t="n">
        <v>6.713</v>
      </c>
      <c r="AG60" s="64">
        <f>TRUNC((_xlfn.NORM.INV((RAND()),$AF$6,$AF$7)),3)</f>
        <v/>
      </c>
      <c r="AI60" s="64" t="n">
        <v>65</v>
      </c>
      <c r="AJ60" s="5" t="n">
        <v>63.759</v>
      </c>
      <c r="AK60" s="5" t="n">
        <v>30.786</v>
      </c>
      <c r="AL60" s="5" t="n">
        <v>44.338</v>
      </c>
      <c r="AR60" s="64" t="n">
        <v>65</v>
      </c>
      <c r="AS60" s="5" t="n">
        <v>0</v>
      </c>
      <c r="AT60" s="5" t="n">
        <v>0</v>
      </c>
      <c r="AU60" s="5" t="n">
        <v>0</v>
      </c>
      <c r="AW60" s="64">
        <f>Z60/Demand!AU78</f>
        <v/>
      </c>
      <c r="AX60" s="64">
        <f>AA60/Demand!AV78</f>
        <v/>
      </c>
      <c r="AY60" s="64">
        <f>AB60/Demand!AW78</f>
        <v/>
      </c>
      <c r="BG60" s="64" t="n">
        <v>65</v>
      </c>
      <c r="BH60" s="64">
        <f>Results!$B$19+AJ60-Results!$D$21</f>
        <v/>
      </c>
      <c r="BI60" s="64">
        <f>Results!$B$19+AK60-Results!$D$21</f>
        <v/>
      </c>
      <c r="BJ60" s="64">
        <f>Results!$B$19+AL60-Results!$D$21</f>
        <v/>
      </c>
      <c r="BM60" s="64" t="n">
        <v>65</v>
      </c>
      <c r="BN60" s="64">
        <f>Results!D75</f>
        <v/>
      </c>
      <c r="BO60" s="64">
        <f>Results!E75</f>
        <v/>
      </c>
      <c r="BP60" s="64">
        <f>Results!F75</f>
        <v/>
      </c>
      <c r="BS60" s="64" t="n">
        <v>65</v>
      </c>
      <c r="BT60" s="64">
        <f>Demand!AU78</f>
        <v/>
      </c>
      <c r="BU60" s="64">
        <f>Demand!AV78</f>
        <v/>
      </c>
      <c r="BV60" s="64">
        <f>Demand!AW78</f>
        <v/>
      </c>
      <c r="BY60" s="64" t="n">
        <v>65</v>
      </c>
      <c r="BZ60" s="64">
        <f>Retailers_Cap!N61</f>
        <v/>
      </c>
      <c r="CA60" s="64">
        <f>Retailers_Cap!O61</f>
        <v/>
      </c>
      <c r="CB60" s="64">
        <f>Retailers_Cap!P61</f>
        <v/>
      </c>
      <c r="CD60" s="64" t="n">
        <v>65</v>
      </c>
      <c r="CE60" s="64">
        <f>IF((BT60-BZ60)&gt;=0,"Dem","Folga")</f>
        <v/>
      </c>
      <c r="CF60" s="64">
        <f>IF((BU60-CA60)&gt;=0,"Dem","Folga")</f>
        <v/>
      </c>
      <c r="CG60" s="64">
        <f>IF((BV60-CB60)&gt;=0,"Dem","Folga")</f>
        <v/>
      </c>
    </row>
    <row r="61">
      <c r="M61" s="64">
        <f>TRUNC((_xlfn.NORM.INV((RAND()),$L$6,$L$7)),2)</f>
        <v/>
      </c>
      <c r="O61" s="64" t="n">
        <v>66</v>
      </c>
      <c r="P61" s="5" t="n">
        <v>237.92</v>
      </c>
      <c r="Q61" s="5" t="n">
        <v>199.8</v>
      </c>
      <c r="R61" s="5" t="n">
        <v>136.95</v>
      </c>
      <c r="W61" s="64">
        <f>TRUNC((_xlfn.NORM.INV((RAND()),$V$6,$V$7)),3)</f>
        <v/>
      </c>
      <c r="Y61" s="64" t="n">
        <v>66</v>
      </c>
      <c r="Z61" s="5" t="n">
        <v>6.795</v>
      </c>
      <c r="AA61" s="5" t="n">
        <v>6.687</v>
      </c>
      <c r="AB61" s="5" t="n">
        <v>6.639</v>
      </c>
      <c r="AG61" s="64">
        <f>TRUNC((_xlfn.NORM.INV((RAND()),$AF$6,$AF$7)),3)</f>
        <v/>
      </c>
      <c r="AI61" s="64" t="n">
        <v>66</v>
      </c>
      <c r="AJ61" s="5" t="n">
        <v>74.389</v>
      </c>
      <c r="AK61" s="5" t="n">
        <v>42.252</v>
      </c>
      <c r="AL61" s="5" t="n">
        <v>68.027</v>
      </c>
      <c r="AR61" s="64" t="n">
        <v>66</v>
      </c>
      <c r="AS61" s="5" t="n">
        <v>0</v>
      </c>
      <c r="AT61" s="5" t="n">
        <v>0</v>
      </c>
      <c r="AU61" s="5" t="n">
        <v>8.469519874559609</v>
      </c>
      <c r="AW61" s="64">
        <f>Z61/Demand!AU79</f>
        <v/>
      </c>
      <c r="AX61" s="64">
        <f>AA61/Demand!AV79</f>
        <v/>
      </c>
      <c r="AY61" s="64">
        <f>AB61/Demand!AW79</f>
        <v/>
      </c>
      <c r="BG61" s="64" t="n">
        <v>66</v>
      </c>
      <c r="BH61" s="64">
        <f>Results!$B$19+AJ61-Results!$D$21</f>
        <v/>
      </c>
      <c r="BI61" s="64">
        <f>Results!$B$19+AK61-Results!$D$21</f>
        <v/>
      </c>
      <c r="BJ61" s="64">
        <f>Results!$B$19+AL61-Results!$D$21</f>
        <v/>
      </c>
      <c r="BM61" s="64" t="n">
        <v>66</v>
      </c>
      <c r="BN61" s="64">
        <f>Results!D76</f>
        <v/>
      </c>
      <c r="BO61" s="64">
        <f>Results!E76</f>
        <v/>
      </c>
      <c r="BP61" s="64">
        <f>Results!F76</f>
        <v/>
      </c>
      <c r="BS61" s="64" t="n">
        <v>66</v>
      </c>
      <c r="BT61" s="64">
        <f>Demand!AU79</f>
        <v/>
      </c>
      <c r="BU61" s="64">
        <f>Demand!AV79</f>
        <v/>
      </c>
      <c r="BV61" s="64">
        <f>Demand!AW79</f>
        <v/>
      </c>
      <c r="BY61" s="64" t="n">
        <v>66</v>
      </c>
      <c r="BZ61" s="64">
        <f>Retailers_Cap!N62</f>
        <v/>
      </c>
      <c r="CA61" s="64">
        <f>Retailers_Cap!O62</f>
        <v/>
      </c>
      <c r="CB61" s="64">
        <f>Retailers_Cap!P62</f>
        <v/>
      </c>
      <c r="CD61" s="64" t="n">
        <v>66</v>
      </c>
      <c r="CE61" s="64">
        <f>IF((BT61-BZ61)&gt;=0,"Dem","Folga")</f>
        <v/>
      </c>
      <c r="CF61" s="64">
        <f>IF((BU61-CA61)&gt;=0,"Dem","Folga")</f>
        <v/>
      </c>
      <c r="CG61" s="64">
        <f>IF((BV61-CB61)&gt;=0,"Dem","Folga")</f>
        <v/>
      </c>
    </row>
    <row r="62">
      <c r="M62" s="64">
        <f>TRUNC((_xlfn.NORM.INV((RAND()),$L$6,$L$7)),2)</f>
        <v/>
      </c>
      <c r="O62" s="64" t="n">
        <v>67</v>
      </c>
      <c r="P62" s="5" t="n">
        <v>236.67</v>
      </c>
      <c r="Q62" s="5" t="n">
        <v>235.47</v>
      </c>
      <c r="R62" s="5" t="n">
        <v>191.64</v>
      </c>
      <c r="W62" s="64">
        <f>TRUNC((_xlfn.NORM.INV((RAND()),$V$6,$V$7)),3)</f>
        <v/>
      </c>
      <c r="Y62" s="64" t="n">
        <v>67</v>
      </c>
      <c r="Z62" s="5" t="n">
        <v>6.745</v>
      </c>
      <c r="AA62" s="5" t="n">
        <v>6.866</v>
      </c>
      <c r="AB62" s="5" t="n">
        <v>6.71</v>
      </c>
      <c r="AG62" s="64">
        <f>TRUNC((_xlfn.NORM.INV((RAND()),$AF$6,$AF$7)),3)</f>
        <v/>
      </c>
      <c r="AI62" s="64" t="n">
        <v>67</v>
      </c>
      <c r="AJ62" s="5" t="n">
        <v>75.634</v>
      </c>
      <c r="AK62" s="5" t="n">
        <v>67.55500000000001</v>
      </c>
      <c r="AL62" s="5" t="n">
        <v>51.78</v>
      </c>
      <c r="AR62" s="64" t="n">
        <v>67</v>
      </c>
      <c r="AS62" s="5" t="n">
        <v>0</v>
      </c>
      <c r="AT62" s="5" t="n">
        <v>0</v>
      </c>
      <c r="AU62" s="5" t="n">
        <v>0</v>
      </c>
      <c r="AW62" s="64">
        <f>Z62/Demand!AU80</f>
        <v/>
      </c>
      <c r="AX62" s="64">
        <f>AA62/Demand!AV80</f>
        <v/>
      </c>
      <c r="AY62" s="64">
        <f>AB62/Demand!AW80</f>
        <v/>
      </c>
      <c r="BG62" s="64" t="n">
        <v>67</v>
      </c>
      <c r="BH62" s="64">
        <f>Results!$B$19+AJ62-Results!$D$21</f>
        <v/>
      </c>
      <c r="BI62" s="64">
        <f>Results!$B$19+AK62-Results!$D$21</f>
        <v/>
      </c>
      <c r="BJ62" s="64">
        <f>Results!$B$19+AL62-Results!$D$21</f>
        <v/>
      </c>
      <c r="BM62" s="64" t="n">
        <v>67</v>
      </c>
      <c r="BN62" s="64">
        <f>Results!D77</f>
        <v/>
      </c>
      <c r="BO62" s="64">
        <f>Results!E77</f>
        <v/>
      </c>
      <c r="BP62" s="64">
        <f>Results!F77</f>
        <v/>
      </c>
      <c r="BS62" s="64" t="n">
        <v>67</v>
      </c>
      <c r="BT62" s="64">
        <f>Demand!AU80</f>
        <v/>
      </c>
      <c r="BU62" s="64">
        <f>Demand!AV80</f>
        <v/>
      </c>
      <c r="BV62" s="64">
        <f>Demand!AW80</f>
        <v/>
      </c>
      <c r="BY62" s="64" t="n">
        <v>67</v>
      </c>
      <c r="BZ62" s="64">
        <f>Retailers_Cap!N63</f>
        <v/>
      </c>
      <c r="CA62" s="64">
        <f>Retailers_Cap!O63</f>
        <v/>
      </c>
      <c r="CB62" s="64">
        <f>Retailers_Cap!P63</f>
        <v/>
      </c>
      <c r="CD62" s="64" t="n">
        <v>67</v>
      </c>
      <c r="CE62" s="64">
        <f>IF((BT62-BZ62)&gt;=0,"Dem","Folga")</f>
        <v/>
      </c>
      <c r="CF62" s="64">
        <f>IF((BU62-CA62)&gt;=0,"Dem","Folga")</f>
        <v/>
      </c>
      <c r="CG62" s="64">
        <f>IF((BV62-CB62)&gt;=0,"Dem","Folga")</f>
        <v/>
      </c>
    </row>
    <row r="63">
      <c r="M63" s="64">
        <f>TRUNC((_xlfn.NORM.INV((RAND()),$L$6,$L$7)),2)</f>
        <v/>
      </c>
      <c r="O63" s="64" t="n">
        <v>68</v>
      </c>
      <c r="P63" s="5" t="n">
        <v>185.34</v>
      </c>
      <c r="Q63" s="5" t="n">
        <v>223.95</v>
      </c>
      <c r="R63" s="5" t="n">
        <v>213.36</v>
      </c>
      <c r="W63" s="64">
        <f>TRUNC((_xlfn.NORM.INV((RAND()),$V$6,$V$7)),3)</f>
        <v/>
      </c>
      <c r="Y63" s="64" t="n">
        <v>68</v>
      </c>
      <c r="Z63" s="5" t="n">
        <v>6.714</v>
      </c>
      <c r="AA63" s="5" t="n">
        <v>6.708</v>
      </c>
      <c r="AB63" s="5" t="n">
        <v>6.823</v>
      </c>
      <c r="AG63" s="64">
        <f>TRUNC((_xlfn.NORM.INV((RAND()),$AF$6,$AF$7)),3)</f>
        <v/>
      </c>
      <c r="AI63" s="64" t="n">
        <v>68</v>
      </c>
      <c r="AJ63" s="5" t="n">
        <v>44.333</v>
      </c>
      <c r="AK63" s="5" t="n">
        <v>80.464</v>
      </c>
      <c r="AL63" s="5" t="n">
        <v>68.33499999999999</v>
      </c>
      <c r="AR63" s="64" t="n">
        <v>68</v>
      </c>
      <c r="AS63" s="5" t="n">
        <v>0</v>
      </c>
      <c r="AT63" s="5" t="n">
        <v>0</v>
      </c>
      <c r="AU63" s="5" t="n">
        <v>11.64802275210623</v>
      </c>
      <c r="AW63" s="64">
        <f>Z63/Demand!AU81</f>
        <v/>
      </c>
      <c r="AX63" s="64">
        <f>AA63/Demand!AV81</f>
        <v/>
      </c>
      <c r="AY63" s="64">
        <f>AB63/Demand!AW81</f>
        <v/>
      </c>
      <c r="BG63" s="64" t="n">
        <v>68</v>
      </c>
      <c r="BH63" s="64">
        <f>Results!$B$19+AJ63-Results!$D$21</f>
        <v/>
      </c>
      <c r="BI63" s="64">
        <f>Results!$B$19+AK63-Results!$D$21</f>
        <v/>
      </c>
      <c r="BJ63" s="64">
        <f>Results!$B$19+AL63-Results!$D$21</f>
        <v/>
      </c>
      <c r="BM63" s="64" t="n">
        <v>68</v>
      </c>
      <c r="BN63" s="64">
        <f>Results!D78</f>
        <v/>
      </c>
      <c r="BO63" s="64">
        <f>Results!E78</f>
        <v/>
      </c>
      <c r="BP63" s="64">
        <f>Results!F78</f>
        <v/>
      </c>
      <c r="BS63" s="64" t="n">
        <v>68</v>
      </c>
      <c r="BT63" s="64">
        <f>Demand!AU81</f>
        <v/>
      </c>
      <c r="BU63" s="64">
        <f>Demand!AV81</f>
        <v/>
      </c>
      <c r="BV63" s="64">
        <f>Demand!AW81</f>
        <v/>
      </c>
      <c r="BY63" s="64" t="n">
        <v>68</v>
      </c>
      <c r="BZ63" s="64">
        <f>Retailers_Cap!N64</f>
        <v/>
      </c>
      <c r="CA63" s="64">
        <f>Retailers_Cap!O64</f>
        <v/>
      </c>
      <c r="CB63" s="64">
        <f>Retailers_Cap!P64</f>
        <v/>
      </c>
      <c r="CD63" s="64" t="n">
        <v>68</v>
      </c>
      <c r="CE63" s="64">
        <f>IF((BT63-BZ63)&gt;=0,"Dem","Folga")</f>
        <v/>
      </c>
      <c r="CF63" s="64">
        <f>IF((BU63-CA63)&gt;=0,"Dem","Folga")</f>
        <v/>
      </c>
      <c r="CG63" s="64">
        <f>IF((BV63-CB63)&gt;=0,"Dem","Folga")</f>
        <v/>
      </c>
    </row>
    <row r="64">
      <c r="M64" s="64">
        <f>TRUNC((_xlfn.NORM.INV((RAND()),$L$6,$L$7)),2)</f>
        <v/>
      </c>
      <c r="O64" s="64" t="n">
        <v>69</v>
      </c>
      <c r="P64" s="5" t="n">
        <v>200.56</v>
      </c>
      <c r="Q64" s="5" t="n">
        <v>252.49</v>
      </c>
      <c r="R64" s="5" t="n">
        <v>255.21</v>
      </c>
      <c r="W64" s="64">
        <f>TRUNC((_xlfn.NORM.INV((RAND()),$V$6,$V$7)),3)</f>
        <v/>
      </c>
      <c r="Y64" s="64" t="n">
        <v>69</v>
      </c>
      <c r="Z64" s="5" t="n">
        <v>6.803</v>
      </c>
      <c r="AA64" s="5" t="n">
        <v>6.765</v>
      </c>
      <c r="AB64" s="5" t="n">
        <v>6.627</v>
      </c>
      <c r="AG64" s="64">
        <f>TRUNC((_xlfn.NORM.INV((RAND()),$AF$6,$AF$7)),3)</f>
        <v/>
      </c>
      <c r="AI64" s="64" t="n">
        <v>69</v>
      </c>
      <c r="AJ64" s="5" t="n">
        <v>52.518</v>
      </c>
      <c r="AK64" s="5" t="n">
        <v>46.987</v>
      </c>
      <c r="AL64" s="5" t="n">
        <v>71.907</v>
      </c>
      <c r="AR64" s="64" t="n">
        <v>69</v>
      </c>
      <c r="AS64" s="5" t="n">
        <v>9.339036035577262</v>
      </c>
      <c r="AT64" s="5" t="n">
        <v>0</v>
      </c>
      <c r="AU64" s="5" t="n">
        <v>2.494671411011074</v>
      </c>
      <c r="AW64" s="64">
        <f>Z64/Demand!AU82</f>
        <v/>
      </c>
      <c r="AX64" s="64">
        <f>AA64/Demand!AV82</f>
        <v/>
      </c>
      <c r="AY64" s="64">
        <f>AB64/Demand!AW82</f>
        <v/>
      </c>
      <c r="BG64" s="64" t="n">
        <v>69</v>
      </c>
      <c r="BH64" s="64">
        <f>Results!$B$19+AJ64-Results!$D$21</f>
        <v/>
      </c>
      <c r="BI64" s="64">
        <f>Results!$B$19+AK64-Results!$D$21</f>
        <v/>
      </c>
      <c r="BJ64" s="64">
        <f>Results!$B$19+AL64-Results!$D$21</f>
        <v/>
      </c>
      <c r="BM64" s="64" t="n">
        <v>69</v>
      </c>
      <c r="BN64" s="64">
        <f>Results!D79</f>
        <v/>
      </c>
      <c r="BO64" s="64">
        <f>Results!E79</f>
        <v/>
      </c>
      <c r="BP64" s="64">
        <f>Results!F79</f>
        <v/>
      </c>
      <c r="BS64" s="64" t="n">
        <v>69</v>
      </c>
      <c r="BT64" s="64">
        <f>Demand!AU82</f>
        <v/>
      </c>
      <c r="BU64" s="64">
        <f>Demand!AV82</f>
        <v/>
      </c>
      <c r="BV64" s="64">
        <f>Demand!AW82</f>
        <v/>
      </c>
      <c r="BY64" s="64" t="n">
        <v>69</v>
      </c>
      <c r="BZ64" s="64">
        <f>Retailers_Cap!N65</f>
        <v/>
      </c>
      <c r="CA64" s="64">
        <f>Retailers_Cap!O65</f>
        <v/>
      </c>
      <c r="CB64" s="64">
        <f>Retailers_Cap!P65</f>
        <v/>
      </c>
      <c r="CD64" s="64" t="n">
        <v>69</v>
      </c>
      <c r="CE64" s="64">
        <f>IF((BT64-BZ64)&gt;=0,"Dem","Folga")</f>
        <v/>
      </c>
      <c r="CF64" s="64">
        <f>IF((BU64-CA64)&gt;=0,"Dem","Folga")</f>
        <v/>
      </c>
      <c r="CG64" s="64">
        <f>IF((BV64-CB64)&gt;=0,"Dem","Folga")</f>
        <v/>
      </c>
    </row>
    <row r="65">
      <c r="M65" s="64">
        <f>TRUNC((_xlfn.NORM.INV((RAND()),$L$6,$L$7)),2)</f>
        <v/>
      </c>
      <c r="O65" s="64" t="n">
        <v>70</v>
      </c>
      <c r="P65" s="5" t="n">
        <v>150.04</v>
      </c>
      <c r="Q65" s="5" t="n">
        <v>209.78</v>
      </c>
      <c r="R65" s="5" t="n">
        <v>187.72</v>
      </c>
      <c r="W65" s="64">
        <f>TRUNC((_xlfn.NORM.INV((RAND()),$V$6,$V$7)),3)</f>
        <v/>
      </c>
      <c r="Y65" s="64" t="n">
        <v>70</v>
      </c>
      <c r="Z65" s="5" t="n">
        <v>6.694</v>
      </c>
      <c r="AA65" s="5" t="n">
        <v>6.787</v>
      </c>
      <c r="AB65" s="5" t="n">
        <v>6.677</v>
      </c>
      <c r="AG65" s="64">
        <f>TRUNC((_xlfn.NORM.INV((RAND()),$AF$6,$AF$7)),3)</f>
        <v/>
      </c>
      <c r="AI65" s="64" t="n">
        <v>70</v>
      </c>
      <c r="AJ65" s="5" t="n">
        <v>66.559</v>
      </c>
      <c r="AK65" s="5" t="n">
        <v>57.061</v>
      </c>
      <c r="AL65" s="5" t="n">
        <v>55.862</v>
      </c>
      <c r="AR65" s="64" t="n">
        <v>70</v>
      </c>
      <c r="AS65" s="5" t="n">
        <v>0</v>
      </c>
      <c r="AT65" s="5" t="n">
        <v>0</v>
      </c>
      <c r="AU65" s="5" t="n">
        <v>0</v>
      </c>
      <c r="AW65" s="64">
        <f>Z65/Demand!AU83</f>
        <v/>
      </c>
      <c r="AX65" s="64">
        <f>AA65/Demand!AV83</f>
        <v/>
      </c>
      <c r="AY65" s="64">
        <f>AB65/Demand!AW83</f>
        <v/>
      </c>
      <c r="BG65" s="64" t="n">
        <v>70</v>
      </c>
      <c r="BH65" s="64">
        <f>Results!$B$19+AJ65-Results!$D$21</f>
        <v/>
      </c>
      <c r="BI65" s="64">
        <f>Results!$B$19+AK65-Results!$D$21</f>
        <v/>
      </c>
      <c r="BJ65" s="64">
        <f>Results!$B$19+AL65-Results!$D$21</f>
        <v/>
      </c>
      <c r="BM65" s="64" t="n">
        <v>70</v>
      </c>
      <c r="BN65" s="64">
        <f>Results!D80</f>
        <v/>
      </c>
      <c r="BO65" s="64">
        <f>Results!E80</f>
        <v/>
      </c>
      <c r="BP65" s="64">
        <f>Results!F80</f>
        <v/>
      </c>
      <c r="BS65" s="64" t="n">
        <v>70</v>
      </c>
      <c r="BT65" s="64">
        <f>Demand!AU83</f>
        <v/>
      </c>
      <c r="BU65" s="64">
        <f>Demand!AV83</f>
        <v/>
      </c>
      <c r="BV65" s="64">
        <f>Demand!AW83</f>
        <v/>
      </c>
      <c r="BY65" s="64" t="n">
        <v>70</v>
      </c>
      <c r="BZ65" s="64">
        <f>Retailers_Cap!N66</f>
        <v/>
      </c>
      <c r="CA65" s="64">
        <f>Retailers_Cap!O66</f>
        <v/>
      </c>
      <c r="CB65" s="64">
        <f>Retailers_Cap!P66</f>
        <v/>
      </c>
      <c r="CD65" s="64" t="n">
        <v>70</v>
      </c>
      <c r="CE65" s="64">
        <f>IF((BT65-BZ65)&gt;=0,"Dem","Folga")</f>
        <v/>
      </c>
      <c r="CF65" s="64">
        <f>IF((BU65-CA65)&gt;=0,"Dem","Folga")</f>
        <v/>
      </c>
      <c r="CG65" s="64">
        <f>IF((BV65-CB65)&gt;=0,"Dem","Folga")</f>
        <v/>
      </c>
    </row>
    <row r="66">
      <c r="M66" s="64">
        <f>TRUNC((_xlfn.NORM.INV((RAND()),$L$6,$L$7)),2)</f>
        <v/>
      </c>
      <c r="O66" s="64" t="n">
        <v>71</v>
      </c>
      <c r="P66" s="5" t="n">
        <v>201</v>
      </c>
      <c r="Q66" s="5" t="n">
        <v>228.48</v>
      </c>
      <c r="R66" s="5" t="n">
        <v>260.06</v>
      </c>
      <c r="W66" s="64">
        <f>TRUNC((_xlfn.NORM.INV((RAND()),$V$6,$V$7)),3)</f>
        <v/>
      </c>
      <c r="Y66" s="64" t="n">
        <v>71</v>
      </c>
      <c r="Z66" s="5" t="n">
        <v>6.796</v>
      </c>
      <c r="AA66" s="5" t="n">
        <v>6.836</v>
      </c>
      <c r="AB66" s="5" t="n">
        <v>6.723</v>
      </c>
      <c r="AG66" s="64">
        <f>TRUNC((_xlfn.NORM.INV((RAND()),$AF$6,$AF$7)),3)</f>
        <v/>
      </c>
      <c r="AI66" s="64" t="n">
        <v>71</v>
      </c>
      <c r="AJ66" s="5" t="n">
        <v>61.114</v>
      </c>
      <c r="AK66" s="5" t="n">
        <v>49.637</v>
      </c>
      <c r="AL66" s="5" t="n">
        <v>61.122</v>
      </c>
      <c r="AR66" s="64" t="n">
        <v>71</v>
      </c>
      <c r="AS66" s="5" t="n">
        <v>0</v>
      </c>
      <c r="AT66" s="5" t="n">
        <v>10.37842827037662</v>
      </c>
      <c r="AU66" s="5" t="n">
        <v>10.68972568117868</v>
      </c>
      <c r="AW66" s="64">
        <f>Z66/Demand!AU84</f>
        <v/>
      </c>
      <c r="AX66" s="64">
        <f>AA66/Demand!AV84</f>
        <v/>
      </c>
      <c r="AY66" s="64">
        <f>AB66/Demand!AW84</f>
        <v/>
      </c>
      <c r="BG66" s="64" t="n">
        <v>71</v>
      </c>
      <c r="BH66" s="64">
        <f>Results!$B$19+AJ66-Results!$D$21</f>
        <v/>
      </c>
      <c r="BI66" s="64">
        <f>Results!$B$19+AK66-Results!$D$21</f>
        <v/>
      </c>
      <c r="BJ66" s="64">
        <f>Results!$B$19+AL66-Results!$D$21</f>
        <v/>
      </c>
      <c r="BM66" s="64" t="n">
        <v>71</v>
      </c>
      <c r="BN66" s="64">
        <f>Results!D81</f>
        <v/>
      </c>
      <c r="BO66" s="64">
        <f>Results!E81</f>
        <v/>
      </c>
      <c r="BP66" s="64">
        <f>Results!F81</f>
        <v/>
      </c>
      <c r="BS66" s="64" t="n">
        <v>71</v>
      </c>
      <c r="BT66" s="64">
        <f>Demand!AU84</f>
        <v/>
      </c>
      <c r="BU66" s="64">
        <f>Demand!AV84</f>
        <v/>
      </c>
      <c r="BV66" s="64">
        <f>Demand!AW84</f>
        <v/>
      </c>
      <c r="BY66" s="64" t="n">
        <v>71</v>
      </c>
      <c r="BZ66" s="64">
        <f>Retailers_Cap!N67</f>
        <v/>
      </c>
      <c r="CA66" s="64">
        <f>Retailers_Cap!O67</f>
        <v/>
      </c>
      <c r="CB66" s="64">
        <f>Retailers_Cap!P67</f>
        <v/>
      </c>
      <c r="CD66" s="64" t="n">
        <v>71</v>
      </c>
      <c r="CE66" s="64">
        <f>IF((BT66-BZ66)&gt;=0,"Dem","Folga")</f>
        <v/>
      </c>
      <c r="CF66" s="64">
        <f>IF((BU66-CA66)&gt;=0,"Dem","Folga")</f>
        <v/>
      </c>
      <c r="CG66" s="64">
        <f>IF((BV66-CB66)&gt;=0,"Dem","Folga")</f>
        <v/>
      </c>
    </row>
    <row r="67">
      <c r="M67" s="64">
        <f>TRUNC((_xlfn.NORM.INV((RAND()),$L$6,$L$7)),2)</f>
        <v/>
      </c>
      <c r="O67" s="64" t="n">
        <v>72</v>
      </c>
      <c r="P67" s="5" t="n">
        <v>211.35</v>
      </c>
      <c r="Q67" s="5" t="n">
        <v>166.19</v>
      </c>
      <c r="R67" s="5" t="n">
        <v>196.83</v>
      </c>
      <c r="W67" s="64">
        <f>TRUNC((_xlfn.NORM.INV((RAND()),$V$6,$V$7)),3)</f>
        <v/>
      </c>
      <c r="Y67" s="64" t="n">
        <v>72</v>
      </c>
      <c r="Z67" s="5" t="n">
        <v>6.722</v>
      </c>
      <c r="AA67" s="5" t="n">
        <v>6.633</v>
      </c>
      <c r="AB67" s="5" t="n">
        <v>6.751</v>
      </c>
      <c r="AG67" s="64">
        <f>TRUNC((_xlfn.NORM.INV((RAND()),$AF$6,$AF$7)),3)</f>
        <v/>
      </c>
      <c r="AI67" s="64" t="n">
        <v>72</v>
      </c>
      <c r="AJ67" s="5" t="n">
        <v>59.499</v>
      </c>
      <c r="AK67" s="5" t="n">
        <v>47.473</v>
      </c>
      <c r="AL67" s="5" t="n">
        <v>72.15000000000001</v>
      </c>
      <c r="AR67" s="64" t="n">
        <v>72</v>
      </c>
      <c r="AS67" s="5" t="n">
        <v>0</v>
      </c>
      <c r="AT67" s="5" t="n">
        <v>0</v>
      </c>
      <c r="AU67" s="5" t="n">
        <v>19.11562224841501</v>
      </c>
      <c r="AW67" s="64">
        <f>Z67/Demand!AU85</f>
        <v/>
      </c>
      <c r="AX67" s="64">
        <f>AA67/Demand!AV85</f>
        <v/>
      </c>
      <c r="AY67" s="64">
        <f>AB67/Demand!AW85</f>
        <v/>
      </c>
      <c r="BG67" s="64" t="n">
        <v>72</v>
      </c>
      <c r="BH67" s="64">
        <f>Results!$B$19+AJ67-Results!$D$21</f>
        <v/>
      </c>
      <c r="BI67" s="64">
        <f>Results!$B$19+AK67-Results!$D$21</f>
        <v/>
      </c>
      <c r="BJ67" s="64">
        <f>Results!$B$19+AL67-Results!$D$21</f>
        <v/>
      </c>
      <c r="BM67" s="64" t="n">
        <v>72</v>
      </c>
      <c r="BN67" s="64">
        <f>Results!D82</f>
        <v/>
      </c>
      <c r="BO67" s="64">
        <f>Results!E82</f>
        <v/>
      </c>
      <c r="BP67" s="64">
        <f>Results!F82</f>
        <v/>
      </c>
      <c r="BS67" s="64" t="n">
        <v>72</v>
      </c>
      <c r="BT67" s="64">
        <f>Demand!AU85</f>
        <v/>
      </c>
      <c r="BU67" s="64">
        <f>Demand!AV85</f>
        <v/>
      </c>
      <c r="BV67" s="64">
        <f>Demand!AW85</f>
        <v/>
      </c>
      <c r="BY67" s="64" t="n">
        <v>72</v>
      </c>
      <c r="BZ67" s="64">
        <f>Retailers_Cap!N68</f>
        <v/>
      </c>
      <c r="CA67" s="64">
        <f>Retailers_Cap!O68</f>
        <v/>
      </c>
      <c r="CB67" s="64">
        <f>Retailers_Cap!P68</f>
        <v/>
      </c>
      <c r="CD67" s="64" t="n">
        <v>72</v>
      </c>
      <c r="CE67" s="64">
        <f>IF((BT67-BZ67)&gt;=0,"Dem","Folga")</f>
        <v/>
      </c>
      <c r="CF67" s="64">
        <f>IF((BU67-CA67)&gt;=0,"Dem","Folga")</f>
        <v/>
      </c>
      <c r="CG67" s="64">
        <f>IF((BV67-CB67)&gt;=0,"Dem","Folga")</f>
        <v/>
      </c>
    </row>
    <row r="68">
      <c r="M68" s="64">
        <f>TRUNC((_xlfn.NORM.INV((RAND()),$L$6,$L$7)),2)</f>
        <v/>
      </c>
      <c r="O68" s="64" t="n">
        <v>73</v>
      </c>
      <c r="P68" s="5" t="n">
        <v>197.47</v>
      </c>
      <c r="Q68" s="5" t="n">
        <v>208.8</v>
      </c>
      <c r="R68" s="5" t="n">
        <v>182.28</v>
      </c>
      <c r="W68" s="64">
        <f>TRUNC((_xlfn.NORM.INV((RAND()),$V$6,$V$7)),3)</f>
        <v/>
      </c>
      <c r="Y68" s="64" t="n">
        <v>73</v>
      </c>
      <c r="Z68" s="5" t="n">
        <v>6.855</v>
      </c>
      <c r="AA68" s="5" t="n">
        <v>6.801</v>
      </c>
      <c r="AB68" s="5" t="n">
        <v>6.756</v>
      </c>
      <c r="AG68" s="64">
        <f>TRUNC((_xlfn.NORM.INV((RAND()),$AF$6,$AF$7)),3)</f>
        <v/>
      </c>
      <c r="AI68" s="64" t="n">
        <v>73</v>
      </c>
      <c r="AJ68" s="5" t="n">
        <v>63.459</v>
      </c>
      <c r="AK68" s="5" t="n">
        <v>73.873</v>
      </c>
      <c r="AL68" s="5" t="n">
        <v>65.596</v>
      </c>
      <c r="AR68" s="64" t="n">
        <v>73</v>
      </c>
      <c r="AS68" s="5" t="n">
        <v>9.945677408720604</v>
      </c>
      <c r="AT68" s="5" t="n">
        <v>0</v>
      </c>
      <c r="AU68" s="5" t="n">
        <v>0</v>
      </c>
      <c r="AW68" s="64">
        <f>Z68/Demand!AU86</f>
        <v/>
      </c>
      <c r="AX68" s="64">
        <f>AA68/Demand!AV86</f>
        <v/>
      </c>
      <c r="AY68" s="64">
        <f>AB68/Demand!AW86</f>
        <v/>
      </c>
      <c r="BG68" s="64" t="n">
        <v>73</v>
      </c>
      <c r="BH68" s="64">
        <f>Results!$B$19+AJ68-Results!$D$21</f>
        <v/>
      </c>
      <c r="BI68" s="64">
        <f>Results!$B$19+AK68-Results!$D$21</f>
        <v/>
      </c>
      <c r="BJ68" s="64">
        <f>Results!$B$19+AL68-Results!$D$21</f>
        <v/>
      </c>
      <c r="BM68" s="64" t="n">
        <v>73</v>
      </c>
      <c r="BN68" s="64">
        <f>Results!D83</f>
        <v/>
      </c>
      <c r="BO68" s="64">
        <f>Results!E83</f>
        <v/>
      </c>
      <c r="BP68" s="64">
        <f>Results!F83</f>
        <v/>
      </c>
      <c r="BS68" s="64" t="n">
        <v>73</v>
      </c>
      <c r="BT68" s="64">
        <f>Demand!AU86</f>
        <v/>
      </c>
      <c r="BU68" s="64">
        <f>Demand!AV86</f>
        <v/>
      </c>
      <c r="BV68" s="64">
        <f>Demand!AW86</f>
        <v/>
      </c>
      <c r="BY68" s="64" t="n">
        <v>73</v>
      </c>
      <c r="BZ68" s="64">
        <f>Retailers_Cap!N69</f>
        <v/>
      </c>
      <c r="CA68" s="64">
        <f>Retailers_Cap!O69</f>
        <v/>
      </c>
      <c r="CB68" s="64">
        <f>Retailers_Cap!P69</f>
        <v/>
      </c>
      <c r="CD68" s="64" t="n">
        <v>73</v>
      </c>
      <c r="CE68" s="64">
        <f>IF((BT68-BZ68)&gt;=0,"Dem","Folga")</f>
        <v/>
      </c>
      <c r="CF68" s="64">
        <f>IF((BU68-CA68)&gt;=0,"Dem","Folga")</f>
        <v/>
      </c>
      <c r="CG68" s="64">
        <f>IF((BV68-CB68)&gt;=0,"Dem","Folga")</f>
        <v/>
      </c>
    </row>
    <row r="69">
      <c r="M69" s="64">
        <f>TRUNC((_xlfn.NORM.INV((RAND()),$L$6,$L$7)),2)</f>
        <v/>
      </c>
      <c r="O69" s="64" t="n">
        <v>74</v>
      </c>
      <c r="P69" s="5" t="n">
        <v>182.33</v>
      </c>
      <c r="Q69" s="5" t="n">
        <v>195.24</v>
      </c>
      <c r="R69" s="5" t="n">
        <v>191.91</v>
      </c>
      <c r="W69" s="64">
        <f>TRUNC((_xlfn.NORM.INV((RAND()),$V$6,$V$7)),3)</f>
        <v/>
      </c>
      <c r="Y69" s="64" t="n">
        <v>74</v>
      </c>
      <c r="Z69" s="5" t="n">
        <v>6.736</v>
      </c>
      <c r="AA69" s="5" t="n">
        <v>6.838</v>
      </c>
      <c r="AB69" s="5" t="n">
        <v>6.824</v>
      </c>
      <c r="AG69" s="64">
        <f>TRUNC((_xlfn.NORM.INV((RAND()),$AF$6,$AF$7)),3)</f>
        <v/>
      </c>
      <c r="AI69" s="64" t="n">
        <v>74</v>
      </c>
      <c r="AJ69" s="5" t="n">
        <v>75.883</v>
      </c>
      <c r="AK69" s="5" t="n">
        <v>67.568</v>
      </c>
      <c r="AL69" s="5" t="n">
        <v>52.956</v>
      </c>
      <c r="AR69" s="64" t="n">
        <v>74</v>
      </c>
      <c r="AS69" s="5" t="n">
        <v>0</v>
      </c>
      <c r="AT69" s="5" t="n">
        <v>6.144930673754981</v>
      </c>
      <c r="AU69" s="5" t="n">
        <v>17.58557046370101</v>
      </c>
      <c r="AW69" s="64">
        <f>Z69/Demand!AU87</f>
        <v/>
      </c>
      <c r="AX69" s="64">
        <f>AA69/Demand!AV87</f>
        <v/>
      </c>
      <c r="AY69" s="64">
        <f>AB69/Demand!AW87</f>
        <v/>
      </c>
      <c r="BG69" s="64" t="n">
        <v>74</v>
      </c>
      <c r="BH69" s="64">
        <f>Results!$B$19+AJ69-Results!$D$21</f>
        <v/>
      </c>
      <c r="BI69" s="64">
        <f>Results!$B$19+AK69-Results!$D$21</f>
        <v/>
      </c>
      <c r="BJ69" s="64">
        <f>Results!$B$19+AL69-Results!$D$21</f>
        <v/>
      </c>
      <c r="BM69" s="64" t="n">
        <v>74</v>
      </c>
      <c r="BN69" s="64">
        <f>Results!D84</f>
        <v/>
      </c>
      <c r="BO69" s="64">
        <f>Results!E84</f>
        <v/>
      </c>
      <c r="BP69" s="64">
        <f>Results!F84</f>
        <v/>
      </c>
      <c r="BS69" s="64" t="n">
        <v>74</v>
      </c>
      <c r="BT69" s="64">
        <f>Demand!AU87</f>
        <v/>
      </c>
      <c r="BU69" s="64">
        <f>Demand!AV87</f>
        <v/>
      </c>
      <c r="BV69" s="64">
        <f>Demand!AW87</f>
        <v/>
      </c>
      <c r="BY69" s="64" t="n">
        <v>74</v>
      </c>
      <c r="BZ69" s="64">
        <f>Retailers_Cap!N70</f>
        <v/>
      </c>
      <c r="CA69" s="64">
        <f>Retailers_Cap!O70</f>
        <v/>
      </c>
      <c r="CB69" s="64">
        <f>Retailers_Cap!P70</f>
        <v/>
      </c>
      <c r="CD69" s="64" t="n">
        <v>74</v>
      </c>
      <c r="CE69" s="64">
        <f>IF((BT69-BZ69)&gt;=0,"Dem","Folga")</f>
        <v/>
      </c>
      <c r="CF69" s="64">
        <f>IF((BU69-CA69)&gt;=0,"Dem","Folga")</f>
        <v/>
      </c>
      <c r="CG69" s="64">
        <f>IF((BV69-CB69)&gt;=0,"Dem","Folga")</f>
        <v/>
      </c>
    </row>
    <row r="70">
      <c r="M70" s="64">
        <f>TRUNC((_xlfn.NORM.INV((RAND()),$L$6,$L$7)),2)</f>
        <v/>
      </c>
      <c r="O70" s="64" t="n">
        <v>75</v>
      </c>
      <c r="P70" s="5" t="n">
        <v>201</v>
      </c>
      <c r="Q70" s="5" t="n">
        <v>151.87</v>
      </c>
      <c r="R70" s="5" t="n">
        <v>246.75</v>
      </c>
      <c r="W70" s="64">
        <f>TRUNC((_xlfn.NORM.INV((RAND()),$V$6,$V$7)),3)</f>
        <v/>
      </c>
      <c r="Y70" s="64" t="n">
        <v>75</v>
      </c>
      <c r="Z70" s="5" t="n">
        <v>6.713</v>
      </c>
      <c r="AA70" s="5" t="n">
        <v>6.789</v>
      </c>
      <c r="AB70" s="5" t="n">
        <v>6.743</v>
      </c>
      <c r="AG70" s="64">
        <f>TRUNC((_xlfn.NORM.INV((RAND()),$AF$6,$AF$7)),3)</f>
        <v/>
      </c>
      <c r="AI70" s="64" t="n">
        <v>75</v>
      </c>
      <c r="AJ70" s="5" t="n">
        <v>59.17</v>
      </c>
      <c r="AK70" s="5" t="n">
        <v>63.307</v>
      </c>
      <c r="AL70" s="5" t="n">
        <v>42.014</v>
      </c>
      <c r="AR70" s="64" t="n">
        <v>75</v>
      </c>
      <c r="AS70" s="5" t="n">
        <v>3.524037822885438</v>
      </c>
      <c r="AT70" s="5" t="n">
        <v>0</v>
      </c>
      <c r="AU70" s="5" t="n">
        <v>13.88089643214096</v>
      </c>
      <c r="AW70" s="64">
        <f>Z70/Demand!AU88</f>
        <v/>
      </c>
      <c r="AX70" s="64">
        <f>AA70/Demand!AV88</f>
        <v/>
      </c>
      <c r="AY70" s="64">
        <f>AB70/Demand!AW88</f>
        <v/>
      </c>
      <c r="BG70" s="64" t="n">
        <v>75</v>
      </c>
      <c r="BH70" s="64">
        <f>Results!$B$19+AJ70-Results!$D$21</f>
        <v/>
      </c>
      <c r="BI70" s="64">
        <f>Results!$B$19+AK70-Results!$D$21</f>
        <v/>
      </c>
      <c r="BJ70" s="64">
        <f>Results!$B$19+AL70-Results!$D$21</f>
        <v/>
      </c>
      <c r="BM70" s="64" t="n">
        <v>75</v>
      </c>
      <c r="BN70" s="64">
        <f>Results!D85</f>
        <v/>
      </c>
      <c r="BO70" s="64">
        <f>Results!E85</f>
        <v/>
      </c>
      <c r="BP70" s="64">
        <f>Results!F85</f>
        <v/>
      </c>
      <c r="BS70" s="64" t="n">
        <v>75</v>
      </c>
      <c r="BT70" s="64">
        <f>Demand!AU88</f>
        <v/>
      </c>
      <c r="BU70" s="64">
        <f>Demand!AV88</f>
        <v/>
      </c>
      <c r="BV70" s="64">
        <f>Demand!AW88</f>
        <v/>
      </c>
      <c r="BY70" s="64" t="n">
        <v>75</v>
      </c>
      <c r="BZ70" s="64">
        <f>Retailers_Cap!N71</f>
        <v/>
      </c>
      <c r="CA70" s="64">
        <f>Retailers_Cap!O71</f>
        <v/>
      </c>
      <c r="CB70" s="64">
        <f>Retailers_Cap!P71</f>
        <v/>
      </c>
      <c r="CD70" s="64" t="n">
        <v>75</v>
      </c>
      <c r="CE70" s="64">
        <f>IF((BT70-BZ70)&gt;=0,"Dem","Folga")</f>
        <v/>
      </c>
      <c r="CF70" s="64">
        <f>IF((BU70-CA70)&gt;=0,"Dem","Folga")</f>
        <v/>
      </c>
      <c r="CG70" s="64">
        <f>IF((BV70-CB70)&gt;=0,"Dem","Folga")</f>
        <v/>
      </c>
    </row>
    <row r="71">
      <c r="M71" s="64">
        <f>TRUNC((_xlfn.NORM.INV((RAND()),$L$6,$L$7)),2)</f>
        <v/>
      </c>
      <c r="O71" s="64" t="n">
        <v>76</v>
      </c>
      <c r="P71" s="5" t="n">
        <v>264.98</v>
      </c>
      <c r="Q71" s="5" t="n">
        <v>194.1</v>
      </c>
      <c r="R71" s="5" t="n">
        <v>278.87</v>
      </c>
      <c r="W71" s="64">
        <f>TRUNC((_xlfn.NORM.INV((RAND()),$V$6,$V$7)),3)</f>
        <v/>
      </c>
      <c r="Y71" s="64" t="n">
        <v>76</v>
      </c>
      <c r="Z71" s="5" t="n">
        <v>6.795</v>
      </c>
      <c r="AA71" s="5" t="n">
        <v>6.756</v>
      </c>
      <c r="AB71" s="5" t="n">
        <v>6.719</v>
      </c>
      <c r="AG71" s="64">
        <f>TRUNC((_xlfn.NORM.INV((RAND()),$AF$6,$AF$7)),3)</f>
        <v/>
      </c>
      <c r="AI71" s="64" t="n">
        <v>76</v>
      </c>
      <c r="AJ71" s="5" t="n">
        <v>59.302</v>
      </c>
      <c r="AK71" s="5" t="n">
        <v>59.712</v>
      </c>
      <c r="AL71" s="5" t="n">
        <v>58.993</v>
      </c>
      <c r="AR71" s="64" t="n">
        <v>76</v>
      </c>
      <c r="AS71" s="5" t="n">
        <v>4.039654717077212</v>
      </c>
      <c r="AT71" s="5" t="n">
        <v>0</v>
      </c>
      <c r="AU71" s="5" t="n">
        <v>41.67464403384948</v>
      </c>
      <c r="AW71" s="64">
        <f>Z71/Demand!AU89</f>
        <v/>
      </c>
      <c r="AX71" s="64">
        <f>AA71/Demand!AV89</f>
        <v/>
      </c>
      <c r="AY71" s="64">
        <f>AB71/Demand!AW89</f>
        <v/>
      </c>
      <c r="BG71" s="64" t="n">
        <v>76</v>
      </c>
      <c r="BH71" s="64">
        <f>Results!$B$19+AJ71-Results!$D$21</f>
        <v/>
      </c>
      <c r="BI71" s="64">
        <f>Results!$B$19+AK71-Results!$D$21</f>
        <v/>
      </c>
      <c r="BJ71" s="64">
        <f>Results!$B$19+AL71-Results!$D$21</f>
        <v/>
      </c>
      <c r="BM71" s="64" t="n">
        <v>76</v>
      </c>
      <c r="BN71" s="64">
        <f>Results!D86</f>
        <v/>
      </c>
      <c r="BO71" s="64">
        <f>Results!E86</f>
        <v/>
      </c>
      <c r="BP71" s="64">
        <f>Results!F86</f>
        <v/>
      </c>
      <c r="BS71" s="64" t="n">
        <v>76</v>
      </c>
      <c r="BT71" s="64">
        <f>Demand!AU89</f>
        <v/>
      </c>
      <c r="BU71" s="64">
        <f>Demand!AV89</f>
        <v/>
      </c>
      <c r="BV71" s="64">
        <f>Demand!AW89</f>
        <v/>
      </c>
      <c r="BY71" s="64" t="n">
        <v>76</v>
      </c>
      <c r="BZ71" s="64">
        <f>Retailers_Cap!N72</f>
        <v/>
      </c>
      <c r="CA71" s="64">
        <f>Retailers_Cap!O72</f>
        <v/>
      </c>
      <c r="CB71" s="64">
        <f>Retailers_Cap!P72</f>
        <v/>
      </c>
      <c r="CD71" s="64" t="n">
        <v>76</v>
      </c>
      <c r="CE71" s="64">
        <f>IF((BT71-BZ71)&gt;=0,"Dem","Folga")</f>
        <v/>
      </c>
      <c r="CF71" s="64">
        <f>IF((BU71-CA71)&gt;=0,"Dem","Folga")</f>
        <v/>
      </c>
      <c r="CG71" s="64">
        <f>IF((BV71-CB71)&gt;=0,"Dem","Folga")</f>
        <v/>
      </c>
    </row>
    <row r="72">
      <c r="M72" s="64">
        <f>TRUNC((_xlfn.NORM.INV((RAND()),$L$6,$L$7)),2)</f>
        <v/>
      </c>
      <c r="O72" s="64" t="n">
        <v>77</v>
      </c>
      <c r="P72" s="5" t="n">
        <v>186.85</v>
      </c>
      <c r="Q72" s="5" t="n">
        <v>164.45</v>
      </c>
      <c r="R72" s="5" t="n">
        <v>224.7</v>
      </c>
      <c r="W72" s="64">
        <f>TRUNC((_xlfn.NORM.INV((RAND()),$V$6,$V$7)),3)</f>
        <v/>
      </c>
      <c r="Y72" s="64" t="n">
        <v>77</v>
      </c>
      <c r="Z72" s="5" t="n">
        <v>6.65</v>
      </c>
      <c r="AA72" s="5" t="n">
        <v>6.75</v>
      </c>
      <c r="AB72" s="5" t="n">
        <v>6.712</v>
      </c>
      <c r="AG72" s="64">
        <f>TRUNC((_xlfn.NORM.INV((RAND()),$AF$6,$AF$7)),3)</f>
        <v/>
      </c>
      <c r="AI72" s="64" t="n">
        <v>77</v>
      </c>
      <c r="AJ72" s="5" t="n">
        <v>66.357</v>
      </c>
      <c r="AK72" s="5" t="n">
        <v>54.774</v>
      </c>
      <c r="AL72" s="5" t="n">
        <v>61.446</v>
      </c>
      <c r="AR72" s="64" t="n">
        <v>77</v>
      </c>
      <c r="AS72" s="5" t="n">
        <v>0</v>
      </c>
      <c r="AT72" s="5" t="n">
        <v>0</v>
      </c>
      <c r="AU72" s="5" t="n">
        <v>0</v>
      </c>
      <c r="AW72" s="64">
        <f>Z72/Demand!AU90</f>
        <v/>
      </c>
      <c r="AX72" s="64">
        <f>AA72/Demand!AV90</f>
        <v/>
      </c>
      <c r="AY72" s="64">
        <f>AB72/Demand!AW90</f>
        <v/>
      </c>
      <c r="BG72" s="64" t="n">
        <v>77</v>
      </c>
      <c r="BH72" s="64">
        <f>Results!$B$19+AJ72-Results!$D$21</f>
        <v/>
      </c>
      <c r="BI72" s="64">
        <f>Results!$B$19+AK72-Results!$D$21</f>
        <v/>
      </c>
      <c r="BJ72" s="64">
        <f>Results!$B$19+AL72-Results!$D$21</f>
        <v/>
      </c>
      <c r="BM72" s="64" t="n">
        <v>77</v>
      </c>
      <c r="BN72" s="64">
        <f>Results!D87</f>
        <v/>
      </c>
      <c r="BO72" s="64">
        <f>Results!E87</f>
        <v/>
      </c>
      <c r="BP72" s="64">
        <f>Results!F87</f>
        <v/>
      </c>
      <c r="BS72" s="64" t="n">
        <v>77</v>
      </c>
      <c r="BT72" s="64">
        <f>Demand!AU90</f>
        <v/>
      </c>
      <c r="BU72" s="64">
        <f>Demand!AV90</f>
        <v/>
      </c>
      <c r="BV72" s="64">
        <f>Demand!AW90</f>
        <v/>
      </c>
      <c r="BY72" s="64" t="n">
        <v>77</v>
      </c>
      <c r="BZ72" s="64">
        <f>Retailers_Cap!N73</f>
        <v/>
      </c>
      <c r="CA72" s="64">
        <f>Retailers_Cap!O73</f>
        <v/>
      </c>
      <c r="CB72" s="64">
        <f>Retailers_Cap!P73</f>
        <v/>
      </c>
      <c r="CD72" s="64" t="n">
        <v>77</v>
      </c>
      <c r="CE72" s="64">
        <f>IF((BT72-BZ72)&gt;=0,"Dem","Folga")</f>
        <v/>
      </c>
      <c r="CF72" s="64">
        <f>IF((BU72-CA72)&gt;=0,"Dem","Folga")</f>
        <v/>
      </c>
      <c r="CG72" s="64">
        <f>IF((BV72-CB72)&gt;=0,"Dem","Folga")</f>
        <v/>
      </c>
    </row>
    <row r="73">
      <c r="M73" s="64">
        <f>TRUNC((_xlfn.NORM.INV((RAND()),$L$6,$L$7)),2)</f>
        <v/>
      </c>
      <c r="O73" s="64" t="n">
        <v>78</v>
      </c>
      <c r="P73" s="5" t="n">
        <v>170.47</v>
      </c>
      <c r="Q73" s="5" t="n">
        <v>200.73</v>
      </c>
      <c r="R73" s="5" t="n">
        <v>213.26</v>
      </c>
      <c r="W73" s="64">
        <f>TRUNC((_xlfn.NORM.INV((RAND()),$V$6,$V$7)),3)</f>
        <v/>
      </c>
      <c r="Y73" s="64" t="n">
        <v>78</v>
      </c>
      <c r="Z73" s="5" t="n">
        <v>6.808</v>
      </c>
      <c r="AA73" s="5" t="n">
        <v>6.54</v>
      </c>
      <c r="AB73" s="5" t="n">
        <v>6.758</v>
      </c>
      <c r="AG73" s="64">
        <f>TRUNC((_xlfn.NORM.INV((RAND()),$AF$6,$AF$7)),3)</f>
        <v/>
      </c>
      <c r="AI73" s="64" t="n">
        <v>78</v>
      </c>
      <c r="AJ73" s="5" t="n">
        <v>47.284</v>
      </c>
      <c r="AK73" s="5" t="n">
        <v>76.55200000000001</v>
      </c>
      <c r="AL73" s="5" t="n">
        <v>51.357</v>
      </c>
      <c r="AR73" s="64" t="n">
        <v>78</v>
      </c>
      <c r="AS73" s="5" t="n">
        <v>0</v>
      </c>
      <c r="AT73" s="5" t="n">
        <v>18.6250433417866</v>
      </c>
      <c r="AU73" s="5" t="n">
        <v>6.308435883585567</v>
      </c>
      <c r="AW73" s="64">
        <f>Z73/Demand!AU91</f>
        <v/>
      </c>
      <c r="AX73" s="64">
        <f>AA73/Demand!AV91</f>
        <v/>
      </c>
      <c r="AY73" s="64">
        <f>AB73/Demand!AW91</f>
        <v/>
      </c>
      <c r="BG73" s="64" t="n">
        <v>78</v>
      </c>
      <c r="BH73" s="64">
        <f>Results!$B$19+AJ73-Results!$D$21</f>
        <v/>
      </c>
      <c r="BI73" s="64">
        <f>Results!$B$19+AK73-Results!$D$21</f>
        <v/>
      </c>
      <c r="BJ73" s="64">
        <f>Results!$B$19+AL73-Results!$D$21</f>
        <v/>
      </c>
      <c r="BM73" s="64" t="n">
        <v>78</v>
      </c>
      <c r="BN73" s="64">
        <f>Results!D88</f>
        <v/>
      </c>
      <c r="BO73" s="64">
        <f>Results!E88</f>
        <v/>
      </c>
      <c r="BP73" s="64">
        <f>Results!F88</f>
        <v/>
      </c>
      <c r="BS73" s="64" t="n">
        <v>78</v>
      </c>
      <c r="BT73" s="64">
        <f>Demand!AU91</f>
        <v/>
      </c>
      <c r="BU73" s="64">
        <f>Demand!AV91</f>
        <v/>
      </c>
      <c r="BV73" s="64">
        <f>Demand!AW91</f>
        <v/>
      </c>
      <c r="BY73" s="64" t="n">
        <v>78</v>
      </c>
      <c r="BZ73" s="64">
        <f>Retailers_Cap!N74</f>
        <v/>
      </c>
      <c r="CA73" s="64">
        <f>Retailers_Cap!O74</f>
        <v/>
      </c>
      <c r="CB73" s="64">
        <f>Retailers_Cap!P74</f>
        <v/>
      </c>
      <c r="CD73" s="64" t="n">
        <v>78</v>
      </c>
      <c r="CE73" s="64">
        <f>IF((BT73-BZ73)&gt;=0,"Dem","Folga")</f>
        <v/>
      </c>
      <c r="CF73" s="64">
        <f>IF((BU73-CA73)&gt;=0,"Dem","Folga")</f>
        <v/>
      </c>
      <c r="CG73" s="64">
        <f>IF((BV73-CB73)&gt;=0,"Dem","Folga")</f>
        <v/>
      </c>
    </row>
    <row r="74">
      <c r="M74" s="64">
        <f>TRUNC((_xlfn.NORM.INV((RAND()),$L$6,$L$7)),2)</f>
        <v/>
      </c>
      <c r="O74" s="64" t="n">
        <v>79</v>
      </c>
      <c r="P74" s="5" t="n">
        <v>215.07</v>
      </c>
      <c r="Q74" s="5" t="n">
        <v>263.7</v>
      </c>
      <c r="R74" s="5" t="n">
        <v>194.85</v>
      </c>
      <c r="W74" s="64">
        <f>TRUNC((_xlfn.NORM.INV((RAND()),$V$6,$V$7)),3)</f>
        <v/>
      </c>
      <c r="Y74" s="64" t="n">
        <v>79</v>
      </c>
      <c r="Z74" s="5" t="n">
        <v>6.863</v>
      </c>
      <c r="AA74" s="5" t="n">
        <v>6.745</v>
      </c>
      <c r="AB74" s="5" t="n">
        <v>6.804</v>
      </c>
      <c r="AG74" s="64">
        <f>TRUNC((_xlfn.NORM.INV((RAND()),$AF$6,$AF$7)),3)</f>
        <v/>
      </c>
      <c r="AI74" s="64" t="n">
        <v>79</v>
      </c>
      <c r="AJ74" s="5" t="n">
        <v>79.316</v>
      </c>
      <c r="AK74" s="5" t="n">
        <v>61.48</v>
      </c>
      <c r="AL74" s="5" t="n">
        <v>55.911</v>
      </c>
      <c r="AR74" s="64" t="n">
        <v>79</v>
      </c>
      <c r="AS74" s="5" t="n">
        <v>0</v>
      </c>
      <c r="AT74" s="5" t="n">
        <v>9.997806256335329</v>
      </c>
      <c r="AU74" s="5" t="n">
        <v>0</v>
      </c>
      <c r="AW74" s="64">
        <f>Z74/Demand!AU92</f>
        <v/>
      </c>
      <c r="AX74" s="64">
        <f>AA74/Demand!AV92</f>
        <v/>
      </c>
      <c r="AY74" s="64">
        <f>AB74/Demand!AW92</f>
        <v/>
      </c>
      <c r="BG74" s="64" t="n">
        <v>79</v>
      </c>
      <c r="BH74" s="64">
        <f>Results!$B$19+AJ74-Results!$D$21</f>
        <v/>
      </c>
      <c r="BI74" s="64">
        <f>Results!$B$19+AK74-Results!$D$21</f>
        <v/>
      </c>
      <c r="BJ74" s="64">
        <f>Results!$B$19+AL74-Results!$D$21</f>
        <v/>
      </c>
      <c r="BM74" s="64" t="n">
        <v>79</v>
      </c>
      <c r="BN74" s="64">
        <f>Results!D89</f>
        <v/>
      </c>
      <c r="BO74" s="64">
        <f>Results!E89</f>
        <v/>
      </c>
      <c r="BP74" s="64">
        <f>Results!F89</f>
        <v/>
      </c>
      <c r="BS74" s="64" t="n">
        <v>79</v>
      </c>
      <c r="BT74" s="64">
        <f>Demand!AU92</f>
        <v/>
      </c>
      <c r="BU74" s="64">
        <f>Demand!AV92</f>
        <v/>
      </c>
      <c r="BV74" s="64">
        <f>Demand!AW92</f>
        <v/>
      </c>
      <c r="BY74" s="64" t="n">
        <v>79</v>
      </c>
      <c r="BZ74" s="64">
        <f>Retailers_Cap!N75</f>
        <v/>
      </c>
      <c r="CA74" s="64">
        <f>Retailers_Cap!O75</f>
        <v/>
      </c>
      <c r="CB74" s="64">
        <f>Retailers_Cap!P75</f>
        <v/>
      </c>
      <c r="CD74" s="64" t="n">
        <v>79</v>
      </c>
      <c r="CE74" s="64">
        <f>IF((BT74-BZ74)&gt;=0,"Dem","Folga")</f>
        <v/>
      </c>
      <c r="CF74" s="64">
        <f>IF((BU74-CA74)&gt;=0,"Dem","Folga")</f>
        <v/>
      </c>
      <c r="CG74" s="64">
        <f>IF((BV74-CB74)&gt;=0,"Dem","Folga")</f>
        <v/>
      </c>
    </row>
    <row r="75">
      <c r="M75" s="64">
        <f>TRUNC((_xlfn.NORM.INV((RAND()),$L$6,$L$7)),2)</f>
        <v/>
      </c>
      <c r="O75" s="64" t="n">
        <v>80</v>
      </c>
      <c r="P75" s="5" t="n">
        <v>197.79</v>
      </c>
      <c r="Q75" s="5" t="n">
        <v>176.22</v>
      </c>
      <c r="R75" s="5" t="n">
        <v>154.91</v>
      </c>
      <c r="W75" s="64">
        <f>TRUNC((_xlfn.NORM.INV((RAND()),$V$6,$V$7)),3)</f>
        <v/>
      </c>
      <c r="Y75" s="64" t="n">
        <v>80</v>
      </c>
      <c r="Z75" s="5" t="n">
        <v>6.773</v>
      </c>
      <c r="AA75" s="5" t="n">
        <v>6.775</v>
      </c>
      <c r="AB75" s="5" t="n">
        <v>6.701</v>
      </c>
      <c r="AG75" s="64">
        <f>TRUNC((_xlfn.NORM.INV((RAND()),$AF$6,$AF$7)),3)</f>
        <v/>
      </c>
      <c r="AI75" s="64" t="n">
        <v>80</v>
      </c>
      <c r="AJ75" s="5" t="n">
        <v>44.08</v>
      </c>
      <c r="AK75" s="5" t="n">
        <v>41.398</v>
      </c>
      <c r="AL75" s="5" t="n">
        <v>78.483</v>
      </c>
      <c r="AR75" s="64" t="n">
        <v>80</v>
      </c>
      <c r="AS75" s="5" t="n">
        <v>0</v>
      </c>
      <c r="AT75" s="5" t="n">
        <v>0</v>
      </c>
      <c r="AU75" s="5" t="n">
        <v>15.29565987920214</v>
      </c>
      <c r="AW75" s="64">
        <f>Z75/Demand!AU93</f>
        <v/>
      </c>
      <c r="AX75" s="64">
        <f>AA75/Demand!AV93</f>
        <v/>
      </c>
      <c r="AY75" s="64">
        <f>AB75/Demand!AW93</f>
        <v/>
      </c>
      <c r="BG75" s="64" t="n">
        <v>80</v>
      </c>
      <c r="BH75" s="64">
        <f>Results!$B$19+AJ75-Results!$D$21</f>
        <v/>
      </c>
      <c r="BI75" s="64">
        <f>Results!$B$19+AK75-Results!$D$21</f>
        <v/>
      </c>
      <c r="BJ75" s="64">
        <f>Results!$B$19+AL75-Results!$D$21</f>
        <v/>
      </c>
      <c r="BM75" s="64" t="n">
        <v>80</v>
      </c>
      <c r="BN75" s="64">
        <f>Results!D90</f>
        <v/>
      </c>
      <c r="BO75" s="64">
        <f>Results!E90</f>
        <v/>
      </c>
      <c r="BP75" s="64">
        <f>Results!F90</f>
        <v/>
      </c>
      <c r="BS75" s="64" t="n">
        <v>80</v>
      </c>
      <c r="BT75" s="64">
        <f>Demand!AU93</f>
        <v/>
      </c>
      <c r="BU75" s="64">
        <f>Demand!AV93</f>
        <v/>
      </c>
      <c r="BV75" s="64">
        <f>Demand!AW93</f>
        <v/>
      </c>
      <c r="BY75" s="64" t="n">
        <v>80</v>
      </c>
      <c r="BZ75" s="64">
        <f>Retailers_Cap!N76</f>
        <v/>
      </c>
      <c r="CA75" s="64">
        <f>Retailers_Cap!O76</f>
        <v/>
      </c>
      <c r="CB75" s="64">
        <f>Retailers_Cap!P76</f>
        <v/>
      </c>
      <c r="CD75" s="64" t="n">
        <v>80</v>
      </c>
      <c r="CE75" s="64">
        <f>IF((BT75-BZ75)&gt;=0,"Dem","Folga")</f>
        <v/>
      </c>
      <c r="CF75" s="64">
        <f>IF((BU75-CA75)&gt;=0,"Dem","Folga")</f>
        <v/>
      </c>
      <c r="CG75" s="64">
        <f>IF((BV75-CB75)&gt;=0,"Dem","Folga")</f>
        <v/>
      </c>
    </row>
    <row r="76">
      <c r="M76" s="64">
        <f>TRUNC((_xlfn.NORM.INV((RAND()),$L$6,$L$7)),2)</f>
        <v/>
      </c>
      <c r="O76" s="64" t="n">
        <v>81</v>
      </c>
      <c r="P76" s="5" t="n">
        <v>232.74</v>
      </c>
      <c r="Q76" s="5" t="n">
        <v>234.57</v>
      </c>
      <c r="R76" s="5" t="n">
        <v>233.41</v>
      </c>
      <c r="W76" s="64">
        <f>TRUNC((_xlfn.NORM.INV((RAND()),$V$6,$V$7)),3)</f>
        <v/>
      </c>
      <c r="Y76" s="64" t="n">
        <v>81</v>
      </c>
      <c r="Z76" s="5" t="n">
        <v>6.589</v>
      </c>
      <c r="AA76" s="5" t="n">
        <v>6.78</v>
      </c>
      <c r="AB76" s="5" t="n">
        <v>6.764</v>
      </c>
      <c r="AG76" s="64">
        <f>TRUNC((_xlfn.NORM.INV((RAND()),$AF$6,$AF$7)),3)</f>
        <v/>
      </c>
      <c r="AI76" s="64" t="n">
        <v>81</v>
      </c>
      <c r="AJ76" s="5" t="n">
        <v>65.432</v>
      </c>
      <c r="AK76" s="5" t="n">
        <v>60.978</v>
      </c>
      <c r="AL76" s="5" t="n">
        <v>53.082</v>
      </c>
      <c r="AR76" s="64" t="n">
        <v>81</v>
      </c>
      <c r="AS76" s="5" t="n">
        <v>0</v>
      </c>
      <c r="AT76" s="5" t="n">
        <v>0</v>
      </c>
      <c r="AU76" s="5" t="n">
        <v>0</v>
      </c>
      <c r="AW76" s="64">
        <f>Z76/Demand!AU94</f>
        <v/>
      </c>
      <c r="AX76" s="64">
        <f>AA76/Demand!AV94</f>
        <v/>
      </c>
      <c r="AY76" s="64">
        <f>AB76/Demand!AW94</f>
        <v/>
      </c>
      <c r="BG76" s="64" t="n">
        <v>81</v>
      </c>
      <c r="BH76" s="64">
        <f>Results!$B$19+AJ76-Results!$D$21</f>
        <v/>
      </c>
      <c r="BI76" s="64">
        <f>Results!$B$19+AK76-Results!$D$21</f>
        <v/>
      </c>
      <c r="BJ76" s="64">
        <f>Results!$B$19+AL76-Results!$D$21</f>
        <v/>
      </c>
      <c r="BM76" s="64" t="n">
        <v>81</v>
      </c>
      <c r="BN76" s="64">
        <f>Results!D91</f>
        <v/>
      </c>
      <c r="BO76" s="64">
        <f>Results!E91</f>
        <v/>
      </c>
      <c r="BP76" s="64">
        <f>Results!F91</f>
        <v/>
      </c>
      <c r="BS76" s="64" t="n">
        <v>81</v>
      </c>
      <c r="BT76" s="64">
        <f>Demand!AU94</f>
        <v/>
      </c>
      <c r="BU76" s="64">
        <f>Demand!AV94</f>
        <v/>
      </c>
      <c r="BV76" s="64">
        <f>Demand!AW94</f>
        <v/>
      </c>
      <c r="BY76" s="64" t="n">
        <v>81</v>
      </c>
      <c r="BZ76" s="64">
        <f>Retailers_Cap!N77</f>
        <v/>
      </c>
      <c r="CA76" s="64">
        <f>Retailers_Cap!O77</f>
        <v/>
      </c>
      <c r="CB76" s="64">
        <f>Retailers_Cap!P77</f>
        <v/>
      </c>
      <c r="CD76" s="64" t="n">
        <v>81</v>
      </c>
      <c r="CE76" s="64">
        <f>IF((BT76-BZ76)&gt;=0,"Dem","Folga")</f>
        <v/>
      </c>
      <c r="CF76" s="64">
        <f>IF((BU76-CA76)&gt;=0,"Dem","Folga")</f>
        <v/>
      </c>
      <c r="CG76" s="64">
        <f>IF((BV76-CB76)&gt;=0,"Dem","Folga")</f>
        <v/>
      </c>
    </row>
    <row r="77">
      <c r="M77" s="64">
        <f>TRUNC((_xlfn.NORM.INV((RAND()),$L$6,$L$7)),2)</f>
        <v/>
      </c>
      <c r="O77" s="64" t="n">
        <v>82</v>
      </c>
      <c r="P77" s="5" t="n">
        <v>196.21</v>
      </c>
      <c r="Q77" s="5" t="n">
        <v>214.38</v>
      </c>
      <c r="R77" s="5" t="n">
        <v>192.75</v>
      </c>
      <c r="W77" s="64">
        <f>TRUNC((_xlfn.NORM.INV((RAND()),$V$6,$V$7)),3)</f>
        <v/>
      </c>
      <c r="Y77" s="64" t="n">
        <v>82</v>
      </c>
      <c r="Z77" s="5" t="n">
        <v>6.752</v>
      </c>
      <c r="AA77" s="5" t="n">
        <v>6.675</v>
      </c>
      <c r="AB77" s="5" t="n">
        <v>6.604</v>
      </c>
      <c r="AG77" s="64">
        <f>TRUNC((_xlfn.NORM.INV((RAND()),$AF$6,$AF$7)),3)</f>
        <v/>
      </c>
      <c r="AI77" s="64" t="n">
        <v>82</v>
      </c>
      <c r="AJ77" s="5" t="n">
        <v>48.372</v>
      </c>
      <c r="AK77" s="5" t="n">
        <v>36.4</v>
      </c>
      <c r="AL77" s="5" t="n">
        <v>59.973</v>
      </c>
      <c r="AR77" s="64" t="n">
        <v>82</v>
      </c>
      <c r="AS77" s="5" t="n">
        <v>0</v>
      </c>
      <c r="AT77" s="5" t="n">
        <v>0</v>
      </c>
      <c r="AU77" s="5" t="n">
        <v>0</v>
      </c>
      <c r="AW77" s="64">
        <f>Z77/Demand!AU95</f>
        <v/>
      </c>
      <c r="AX77" s="64">
        <f>AA77/Demand!AV95</f>
        <v/>
      </c>
      <c r="AY77" s="64">
        <f>AB77/Demand!AW95</f>
        <v/>
      </c>
      <c r="BG77" s="64" t="n">
        <v>82</v>
      </c>
      <c r="BH77" s="64">
        <f>Results!$B$19+AJ77-Results!$D$21</f>
        <v/>
      </c>
      <c r="BI77" s="64">
        <f>Results!$B$19+AK77-Results!$D$21</f>
        <v/>
      </c>
      <c r="BJ77" s="64">
        <f>Results!$B$19+AL77-Results!$D$21</f>
        <v/>
      </c>
      <c r="BM77" s="64" t="n">
        <v>82</v>
      </c>
      <c r="BN77" s="64">
        <f>Results!D92</f>
        <v/>
      </c>
      <c r="BO77" s="64">
        <f>Results!E92</f>
        <v/>
      </c>
      <c r="BP77" s="64">
        <f>Results!F92</f>
        <v/>
      </c>
      <c r="BS77" s="64" t="n">
        <v>82</v>
      </c>
      <c r="BT77" s="64">
        <f>Demand!AU95</f>
        <v/>
      </c>
      <c r="BU77" s="64">
        <f>Demand!AV95</f>
        <v/>
      </c>
      <c r="BV77" s="64">
        <f>Demand!AW95</f>
        <v/>
      </c>
      <c r="BY77" s="64" t="n">
        <v>82</v>
      </c>
      <c r="BZ77" s="64">
        <f>Retailers_Cap!N78</f>
        <v/>
      </c>
      <c r="CA77" s="64">
        <f>Retailers_Cap!O78</f>
        <v/>
      </c>
      <c r="CB77" s="64">
        <f>Retailers_Cap!P78</f>
        <v/>
      </c>
      <c r="CD77" s="64" t="n">
        <v>82</v>
      </c>
      <c r="CE77" s="64">
        <f>IF((BT77-BZ77)&gt;=0,"Dem","Folga")</f>
        <v/>
      </c>
      <c r="CF77" s="64">
        <f>IF((BU77-CA77)&gt;=0,"Dem","Folga")</f>
        <v/>
      </c>
      <c r="CG77" s="64">
        <f>IF((BV77-CB77)&gt;=0,"Dem","Folga")</f>
        <v/>
      </c>
    </row>
    <row r="78">
      <c r="M78" s="64">
        <f>TRUNC((_xlfn.NORM.INV((RAND()),$L$6,$L$7)),2)</f>
        <v/>
      </c>
      <c r="O78" s="64" t="n">
        <v>83</v>
      </c>
      <c r="P78" s="5" t="n">
        <v>269.39</v>
      </c>
      <c r="Q78" s="5" t="n">
        <v>189.55</v>
      </c>
      <c r="R78" s="5" t="n">
        <v>154.68</v>
      </c>
      <c r="W78" s="64">
        <f>TRUNC((_xlfn.NORM.INV((RAND()),$V$6,$V$7)),3)</f>
        <v/>
      </c>
      <c r="Y78" s="64" t="n">
        <v>83</v>
      </c>
      <c r="Z78" s="5" t="n">
        <v>6.66</v>
      </c>
      <c r="AA78" s="5" t="n">
        <v>6.72</v>
      </c>
      <c r="AB78" s="5" t="n">
        <v>6.693</v>
      </c>
      <c r="AG78" s="64">
        <f>TRUNC((_xlfn.NORM.INV((RAND()),$AF$6,$AF$7)),3)</f>
        <v/>
      </c>
      <c r="AI78" s="64" t="n">
        <v>83</v>
      </c>
      <c r="AJ78" s="5" t="n">
        <v>58.308</v>
      </c>
      <c r="AK78" s="5" t="n">
        <v>40.555</v>
      </c>
      <c r="AL78" s="5" t="n">
        <v>54.947</v>
      </c>
      <c r="AR78" s="64" t="n">
        <v>83</v>
      </c>
      <c r="AS78" s="5" t="n">
        <v>8.311967902479061</v>
      </c>
      <c r="AT78" s="5" t="n">
        <v>0</v>
      </c>
      <c r="AU78" s="5" t="n">
        <v>0</v>
      </c>
      <c r="AW78" s="64">
        <f>Z78/Demand!AU96</f>
        <v/>
      </c>
      <c r="AX78" s="64">
        <f>AA78/Demand!AV96</f>
        <v/>
      </c>
      <c r="AY78" s="64">
        <f>AB78/Demand!AW96</f>
        <v/>
      </c>
      <c r="BG78" s="64" t="n">
        <v>83</v>
      </c>
      <c r="BH78" s="64">
        <f>Results!$B$19+AJ78-Results!$D$21</f>
        <v/>
      </c>
      <c r="BI78" s="64">
        <f>Results!$B$19+AK78-Results!$D$21</f>
        <v/>
      </c>
      <c r="BJ78" s="64">
        <f>Results!$B$19+AL78-Results!$D$21</f>
        <v/>
      </c>
      <c r="BM78" s="64" t="n">
        <v>83</v>
      </c>
      <c r="BN78" s="64">
        <f>Results!D93</f>
        <v/>
      </c>
      <c r="BO78" s="64">
        <f>Results!E93</f>
        <v/>
      </c>
      <c r="BP78" s="64">
        <f>Results!F93</f>
        <v/>
      </c>
      <c r="BS78" s="64" t="n">
        <v>83</v>
      </c>
      <c r="BT78" s="64">
        <f>Demand!AU96</f>
        <v/>
      </c>
      <c r="BU78" s="64">
        <f>Demand!AV96</f>
        <v/>
      </c>
      <c r="BV78" s="64">
        <f>Demand!AW96</f>
        <v/>
      </c>
      <c r="BY78" s="64" t="n">
        <v>83</v>
      </c>
      <c r="BZ78" s="64">
        <f>Retailers_Cap!N79</f>
        <v/>
      </c>
      <c r="CA78" s="64">
        <f>Retailers_Cap!O79</f>
        <v/>
      </c>
      <c r="CB78" s="64">
        <f>Retailers_Cap!P79</f>
        <v/>
      </c>
      <c r="CD78" s="64" t="n">
        <v>83</v>
      </c>
      <c r="CE78" s="64">
        <f>IF((BT78-BZ78)&gt;=0,"Dem","Folga")</f>
        <v/>
      </c>
      <c r="CF78" s="64">
        <f>IF((BU78-CA78)&gt;=0,"Dem","Folga")</f>
        <v/>
      </c>
      <c r="CG78" s="64">
        <f>IF((BV78-CB78)&gt;=0,"Dem","Folga")</f>
        <v/>
      </c>
    </row>
    <row r="79">
      <c r="M79" s="64">
        <f>TRUNC((_xlfn.NORM.INV((RAND()),$L$6,$L$7)),2)</f>
        <v/>
      </c>
      <c r="O79" s="64" t="n">
        <v>84</v>
      </c>
      <c r="P79" s="5" t="n">
        <v>152.82</v>
      </c>
      <c r="Q79" s="5" t="n">
        <v>170.59</v>
      </c>
      <c r="R79" s="5" t="n">
        <v>172.95</v>
      </c>
      <c r="W79" s="64">
        <f>TRUNC((_xlfn.NORM.INV((RAND()),$V$6,$V$7)),3)</f>
        <v/>
      </c>
      <c r="Y79" s="64" t="n">
        <v>84</v>
      </c>
      <c r="Z79" s="5" t="n">
        <v>6.803</v>
      </c>
      <c r="AA79" s="5" t="n">
        <v>6.744</v>
      </c>
      <c r="AB79" s="5" t="n">
        <v>6.649</v>
      </c>
      <c r="AG79" s="64">
        <f>TRUNC((_xlfn.NORM.INV((RAND()),$AF$6,$AF$7)),3)</f>
        <v/>
      </c>
      <c r="AI79" s="64" t="n">
        <v>84</v>
      </c>
      <c r="AJ79" s="5" t="n">
        <v>74.29300000000001</v>
      </c>
      <c r="AK79" s="5" t="n">
        <v>63.705</v>
      </c>
      <c r="AL79" s="5" t="n">
        <v>78.667</v>
      </c>
      <c r="AR79" s="64" t="n">
        <v>84</v>
      </c>
      <c r="AS79" s="5" t="n">
        <v>28.57911943304778</v>
      </c>
      <c r="AT79" s="5" t="n">
        <v>2.291367862255126</v>
      </c>
      <c r="AU79" s="5" t="n">
        <v>7.500659825932169</v>
      </c>
      <c r="AW79" s="64">
        <f>Z79/Demand!AU97</f>
        <v/>
      </c>
      <c r="AX79" s="64">
        <f>AA79/Demand!AV97</f>
        <v/>
      </c>
      <c r="AY79" s="64">
        <f>AB79/Demand!AW97</f>
        <v/>
      </c>
      <c r="BG79" s="64" t="n">
        <v>84</v>
      </c>
      <c r="BH79" s="64">
        <f>Results!$B$19+AJ79-Results!$D$21</f>
        <v/>
      </c>
      <c r="BI79" s="64">
        <f>Results!$B$19+AK79-Results!$D$21</f>
        <v/>
      </c>
      <c r="BJ79" s="64">
        <f>Results!$B$19+AL79-Results!$D$21</f>
        <v/>
      </c>
      <c r="BM79" s="64" t="n">
        <v>84</v>
      </c>
      <c r="BN79" s="64">
        <f>Results!D94</f>
        <v/>
      </c>
      <c r="BO79" s="64">
        <f>Results!E94</f>
        <v/>
      </c>
      <c r="BP79" s="64">
        <f>Results!F94</f>
        <v/>
      </c>
      <c r="BS79" s="64" t="n">
        <v>84</v>
      </c>
      <c r="BT79" s="64">
        <f>Demand!AU97</f>
        <v/>
      </c>
      <c r="BU79" s="64">
        <f>Demand!AV97</f>
        <v/>
      </c>
      <c r="BV79" s="64">
        <f>Demand!AW97</f>
        <v/>
      </c>
      <c r="BY79" s="64" t="n">
        <v>84</v>
      </c>
      <c r="BZ79" s="64">
        <f>Retailers_Cap!N80</f>
        <v/>
      </c>
      <c r="CA79" s="64">
        <f>Retailers_Cap!O80</f>
        <v/>
      </c>
      <c r="CB79" s="64">
        <f>Retailers_Cap!P80</f>
        <v/>
      </c>
      <c r="CD79" s="64" t="n">
        <v>84</v>
      </c>
      <c r="CE79" s="64">
        <f>IF((BT79-BZ79)&gt;=0,"Dem","Folga")</f>
        <v/>
      </c>
      <c r="CF79" s="64">
        <f>IF((BU79-CA79)&gt;=0,"Dem","Folga")</f>
        <v/>
      </c>
      <c r="CG79" s="64">
        <f>IF((BV79-CB79)&gt;=0,"Dem","Folga")</f>
        <v/>
      </c>
    </row>
    <row r="80">
      <c r="M80" s="64">
        <f>TRUNC((_xlfn.NORM.INV((RAND()),$L$6,$L$7)),2)</f>
        <v/>
      </c>
      <c r="O80" s="64" t="n">
        <v>85</v>
      </c>
      <c r="P80" s="5" t="n">
        <v>143.28</v>
      </c>
      <c r="Q80" s="5" t="n">
        <v>163.29</v>
      </c>
      <c r="R80" s="5" t="n">
        <v>255.46</v>
      </c>
      <c r="W80" s="64">
        <f>TRUNC((_xlfn.NORM.INV((RAND()),$V$6,$V$7)),3)</f>
        <v/>
      </c>
      <c r="Y80" s="64" t="n">
        <v>85</v>
      </c>
      <c r="Z80" s="5" t="n">
        <v>6.7</v>
      </c>
      <c r="AA80" s="5" t="n">
        <v>6.659</v>
      </c>
      <c r="AB80" s="5" t="n">
        <v>6.769</v>
      </c>
      <c r="AG80" s="64">
        <f>TRUNC((_xlfn.NORM.INV((RAND()),$AF$6,$AF$7)),3)</f>
        <v/>
      </c>
      <c r="AI80" s="64" t="n">
        <v>85</v>
      </c>
      <c r="AJ80" s="5" t="n">
        <v>43.88</v>
      </c>
      <c r="AK80" s="5" t="n">
        <v>45.26</v>
      </c>
      <c r="AL80" s="5" t="n">
        <v>73.002</v>
      </c>
      <c r="AR80" s="64" t="n">
        <v>85</v>
      </c>
      <c r="AS80" s="5" t="n">
        <v>22.31879693668553</v>
      </c>
      <c r="AT80" s="5" t="n">
        <v>4.929241625246953</v>
      </c>
      <c r="AU80" s="5" t="n">
        <v>21.40794221476525</v>
      </c>
      <c r="AW80" s="64">
        <f>Z80/Demand!AU98</f>
        <v/>
      </c>
      <c r="AX80" s="64">
        <f>AA80/Demand!AV98</f>
        <v/>
      </c>
      <c r="AY80" s="64">
        <f>AB80/Demand!AW98</f>
        <v/>
      </c>
      <c r="BG80" s="64" t="n">
        <v>85</v>
      </c>
      <c r="BH80" s="64">
        <f>Results!$B$19+AJ80-Results!$D$21</f>
        <v/>
      </c>
      <c r="BI80" s="64">
        <f>Results!$B$19+AK80-Results!$D$21</f>
        <v/>
      </c>
      <c r="BJ80" s="64">
        <f>Results!$B$19+AL80-Results!$D$21</f>
        <v/>
      </c>
      <c r="BM80" s="64" t="n">
        <v>85</v>
      </c>
      <c r="BN80" s="64">
        <f>Results!D95</f>
        <v/>
      </c>
      <c r="BO80" s="64">
        <f>Results!E95</f>
        <v/>
      </c>
      <c r="BP80" s="64">
        <f>Results!F95</f>
        <v/>
      </c>
      <c r="BS80" s="64" t="n">
        <v>85</v>
      </c>
      <c r="BT80" s="64">
        <f>Demand!AU98</f>
        <v/>
      </c>
      <c r="BU80" s="64">
        <f>Demand!AV98</f>
        <v/>
      </c>
      <c r="BV80" s="64">
        <f>Demand!AW98</f>
        <v/>
      </c>
      <c r="BY80" s="64" t="n">
        <v>85</v>
      </c>
      <c r="BZ80" s="64">
        <f>Retailers_Cap!N81</f>
        <v/>
      </c>
      <c r="CA80" s="64">
        <f>Retailers_Cap!O81</f>
        <v/>
      </c>
      <c r="CB80" s="64">
        <f>Retailers_Cap!P81</f>
        <v/>
      </c>
      <c r="CD80" s="64" t="n">
        <v>85</v>
      </c>
      <c r="CE80" s="64">
        <f>IF((BT80-BZ80)&gt;=0,"Dem","Folga")</f>
        <v/>
      </c>
      <c r="CF80" s="64">
        <f>IF((BU80-CA80)&gt;=0,"Dem","Folga")</f>
        <v/>
      </c>
      <c r="CG80" s="64">
        <f>IF((BV80-CB80)&gt;=0,"Dem","Folga")</f>
        <v/>
      </c>
    </row>
    <row r="81">
      <c r="M81" s="64">
        <f>TRUNC((_xlfn.NORM.INV((RAND()),$L$6,$L$7)),2)</f>
        <v/>
      </c>
      <c r="O81" s="64" t="n">
        <v>86</v>
      </c>
      <c r="P81" s="5" t="n">
        <v>221.3</v>
      </c>
      <c r="Q81" s="5" t="n">
        <v>150.45</v>
      </c>
      <c r="R81" s="5" t="n">
        <v>187.36</v>
      </c>
      <c r="W81" s="64">
        <f>TRUNC((_xlfn.NORM.INV((RAND()),$V$6,$V$7)),3)</f>
        <v/>
      </c>
      <c r="Y81" s="64" t="n">
        <v>86</v>
      </c>
      <c r="Z81" s="5" t="n">
        <v>6.688</v>
      </c>
      <c r="AA81" s="5" t="n">
        <v>6.709</v>
      </c>
      <c r="AB81" s="5" t="n">
        <v>6.771</v>
      </c>
      <c r="AG81" s="64">
        <f>TRUNC((_xlfn.NORM.INV((RAND()),$AF$6,$AF$7)),3)</f>
        <v/>
      </c>
      <c r="AI81" s="64" t="n">
        <v>86</v>
      </c>
      <c r="AJ81" s="5" t="n">
        <v>48.869</v>
      </c>
      <c r="AK81" s="5" t="n">
        <v>72.712</v>
      </c>
      <c r="AL81" s="5" t="n">
        <v>37.245</v>
      </c>
      <c r="AR81" s="64" t="n">
        <v>86</v>
      </c>
      <c r="AS81" s="5" t="n">
        <v>0</v>
      </c>
      <c r="AT81" s="5" t="n">
        <v>0</v>
      </c>
      <c r="AU81" s="5" t="n">
        <v>0</v>
      </c>
      <c r="AW81" s="64">
        <f>Z81/Demand!AU99</f>
        <v/>
      </c>
      <c r="AX81" s="64">
        <f>AA81/Demand!AV99</f>
        <v/>
      </c>
      <c r="AY81" s="64">
        <f>AB81/Demand!AW99</f>
        <v/>
      </c>
      <c r="BG81" s="64" t="n">
        <v>86</v>
      </c>
      <c r="BH81" s="64">
        <f>Results!$B$19+AJ81-Results!$D$21</f>
        <v/>
      </c>
      <c r="BI81" s="64">
        <f>Results!$B$19+AK81-Results!$D$21</f>
        <v/>
      </c>
      <c r="BJ81" s="64">
        <f>Results!$B$19+AL81-Results!$D$21</f>
        <v/>
      </c>
      <c r="BM81" s="64" t="n">
        <v>86</v>
      </c>
      <c r="BN81" s="64">
        <f>Results!D96</f>
        <v/>
      </c>
      <c r="BO81" s="64">
        <f>Results!E96</f>
        <v/>
      </c>
      <c r="BP81" s="64">
        <f>Results!F96</f>
        <v/>
      </c>
      <c r="BS81" s="64" t="n">
        <v>86</v>
      </c>
      <c r="BT81" s="64">
        <f>Demand!AU99</f>
        <v/>
      </c>
      <c r="BU81" s="64">
        <f>Demand!AV99</f>
        <v/>
      </c>
      <c r="BV81" s="64">
        <f>Demand!AW99</f>
        <v/>
      </c>
      <c r="BY81" s="64" t="n">
        <v>86</v>
      </c>
      <c r="BZ81" s="64">
        <f>Retailers_Cap!N82</f>
        <v/>
      </c>
      <c r="CA81" s="64">
        <f>Retailers_Cap!O82</f>
        <v/>
      </c>
      <c r="CB81" s="64">
        <f>Retailers_Cap!P82</f>
        <v/>
      </c>
      <c r="CD81" s="64" t="n">
        <v>86</v>
      </c>
      <c r="CE81" s="64">
        <f>IF((BT81-BZ81)&gt;=0,"Dem","Folga")</f>
        <v/>
      </c>
      <c r="CF81" s="64">
        <f>IF((BU81-CA81)&gt;=0,"Dem","Folga")</f>
        <v/>
      </c>
      <c r="CG81" s="64">
        <f>IF((BV81-CB81)&gt;=0,"Dem","Folga")</f>
        <v/>
      </c>
    </row>
    <row r="82">
      <c r="M82" s="64">
        <f>TRUNC((_xlfn.NORM.INV((RAND()),$L$6,$L$7)),2)</f>
        <v/>
      </c>
      <c r="O82" s="64" t="n">
        <v>87</v>
      </c>
      <c r="P82" s="5" t="n">
        <v>271.61</v>
      </c>
      <c r="Q82" s="5" t="n">
        <v>251.82</v>
      </c>
      <c r="R82" s="5" t="n">
        <v>207.8</v>
      </c>
      <c r="W82" s="64">
        <f>TRUNC((_xlfn.NORM.INV((RAND()),$V$6,$V$7)),3)</f>
        <v/>
      </c>
      <c r="Y82" s="64" t="n">
        <v>87</v>
      </c>
      <c r="Z82" s="5" t="n">
        <v>6.716</v>
      </c>
      <c r="AA82" s="5" t="n">
        <v>6.804</v>
      </c>
      <c r="AB82" s="5" t="n">
        <v>6.856</v>
      </c>
      <c r="AG82" s="64">
        <f>TRUNC((_xlfn.NORM.INV((RAND()),$AF$6,$AF$7)),3)</f>
        <v/>
      </c>
      <c r="AI82" s="64" t="n">
        <v>87</v>
      </c>
      <c r="AJ82" s="5" t="n">
        <v>49.193</v>
      </c>
      <c r="AK82" s="5" t="n">
        <v>60.402</v>
      </c>
      <c r="AL82" s="5" t="n">
        <v>54.749</v>
      </c>
      <c r="AR82" s="64" t="n">
        <v>87</v>
      </c>
      <c r="AS82" s="5" t="n">
        <v>0</v>
      </c>
      <c r="AT82" s="5" t="n">
        <v>4.844104660238698</v>
      </c>
      <c r="AU82" s="5" t="n">
        <v>17.6508994271414</v>
      </c>
      <c r="AW82" s="64">
        <f>Z82/Demand!AU100</f>
        <v/>
      </c>
      <c r="AX82" s="64">
        <f>AA82/Demand!AV100</f>
        <v/>
      </c>
      <c r="AY82" s="64">
        <f>AB82/Demand!AW100</f>
        <v/>
      </c>
      <c r="BG82" s="64" t="n">
        <v>87</v>
      </c>
      <c r="BH82" s="64">
        <f>Results!$B$19+AJ82-Results!$D$21</f>
        <v/>
      </c>
      <c r="BI82" s="64">
        <f>Results!$B$19+AK82-Results!$D$21</f>
        <v/>
      </c>
      <c r="BJ82" s="64">
        <f>Results!$B$19+AL82-Results!$D$21</f>
        <v/>
      </c>
      <c r="BM82" s="64" t="n">
        <v>87</v>
      </c>
      <c r="BN82" s="64">
        <f>Results!D97</f>
        <v/>
      </c>
      <c r="BO82" s="64">
        <f>Results!E97</f>
        <v/>
      </c>
      <c r="BP82" s="64">
        <f>Results!F97</f>
        <v/>
      </c>
      <c r="BS82" s="64" t="n">
        <v>87</v>
      </c>
      <c r="BT82" s="64">
        <f>Demand!AU100</f>
        <v/>
      </c>
      <c r="BU82" s="64">
        <f>Demand!AV100</f>
        <v/>
      </c>
      <c r="BV82" s="64">
        <f>Demand!AW100</f>
        <v/>
      </c>
      <c r="BY82" s="64" t="n">
        <v>87</v>
      </c>
      <c r="BZ82" s="64">
        <f>Retailers_Cap!N83</f>
        <v/>
      </c>
      <c r="CA82" s="64">
        <f>Retailers_Cap!O83</f>
        <v/>
      </c>
      <c r="CB82" s="64">
        <f>Retailers_Cap!P83</f>
        <v/>
      </c>
      <c r="CD82" s="64" t="n">
        <v>87</v>
      </c>
      <c r="CE82" s="64">
        <f>IF((BT82-BZ82)&gt;=0,"Dem","Folga")</f>
        <v/>
      </c>
      <c r="CF82" s="64">
        <f>IF((BU82-CA82)&gt;=0,"Dem","Folga")</f>
        <v/>
      </c>
      <c r="CG82" s="64">
        <f>IF((BV82-CB82)&gt;=0,"Dem","Folga")</f>
        <v/>
      </c>
    </row>
    <row r="83">
      <c r="M83" s="64">
        <f>TRUNC((_xlfn.NORM.INV((RAND()),$L$6,$L$7)),2)</f>
        <v/>
      </c>
      <c r="O83" s="64" t="n">
        <v>88</v>
      </c>
      <c r="P83" s="5" t="n">
        <v>242.14</v>
      </c>
      <c r="Q83" s="5" t="n">
        <v>194.39</v>
      </c>
      <c r="R83" s="5" t="n">
        <v>164.58</v>
      </c>
      <c r="W83" s="64">
        <f>TRUNC((_xlfn.NORM.INV((RAND()),$V$6,$V$7)),3)</f>
        <v/>
      </c>
      <c r="Y83" s="64" t="n">
        <v>88</v>
      </c>
      <c r="Z83" s="5" t="n">
        <v>6.791</v>
      </c>
      <c r="AA83" s="5" t="n">
        <v>6.679</v>
      </c>
      <c r="AB83" s="5" t="n">
        <v>6.768</v>
      </c>
      <c r="AG83" s="64">
        <f>TRUNC((_xlfn.NORM.INV((RAND()),$AF$6,$AF$7)),3)</f>
        <v/>
      </c>
      <c r="AI83" s="64" t="n">
        <v>88</v>
      </c>
      <c r="AJ83" s="5" t="n">
        <v>63.535</v>
      </c>
      <c r="AK83" s="5" t="n">
        <v>56.853</v>
      </c>
      <c r="AL83" s="5" t="n">
        <v>54.955</v>
      </c>
      <c r="AR83" s="64" t="n">
        <v>88</v>
      </c>
      <c r="AS83" s="5" t="n">
        <v>0</v>
      </c>
      <c r="AT83" s="5" t="n">
        <v>0</v>
      </c>
      <c r="AU83" s="5" t="n">
        <v>0</v>
      </c>
      <c r="AW83" s="64">
        <f>Z83/Demand!AU101</f>
        <v/>
      </c>
      <c r="AX83" s="64">
        <f>AA83/Demand!AV101</f>
        <v/>
      </c>
      <c r="AY83" s="64">
        <f>AB83/Demand!AW101</f>
        <v/>
      </c>
      <c r="BG83" s="64" t="n">
        <v>88</v>
      </c>
      <c r="BH83" s="64">
        <f>Results!$B$19+AJ83-Results!$D$21</f>
        <v/>
      </c>
      <c r="BI83" s="64">
        <f>Results!$B$19+AK83-Results!$D$21</f>
        <v/>
      </c>
      <c r="BJ83" s="64">
        <f>Results!$B$19+AL83-Results!$D$21</f>
        <v/>
      </c>
      <c r="BM83" s="64" t="n">
        <v>88</v>
      </c>
      <c r="BN83" s="64">
        <f>Results!D98</f>
        <v/>
      </c>
      <c r="BO83" s="64">
        <f>Results!E98</f>
        <v/>
      </c>
      <c r="BP83" s="64">
        <f>Results!F98</f>
        <v/>
      </c>
      <c r="BS83" s="64" t="n">
        <v>88</v>
      </c>
      <c r="BT83" s="64">
        <f>Demand!AU101</f>
        <v/>
      </c>
      <c r="BU83" s="64">
        <f>Demand!AV101</f>
        <v/>
      </c>
      <c r="BV83" s="64">
        <f>Demand!AW101</f>
        <v/>
      </c>
      <c r="BY83" s="64" t="n">
        <v>88</v>
      </c>
      <c r="BZ83" s="64">
        <f>Retailers_Cap!N84</f>
        <v/>
      </c>
      <c r="CA83" s="64">
        <f>Retailers_Cap!O84</f>
        <v/>
      </c>
      <c r="CB83" s="64">
        <f>Retailers_Cap!P84</f>
        <v/>
      </c>
      <c r="CD83" s="64" t="n">
        <v>88</v>
      </c>
      <c r="CE83" s="64">
        <f>IF((BT83-BZ83)&gt;=0,"Dem","Folga")</f>
        <v/>
      </c>
      <c r="CF83" s="64">
        <f>IF((BU83-CA83)&gt;=0,"Dem","Folga")</f>
        <v/>
      </c>
      <c r="CG83" s="64">
        <f>IF((BV83-CB83)&gt;=0,"Dem","Folga")</f>
        <v/>
      </c>
    </row>
    <row r="84">
      <c r="M84" s="64">
        <f>TRUNC((_xlfn.NORM.INV((RAND()),$L$6,$L$7)),2)</f>
        <v/>
      </c>
      <c r="O84" s="64" t="n">
        <v>89</v>
      </c>
      <c r="P84" s="5" t="n">
        <v>177.37</v>
      </c>
      <c r="Q84" s="5" t="n">
        <v>172.8</v>
      </c>
      <c r="R84" s="5" t="n">
        <v>219.56</v>
      </c>
      <c r="W84" s="64">
        <f>TRUNC((_xlfn.NORM.INV((RAND()),$V$6,$V$7)),3)</f>
        <v/>
      </c>
      <c r="Y84" s="64" t="n">
        <v>89</v>
      </c>
      <c r="Z84" s="5" t="n">
        <v>6.776</v>
      </c>
      <c r="AA84" s="5" t="n">
        <v>6.749</v>
      </c>
      <c r="AB84" s="5" t="n">
        <v>6.774</v>
      </c>
      <c r="AG84" s="64">
        <f>TRUNC((_xlfn.NORM.INV((RAND()),$AF$6,$AF$7)),3)</f>
        <v/>
      </c>
      <c r="AI84" s="64" t="n">
        <v>89</v>
      </c>
      <c r="AJ84" s="5" t="n">
        <v>65.476</v>
      </c>
      <c r="AK84" s="5" t="n">
        <v>46.921</v>
      </c>
      <c r="AL84" s="5" t="n">
        <v>47.585</v>
      </c>
      <c r="AR84" s="64" t="n">
        <v>89</v>
      </c>
      <c r="AS84" s="5" t="n">
        <v>14.45904719764835</v>
      </c>
      <c r="AT84" s="5" t="n">
        <v>0</v>
      </c>
      <c r="AU84" s="5" t="n">
        <v>0</v>
      </c>
      <c r="AW84" s="64">
        <f>Z84/Demand!AU102</f>
        <v/>
      </c>
      <c r="AX84" s="64">
        <f>AA84/Demand!AV102</f>
        <v/>
      </c>
      <c r="AY84" s="64">
        <f>AB84/Demand!AW102</f>
        <v/>
      </c>
      <c r="BG84" s="64" t="n">
        <v>89</v>
      </c>
      <c r="BH84" s="64">
        <f>Results!$B$19+AJ84-Results!$D$21</f>
        <v/>
      </c>
      <c r="BI84" s="64">
        <f>Results!$B$19+AK84-Results!$D$21</f>
        <v/>
      </c>
      <c r="BJ84" s="64">
        <f>Results!$B$19+AL84-Results!$D$21</f>
        <v/>
      </c>
      <c r="BM84" s="64" t="n">
        <v>89</v>
      </c>
      <c r="BN84" s="64">
        <f>Results!D99</f>
        <v/>
      </c>
      <c r="BO84" s="64">
        <f>Results!E99</f>
        <v/>
      </c>
      <c r="BP84" s="64">
        <f>Results!F99</f>
        <v/>
      </c>
      <c r="BS84" s="64" t="n">
        <v>89</v>
      </c>
      <c r="BT84" s="64">
        <f>Demand!AU102</f>
        <v/>
      </c>
      <c r="BU84" s="64">
        <f>Demand!AV102</f>
        <v/>
      </c>
      <c r="BV84" s="64">
        <f>Demand!AW102</f>
        <v/>
      </c>
      <c r="BY84" s="64" t="n">
        <v>89</v>
      </c>
      <c r="BZ84" s="64">
        <f>Retailers_Cap!N85</f>
        <v/>
      </c>
      <c r="CA84" s="64">
        <f>Retailers_Cap!O85</f>
        <v/>
      </c>
      <c r="CB84" s="64">
        <f>Retailers_Cap!P85</f>
        <v/>
      </c>
      <c r="CD84" s="64" t="n">
        <v>89</v>
      </c>
      <c r="CE84" s="64">
        <f>IF((BT84-BZ84)&gt;=0,"Dem","Folga")</f>
        <v/>
      </c>
      <c r="CF84" s="64">
        <f>IF((BU84-CA84)&gt;=0,"Dem","Folga")</f>
        <v/>
      </c>
      <c r="CG84" s="64">
        <f>IF((BV84-CB84)&gt;=0,"Dem","Folga")</f>
        <v/>
      </c>
    </row>
    <row r="85">
      <c r="M85" s="64">
        <f>TRUNC((_xlfn.NORM.INV((RAND()),$L$6,$L$7)),2)</f>
        <v/>
      </c>
      <c r="O85" s="64" t="n">
        <v>90</v>
      </c>
      <c r="P85" s="5" t="n">
        <v>182.11</v>
      </c>
      <c r="Q85" s="5" t="n">
        <v>180.77</v>
      </c>
      <c r="R85" s="5" t="n">
        <v>249.92</v>
      </c>
      <c r="W85" s="64">
        <f>TRUNC((_xlfn.NORM.INV((RAND()),$V$6,$V$7)),3)</f>
        <v/>
      </c>
      <c r="Y85" s="64" t="n">
        <v>90</v>
      </c>
      <c r="Z85" s="5" t="n">
        <v>6.636</v>
      </c>
      <c r="AA85" s="5" t="n">
        <v>6.805</v>
      </c>
      <c r="AB85" s="5" t="n">
        <v>6.829</v>
      </c>
      <c r="AG85" s="64">
        <f>TRUNC((_xlfn.NORM.INV((RAND()),$AF$6,$AF$7)),3)</f>
        <v/>
      </c>
      <c r="AI85" s="64" t="n">
        <v>90</v>
      </c>
      <c r="AJ85" s="5" t="n">
        <v>43.388</v>
      </c>
      <c r="AK85" s="5" t="n">
        <v>75.02800000000001</v>
      </c>
      <c r="AL85" s="5" t="n">
        <v>62.04</v>
      </c>
      <c r="AR85" s="64" t="n">
        <v>90</v>
      </c>
      <c r="AS85" s="5" t="n">
        <v>0</v>
      </c>
      <c r="AT85" s="5" t="n">
        <v>0</v>
      </c>
      <c r="AU85" s="5" t="n">
        <v>0</v>
      </c>
      <c r="AW85" s="64">
        <f>Z85/Demand!AU103</f>
        <v/>
      </c>
      <c r="AX85" s="64">
        <f>AA85/Demand!AV103</f>
        <v/>
      </c>
      <c r="AY85" s="64">
        <f>AB85/Demand!AW103</f>
        <v/>
      </c>
      <c r="BG85" s="64" t="n">
        <v>90</v>
      </c>
      <c r="BH85" s="64">
        <f>Results!$B$19+AJ85-Results!$D$21</f>
        <v/>
      </c>
      <c r="BI85" s="64">
        <f>Results!$B$19+AK85-Results!$D$21</f>
        <v/>
      </c>
      <c r="BJ85" s="64">
        <f>Results!$B$19+AL85-Results!$D$21</f>
        <v/>
      </c>
      <c r="BM85" s="64" t="n">
        <v>90</v>
      </c>
      <c r="BN85" s="64">
        <f>Results!D100</f>
        <v/>
      </c>
      <c r="BO85" s="64">
        <f>Results!E100</f>
        <v/>
      </c>
      <c r="BP85" s="64">
        <f>Results!F100</f>
        <v/>
      </c>
      <c r="BS85" s="64" t="n">
        <v>90</v>
      </c>
      <c r="BT85" s="64">
        <f>Demand!AU103</f>
        <v/>
      </c>
      <c r="BU85" s="64">
        <f>Demand!AV103</f>
        <v/>
      </c>
      <c r="BV85" s="64">
        <f>Demand!AW103</f>
        <v/>
      </c>
      <c r="BY85" s="64" t="n">
        <v>90</v>
      </c>
      <c r="BZ85" s="64">
        <f>Retailers_Cap!N86</f>
        <v/>
      </c>
      <c r="CA85" s="64">
        <f>Retailers_Cap!O86</f>
        <v/>
      </c>
      <c r="CB85" s="64">
        <f>Retailers_Cap!P86</f>
        <v/>
      </c>
      <c r="CD85" s="64" t="n">
        <v>90</v>
      </c>
      <c r="CE85" s="64">
        <f>IF((BT85-BZ85)&gt;=0,"Dem","Folga")</f>
        <v/>
      </c>
      <c r="CF85" s="64">
        <f>IF((BU85-CA85)&gt;=0,"Dem","Folga")</f>
        <v/>
      </c>
      <c r="CG85" s="64">
        <f>IF((BV85-CB85)&gt;=0,"Dem","Folga")</f>
        <v/>
      </c>
    </row>
    <row r="86">
      <c r="M86" s="64">
        <f>TRUNC((_xlfn.NORM.INV((RAND()),$L$6,$L$7)),2)</f>
        <v/>
      </c>
      <c r="O86" s="64" t="n">
        <v>91</v>
      </c>
      <c r="P86" s="5" t="n">
        <v>175.31</v>
      </c>
      <c r="Q86" s="5" t="n">
        <v>175.67</v>
      </c>
      <c r="R86" s="5" t="n">
        <v>194.23</v>
      </c>
      <c r="W86" s="64">
        <f>TRUNC((_xlfn.NORM.INV((RAND()),$V$6,$V$7)),3)</f>
        <v/>
      </c>
      <c r="Y86" s="64" t="n">
        <v>91</v>
      </c>
      <c r="Z86" s="5" t="n">
        <v>6.657</v>
      </c>
      <c r="AA86" s="5" t="n">
        <v>6.61</v>
      </c>
      <c r="AB86" s="5" t="n">
        <v>6.742</v>
      </c>
      <c r="AG86" s="64">
        <f>TRUNC((_xlfn.NORM.INV((RAND()),$AF$6,$AF$7)),3)</f>
        <v/>
      </c>
      <c r="AI86" s="64" t="n">
        <v>91</v>
      </c>
      <c r="AJ86" s="5" t="n">
        <v>68.217</v>
      </c>
      <c r="AK86" s="5" t="n">
        <v>59.264</v>
      </c>
      <c r="AL86" s="5" t="n">
        <v>71.79300000000001</v>
      </c>
      <c r="AR86" s="64" t="n">
        <v>91</v>
      </c>
      <c r="AS86" s="5" t="n">
        <v>0</v>
      </c>
      <c r="AT86" s="5" t="n">
        <v>0</v>
      </c>
      <c r="AU86" s="5" t="n">
        <v>0</v>
      </c>
      <c r="AW86" s="64">
        <f>Z86/Demand!AU104</f>
        <v/>
      </c>
      <c r="AX86" s="64">
        <f>AA86/Demand!AV104</f>
        <v/>
      </c>
      <c r="AY86" s="64">
        <f>AB86/Demand!AW104</f>
        <v/>
      </c>
      <c r="BG86" s="64" t="n">
        <v>91</v>
      </c>
      <c r="BH86" s="64">
        <f>Results!$B$19+AJ86-Results!$D$21</f>
        <v/>
      </c>
      <c r="BI86" s="64">
        <f>Results!$B$19+AK86-Results!$D$21</f>
        <v/>
      </c>
      <c r="BJ86" s="64">
        <f>Results!$B$19+AL86-Results!$D$21</f>
        <v/>
      </c>
      <c r="BM86" s="64" t="n">
        <v>91</v>
      </c>
      <c r="BN86" s="64">
        <f>Results!D101</f>
        <v/>
      </c>
      <c r="BO86" s="64">
        <f>Results!E101</f>
        <v/>
      </c>
      <c r="BP86" s="64">
        <f>Results!F101</f>
        <v/>
      </c>
      <c r="BS86" s="64" t="n">
        <v>91</v>
      </c>
      <c r="BT86" s="64">
        <f>Demand!AU104</f>
        <v/>
      </c>
      <c r="BU86" s="64">
        <f>Demand!AV104</f>
        <v/>
      </c>
      <c r="BV86" s="64">
        <f>Demand!AW104</f>
        <v/>
      </c>
      <c r="BY86" s="64" t="n">
        <v>91</v>
      </c>
      <c r="BZ86" s="64">
        <f>Retailers_Cap!N87</f>
        <v/>
      </c>
      <c r="CA86" s="64">
        <f>Retailers_Cap!O87</f>
        <v/>
      </c>
      <c r="CB86" s="64">
        <f>Retailers_Cap!P87</f>
        <v/>
      </c>
      <c r="CD86" s="64" t="n">
        <v>91</v>
      </c>
      <c r="CE86" s="64">
        <f>IF((BT86-BZ86)&gt;=0,"Dem","Folga")</f>
        <v/>
      </c>
      <c r="CF86" s="64">
        <f>IF((BU86-CA86)&gt;=0,"Dem","Folga")</f>
        <v/>
      </c>
      <c r="CG86" s="64">
        <f>IF((BV86-CB86)&gt;=0,"Dem","Folga")</f>
        <v/>
      </c>
    </row>
    <row r="87">
      <c r="M87" s="64">
        <f>TRUNC((_xlfn.NORM.INV((RAND()),$L$6,$L$7)),2)</f>
        <v/>
      </c>
      <c r="O87" s="64" t="n">
        <v>92</v>
      </c>
      <c r="P87" s="5" t="n">
        <v>224.67</v>
      </c>
      <c r="Q87" s="5" t="n">
        <v>287.15</v>
      </c>
      <c r="R87" s="5" t="n">
        <v>171.49</v>
      </c>
      <c r="W87" s="64">
        <f>TRUNC((_xlfn.NORM.INV((RAND()),$V$6,$V$7)),3)</f>
        <v/>
      </c>
      <c r="Y87" s="64" t="n">
        <v>92</v>
      </c>
      <c r="Z87" s="5" t="n">
        <v>6.71</v>
      </c>
      <c r="AA87" s="5" t="n">
        <v>6.639</v>
      </c>
      <c r="AB87" s="5" t="n">
        <v>6.647</v>
      </c>
      <c r="AG87" s="64">
        <f>TRUNC((_xlfn.NORM.INV((RAND()),$AF$6,$AF$7)),3)</f>
        <v/>
      </c>
      <c r="AI87" s="64" t="n">
        <v>92</v>
      </c>
      <c r="AJ87" s="5" t="n">
        <v>51.088</v>
      </c>
      <c r="AK87" s="5" t="n">
        <v>58.817</v>
      </c>
      <c r="AL87" s="5" t="n">
        <v>68.974</v>
      </c>
      <c r="AR87" s="64" t="n">
        <v>92</v>
      </c>
      <c r="AS87" s="5" t="n">
        <v>25.78103090573549</v>
      </c>
      <c r="AT87" s="5" t="n">
        <v>0</v>
      </c>
      <c r="AU87" s="5" t="n">
        <v>0</v>
      </c>
      <c r="AW87" s="64">
        <f>Z87/Demand!AU105</f>
        <v/>
      </c>
      <c r="AX87" s="64">
        <f>AA87/Demand!AV105</f>
        <v/>
      </c>
      <c r="AY87" s="64">
        <f>AB87/Demand!AW105</f>
        <v/>
      </c>
      <c r="BG87" s="64" t="n">
        <v>92</v>
      </c>
      <c r="BH87" s="64">
        <f>Results!$B$19+AJ87-Results!$D$21</f>
        <v/>
      </c>
      <c r="BI87" s="64">
        <f>Results!$B$19+AK87-Results!$D$21</f>
        <v/>
      </c>
      <c r="BJ87" s="64">
        <f>Results!$B$19+AL87-Results!$D$21</f>
        <v/>
      </c>
      <c r="BM87" s="64" t="n">
        <v>92</v>
      </c>
      <c r="BN87" s="64">
        <f>Results!D102</f>
        <v/>
      </c>
      <c r="BO87" s="64">
        <f>Results!E102</f>
        <v/>
      </c>
      <c r="BP87" s="64">
        <f>Results!F102</f>
        <v/>
      </c>
      <c r="BS87" s="64" t="n">
        <v>92</v>
      </c>
      <c r="BT87" s="64">
        <f>Demand!AU105</f>
        <v/>
      </c>
      <c r="BU87" s="64">
        <f>Demand!AV105</f>
        <v/>
      </c>
      <c r="BV87" s="64">
        <f>Demand!AW105</f>
        <v/>
      </c>
      <c r="BY87" s="64" t="n">
        <v>92</v>
      </c>
      <c r="BZ87" s="64">
        <f>Retailers_Cap!N88</f>
        <v/>
      </c>
      <c r="CA87" s="64">
        <f>Retailers_Cap!O88</f>
        <v/>
      </c>
      <c r="CB87" s="64">
        <f>Retailers_Cap!P88</f>
        <v/>
      </c>
      <c r="CD87" s="64" t="n">
        <v>92</v>
      </c>
      <c r="CE87" s="64">
        <f>IF((BT87-BZ87)&gt;=0,"Dem","Folga")</f>
        <v/>
      </c>
      <c r="CF87" s="64">
        <f>IF((BU87-CA87)&gt;=0,"Dem","Folga")</f>
        <v/>
      </c>
      <c r="CG87" s="64">
        <f>IF((BV87-CB87)&gt;=0,"Dem","Folga")</f>
        <v/>
      </c>
    </row>
    <row r="88">
      <c r="M88" s="64">
        <f>TRUNC((_xlfn.NORM.INV((RAND()),$L$6,$L$7)),2)</f>
        <v/>
      </c>
      <c r="O88" s="64" t="n">
        <v>93</v>
      </c>
      <c r="P88" s="5" t="n">
        <v>169.32</v>
      </c>
      <c r="Q88" s="5" t="n">
        <v>216.85</v>
      </c>
      <c r="R88" s="5" t="n">
        <v>197.85</v>
      </c>
      <c r="W88" s="64">
        <f>TRUNC((_xlfn.NORM.INV((RAND()),$V$6,$V$7)),3)</f>
        <v/>
      </c>
      <c r="Y88" s="64" t="n">
        <v>93</v>
      </c>
      <c r="Z88" s="5" t="n">
        <v>6.739</v>
      </c>
      <c r="AA88" s="5" t="n">
        <v>6.69</v>
      </c>
      <c r="AB88" s="5" t="n">
        <v>6.858</v>
      </c>
      <c r="AG88" s="64">
        <f>TRUNC((_xlfn.NORM.INV((RAND()),$AF$6,$AF$7)),3)</f>
        <v/>
      </c>
      <c r="AI88" s="64" t="n">
        <v>93</v>
      </c>
      <c r="AJ88" s="5" t="n">
        <v>63.733</v>
      </c>
      <c r="AK88" s="5" t="n">
        <v>56.199</v>
      </c>
      <c r="AL88" s="5" t="n">
        <v>54.766</v>
      </c>
      <c r="AR88" s="64" t="n">
        <v>93</v>
      </c>
      <c r="AS88" s="5" t="n">
        <v>32.81347780208073</v>
      </c>
      <c r="AT88" s="5" t="n">
        <v>0</v>
      </c>
      <c r="AU88" s="5" t="n">
        <v>0</v>
      </c>
      <c r="AW88" s="64">
        <f>Z88/Demand!AU106</f>
        <v/>
      </c>
      <c r="AX88" s="64">
        <f>AA88/Demand!AV106</f>
        <v/>
      </c>
      <c r="AY88" s="64">
        <f>AB88/Demand!AW106</f>
        <v/>
      </c>
      <c r="BG88" s="64" t="n">
        <v>93</v>
      </c>
      <c r="BH88" s="64">
        <f>Results!$B$19+AJ88-Results!$D$21</f>
        <v/>
      </c>
      <c r="BI88" s="64">
        <f>Results!$B$19+AK88-Results!$D$21</f>
        <v/>
      </c>
      <c r="BJ88" s="64">
        <f>Results!$B$19+AL88-Results!$D$21</f>
        <v/>
      </c>
      <c r="BM88" s="64" t="n">
        <v>93</v>
      </c>
      <c r="BN88" s="64">
        <f>Results!D103</f>
        <v/>
      </c>
      <c r="BO88" s="64">
        <f>Results!E103</f>
        <v/>
      </c>
      <c r="BP88" s="64">
        <f>Results!F103</f>
        <v/>
      </c>
      <c r="BS88" s="64" t="n">
        <v>93</v>
      </c>
      <c r="BT88" s="64">
        <f>Demand!AU106</f>
        <v/>
      </c>
      <c r="BU88" s="64">
        <f>Demand!AV106</f>
        <v/>
      </c>
      <c r="BV88" s="64">
        <f>Demand!AW106</f>
        <v/>
      </c>
      <c r="BY88" s="64" t="n">
        <v>93</v>
      </c>
      <c r="BZ88" s="64">
        <f>Retailers_Cap!N89</f>
        <v/>
      </c>
      <c r="CA88" s="64">
        <f>Retailers_Cap!O89</f>
        <v/>
      </c>
      <c r="CB88" s="64">
        <f>Retailers_Cap!P89</f>
        <v/>
      </c>
      <c r="CD88" s="64" t="n">
        <v>93</v>
      </c>
      <c r="CE88" s="64">
        <f>IF((BT88-BZ88)&gt;=0,"Dem","Folga")</f>
        <v/>
      </c>
      <c r="CF88" s="64">
        <f>IF((BU88-CA88)&gt;=0,"Dem","Folga")</f>
        <v/>
      </c>
      <c r="CG88" s="64">
        <f>IF((BV88-CB88)&gt;=0,"Dem","Folga")</f>
        <v/>
      </c>
    </row>
    <row r="89">
      <c r="M89" s="64">
        <f>TRUNC((_xlfn.NORM.INV((RAND()),$L$6,$L$7)),2)</f>
        <v/>
      </c>
      <c r="O89" s="64" t="n">
        <v>94</v>
      </c>
      <c r="P89" s="5" t="n">
        <v>212.17</v>
      </c>
      <c r="Q89" s="5" t="n">
        <v>273</v>
      </c>
      <c r="R89" s="5" t="n">
        <v>156.67</v>
      </c>
      <c r="W89" s="64">
        <f>TRUNC((_xlfn.NORM.INV((RAND()),$V$6,$V$7)),3)</f>
        <v/>
      </c>
      <c r="Y89" s="64" t="n">
        <v>94</v>
      </c>
      <c r="Z89" s="5" t="n">
        <v>6.676</v>
      </c>
      <c r="AA89" s="5" t="n">
        <v>6.769</v>
      </c>
      <c r="AB89" s="5" t="n">
        <v>6.707</v>
      </c>
      <c r="AG89" s="64">
        <f>TRUNC((_xlfn.NORM.INV((RAND()),$AF$6,$AF$7)),3)</f>
        <v/>
      </c>
      <c r="AI89" s="64" t="n">
        <v>94</v>
      </c>
      <c r="AJ89" s="5" t="n">
        <v>54.094</v>
      </c>
      <c r="AK89" s="5" t="n">
        <v>44.299</v>
      </c>
      <c r="AL89" s="5" t="n">
        <v>66.834</v>
      </c>
      <c r="AR89" s="64" t="n">
        <v>94</v>
      </c>
      <c r="AS89" s="5" t="n">
        <v>0</v>
      </c>
      <c r="AT89" s="5" t="n">
        <v>3.485629001430078</v>
      </c>
      <c r="AU89" s="5" t="n">
        <v>17.56161021377665</v>
      </c>
      <c r="AW89" s="64">
        <f>Z89/Demand!AU107</f>
        <v/>
      </c>
      <c r="AX89" s="64">
        <f>AA89/Demand!AV107</f>
        <v/>
      </c>
      <c r="AY89" s="64">
        <f>AB89/Demand!AW107</f>
        <v/>
      </c>
      <c r="BG89" s="64" t="n">
        <v>94</v>
      </c>
      <c r="BH89" s="64">
        <f>Results!$B$19+AJ89-Results!$D$21</f>
        <v/>
      </c>
      <c r="BI89" s="64">
        <f>Results!$B$19+AK89-Results!$D$21</f>
        <v/>
      </c>
      <c r="BJ89" s="64">
        <f>Results!$B$19+AL89-Results!$D$21</f>
        <v/>
      </c>
      <c r="BM89" s="64" t="n">
        <v>94</v>
      </c>
      <c r="BN89" s="64">
        <f>Results!D104</f>
        <v/>
      </c>
      <c r="BO89" s="64">
        <f>Results!E104</f>
        <v/>
      </c>
      <c r="BP89" s="64">
        <f>Results!F104</f>
        <v/>
      </c>
      <c r="BS89" s="64" t="n">
        <v>94</v>
      </c>
      <c r="BT89" s="64">
        <f>Demand!AU107</f>
        <v/>
      </c>
      <c r="BU89" s="64">
        <f>Demand!AV107</f>
        <v/>
      </c>
      <c r="BV89" s="64">
        <f>Demand!AW107</f>
        <v/>
      </c>
      <c r="BY89" s="64" t="n">
        <v>94</v>
      </c>
      <c r="BZ89" s="64">
        <f>Retailers_Cap!N90</f>
        <v/>
      </c>
      <c r="CA89" s="64">
        <f>Retailers_Cap!O90</f>
        <v/>
      </c>
      <c r="CB89" s="64">
        <f>Retailers_Cap!P90</f>
        <v/>
      </c>
      <c r="CD89" s="64" t="n">
        <v>94</v>
      </c>
      <c r="CE89" s="64">
        <f>IF((BT89-BZ89)&gt;=0,"Dem","Folga")</f>
        <v/>
      </c>
      <c r="CF89" s="64">
        <f>IF((BU89-CA89)&gt;=0,"Dem","Folga")</f>
        <v/>
      </c>
      <c r="CG89" s="64">
        <f>IF((BV89-CB89)&gt;=0,"Dem","Folga")</f>
        <v/>
      </c>
    </row>
    <row r="90">
      <c r="M90" s="64">
        <f>TRUNC((_xlfn.NORM.INV((RAND()),$L$6,$L$7)),2)</f>
        <v/>
      </c>
      <c r="O90" s="64" t="n">
        <v>95</v>
      </c>
      <c r="P90" s="5" t="n">
        <v>223.33</v>
      </c>
      <c r="Q90" s="5" t="n">
        <v>253.01</v>
      </c>
      <c r="R90" s="5" t="n">
        <v>211.19</v>
      </c>
      <c r="W90" s="64">
        <f>TRUNC((_xlfn.NORM.INV((RAND()),$V$6,$V$7)),3)</f>
        <v/>
      </c>
      <c r="Y90" s="64" t="n">
        <v>95</v>
      </c>
      <c r="Z90" s="5" t="n">
        <v>6.788</v>
      </c>
      <c r="AA90" s="5" t="n">
        <v>6.692</v>
      </c>
      <c r="AB90" s="5" t="n">
        <v>6.766</v>
      </c>
      <c r="AG90" s="64">
        <f>TRUNC((_xlfn.NORM.INV((RAND()),$AF$6,$AF$7)),3)</f>
        <v/>
      </c>
      <c r="AI90" s="64" t="n">
        <v>95</v>
      </c>
      <c r="AJ90" s="5" t="n">
        <v>65.167</v>
      </c>
      <c r="AK90" s="5" t="n">
        <v>53.927</v>
      </c>
      <c r="AL90" s="5" t="n">
        <v>50.366</v>
      </c>
      <c r="AR90" s="64" t="n">
        <v>95</v>
      </c>
      <c r="AS90" s="5" t="n">
        <v>0</v>
      </c>
      <c r="AT90" s="5" t="n">
        <v>11.33105018499738</v>
      </c>
      <c r="AU90" s="5" t="n">
        <v>7.316412486994533</v>
      </c>
      <c r="AW90" s="64">
        <f>Z90/Demand!AU108</f>
        <v/>
      </c>
      <c r="AX90" s="64">
        <f>AA90/Demand!AV108</f>
        <v/>
      </c>
      <c r="AY90" s="64">
        <f>AB90/Demand!AW108</f>
        <v/>
      </c>
      <c r="BG90" s="64" t="n">
        <v>95</v>
      </c>
      <c r="BH90" s="64">
        <f>Results!$B$19+AJ90-Results!$D$21</f>
        <v/>
      </c>
      <c r="BI90" s="64">
        <f>Results!$B$19+AK90-Results!$D$21</f>
        <v/>
      </c>
      <c r="BJ90" s="64">
        <f>Results!$B$19+AL90-Results!$D$21</f>
        <v/>
      </c>
      <c r="BM90" s="64" t="n">
        <v>95</v>
      </c>
      <c r="BN90" s="64">
        <f>Results!D105</f>
        <v/>
      </c>
      <c r="BO90" s="64">
        <f>Results!E105</f>
        <v/>
      </c>
      <c r="BP90" s="64">
        <f>Results!F105</f>
        <v/>
      </c>
      <c r="BS90" s="64" t="n">
        <v>95</v>
      </c>
      <c r="BT90" s="64">
        <f>Demand!AU108</f>
        <v/>
      </c>
      <c r="BU90" s="64">
        <f>Demand!AV108</f>
        <v/>
      </c>
      <c r="BV90" s="64">
        <f>Demand!AW108</f>
        <v/>
      </c>
      <c r="BY90" s="64" t="n">
        <v>95</v>
      </c>
      <c r="BZ90" s="64">
        <f>Retailers_Cap!N91</f>
        <v/>
      </c>
      <c r="CA90" s="64">
        <f>Retailers_Cap!O91</f>
        <v/>
      </c>
      <c r="CB90" s="64">
        <f>Retailers_Cap!P91</f>
        <v/>
      </c>
      <c r="CD90" s="64" t="n">
        <v>95</v>
      </c>
      <c r="CE90" s="64">
        <f>IF((BT90-BZ90)&gt;=0,"Dem","Folga")</f>
        <v/>
      </c>
      <c r="CF90" s="64">
        <f>IF((BU90-CA90)&gt;=0,"Dem","Folga")</f>
        <v/>
      </c>
      <c r="CG90" s="64">
        <f>IF((BV90-CB90)&gt;=0,"Dem","Folga")</f>
        <v/>
      </c>
    </row>
    <row r="91">
      <c r="M91" s="64">
        <f>TRUNC((_xlfn.NORM.INV((RAND()),$L$6,$L$7)),2)</f>
        <v/>
      </c>
      <c r="O91" s="64" t="n">
        <v>96</v>
      </c>
      <c r="P91" s="5" t="n">
        <v>188.28</v>
      </c>
      <c r="Q91" s="5" t="n">
        <v>152.79</v>
      </c>
      <c r="R91" s="5" t="n">
        <v>158.73</v>
      </c>
      <c r="W91" s="64">
        <f>TRUNC((_xlfn.NORM.INV((RAND()),$V$6,$V$7)),3)</f>
        <v/>
      </c>
      <c r="Y91" s="64" t="n">
        <v>96</v>
      </c>
      <c r="Z91" s="5" t="n">
        <v>6.685</v>
      </c>
      <c r="AA91" s="5" t="n">
        <v>6.741</v>
      </c>
      <c r="AB91" s="5" t="n">
        <v>6.695</v>
      </c>
      <c r="AG91" s="64">
        <f>TRUNC((_xlfn.NORM.INV((RAND()),$AF$6,$AF$7)),3)</f>
        <v/>
      </c>
      <c r="AI91" s="64" t="n">
        <v>96</v>
      </c>
      <c r="AJ91" s="5" t="n">
        <v>45.181</v>
      </c>
      <c r="AK91" s="5" t="n">
        <v>83.289</v>
      </c>
      <c r="AL91" s="5" t="n">
        <v>55.479</v>
      </c>
      <c r="AR91" s="64" t="n">
        <v>96</v>
      </c>
      <c r="AS91" s="5" t="n">
        <v>0</v>
      </c>
      <c r="AT91" s="5" t="n">
        <v>0</v>
      </c>
      <c r="AU91" s="5" t="n">
        <v>0</v>
      </c>
      <c r="AW91" s="64">
        <f>Z91/Demand!AU109</f>
        <v/>
      </c>
      <c r="AX91" s="64">
        <f>AA91/Demand!AV109</f>
        <v/>
      </c>
      <c r="AY91" s="64">
        <f>AB91/Demand!AW109</f>
        <v/>
      </c>
      <c r="BG91" s="64" t="n">
        <v>96</v>
      </c>
      <c r="BH91" s="64">
        <f>Results!$B$19+AJ91-Results!$D$21</f>
        <v/>
      </c>
      <c r="BI91" s="64">
        <f>Results!$B$19+AK91-Results!$D$21</f>
        <v/>
      </c>
      <c r="BJ91" s="64">
        <f>Results!$B$19+AL91-Results!$D$21</f>
        <v/>
      </c>
      <c r="BM91" s="64" t="n">
        <v>96</v>
      </c>
      <c r="BN91" s="64">
        <f>Results!D106</f>
        <v/>
      </c>
      <c r="BO91" s="64">
        <f>Results!E106</f>
        <v/>
      </c>
      <c r="BP91" s="64">
        <f>Results!F106</f>
        <v/>
      </c>
      <c r="BS91" s="64" t="n">
        <v>96</v>
      </c>
      <c r="BT91" s="64">
        <f>Demand!AU109</f>
        <v/>
      </c>
      <c r="BU91" s="64">
        <f>Demand!AV109</f>
        <v/>
      </c>
      <c r="BV91" s="64">
        <f>Demand!AW109</f>
        <v/>
      </c>
      <c r="BY91" s="64" t="n">
        <v>96</v>
      </c>
      <c r="BZ91" s="64">
        <f>Retailers_Cap!N92</f>
        <v/>
      </c>
      <c r="CA91" s="64">
        <f>Retailers_Cap!O92</f>
        <v/>
      </c>
      <c r="CB91" s="64">
        <f>Retailers_Cap!P92</f>
        <v/>
      </c>
      <c r="CD91" s="64" t="n">
        <v>96</v>
      </c>
      <c r="CE91" s="64">
        <f>IF((BT91-BZ91)&gt;=0,"Dem","Folga")</f>
        <v/>
      </c>
      <c r="CF91" s="64">
        <f>IF((BU91-CA91)&gt;=0,"Dem","Folga")</f>
        <v/>
      </c>
      <c r="CG91" s="64">
        <f>IF((BV91-CB91)&gt;=0,"Dem","Folga")</f>
        <v/>
      </c>
    </row>
    <row r="92">
      <c r="M92" s="64">
        <f>TRUNC((_xlfn.NORM.INV((RAND()),$L$6,$L$7)),2)</f>
        <v/>
      </c>
      <c r="O92" s="64" t="n">
        <v>97</v>
      </c>
      <c r="P92" s="5" t="n">
        <v>183.55</v>
      </c>
      <c r="Q92" s="5" t="n">
        <v>189.74</v>
      </c>
      <c r="R92" s="5" t="n">
        <v>210.71</v>
      </c>
      <c r="W92" s="64">
        <f>TRUNC((_xlfn.NORM.INV((RAND()),$V$6,$V$7)),3)</f>
        <v/>
      </c>
      <c r="Y92" s="64" t="n">
        <v>97</v>
      </c>
      <c r="Z92" s="5" t="n">
        <v>6.668</v>
      </c>
      <c r="AA92" s="5" t="n">
        <v>6.723</v>
      </c>
      <c r="AB92" s="5" t="n">
        <v>6.742</v>
      </c>
      <c r="AG92" s="64">
        <f>TRUNC((_xlfn.NORM.INV((RAND()),$AF$6,$AF$7)),3)</f>
        <v/>
      </c>
      <c r="AI92" s="64" t="n">
        <v>97</v>
      </c>
      <c r="AJ92" s="5" t="n">
        <v>79.949</v>
      </c>
      <c r="AK92" s="5" t="n">
        <v>56.712</v>
      </c>
      <c r="AL92" s="5" t="n">
        <v>81.46599999999999</v>
      </c>
      <c r="AR92" s="64" t="n">
        <v>97</v>
      </c>
      <c r="AS92" s="5" t="n">
        <v>7.403876827357038</v>
      </c>
      <c r="AT92" s="5" t="n">
        <v>0</v>
      </c>
      <c r="AU92" s="5" t="n">
        <v>10.34390409567436</v>
      </c>
      <c r="AW92" s="64">
        <f>Z92/Demand!AU110</f>
        <v/>
      </c>
      <c r="AX92" s="64">
        <f>AA92/Demand!AV110</f>
        <v/>
      </c>
      <c r="AY92" s="64">
        <f>AB92/Demand!AW110</f>
        <v/>
      </c>
      <c r="BG92" s="64" t="n">
        <v>97</v>
      </c>
      <c r="BH92" s="64">
        <f>Results!$B$19+AJ92-Results!$D$21</f>
        <v/>
      </c>
      <c r="BI92" s="64">
        <f>Results!$B$19+AK92-Results!$D$21</f>
        <v/>
      </c>
      <c r="BJ92" s="64">
        <f>Results!$B$19+AL92-Results!$D$21</f>
        <v/>
      </c>
      <c r="BM92" s="64" t="n">
        <v>97</v>
      </c>
      <c r="BN92" s="64">
        <f>Results!D107</f>
        <v/>
      </c>
      <c r="BO92" s="64">
        <f>Results!E107</f>
        <v/>
      </c>
      <c r="BP92" s="64">
        <f>Results!F107</f>
        <v/>
      </c>
      <c r="BS92" s="64" t="n">
        <v>97</v>
      </c>
      <c r="BT92" s="64">
        <f>Demand!AU110</f>
        <v/>
      </c>
      <c r="BU92" s="64">
        <f>Demand!AV110</f>
        <v/>
      </c>
      <c r="BV92" s="64">
        <f>Demand!AW110</f>
        <v/>
      </c>
      <c r="BY92" s="64" t="n">
        <v>97</v>
      </c>
      <c r="BZ92" s="64">
        <f>Retailers_Cap!N93</f>
        <v/>
      </c>
      <c r="CA92" s="64">
        <f>Retailers_Cap!O93</f>
        <v/>
      </c>
      <c r="CB92" s="64">
        <f>Retailers_Cap!P93</f>
        <v/>
      </c>
      <c r="CD92" s="64" t="n">
        <v>97</v>
      </c>
      <c r="CE92" s="64">
        <f>IF((BT92-BZ92)&gt;=0,"Dem","Folga")</f>
        <v/>
      </c>
      <c r="CF92" s="64">
        <f>IF((BU92-CA92)&gt;=0,"Dem","Folga")</f>
        <v/>
      </c>
      <c r="CG92" s="64">
        <f>IF((BV92-CB92)&gt;=0,"Dem","Folga")</f>
        <v/>
      </c>
    </row>
    <row r="93">
      <c r="M93" s="64">
        <f>TRUNC((_xlfn.NORM.INV((RAND()),$L$6,$L$7)),2)</f>
        <v/>
      </c>
      <c r="O93" s="64" t="n">
        <v>98</v>
      </c>
      <c r="P93" s="5" t="n">
        <v>252.83</v>
      </c>
      <c r="Q93" s="5" t="n">
        <v>187.91</v>
      </c>
      <c r="R93" s="5" t="n">
        <v>205.02</v>
      </c>
      <c r="W93" s="64">
        <f>TRUNC((_xlfn.NORM.INV((RAND()),$V$6,$V$7)),3)</f>
        <v/>
      </c>
      <c r="Y93" s="64" t="n">
        <v>98</v>
      </c>
      <c r="Z93" s="5" t="n">
        <v>6.617</v>
      </c>
      <c r="AA93" s="5" t="n">
        <v>6.805</v>
      </c>
      <c r="AB93" s="5" t="n">
        <v>6.799</v>
      </c>
      <c r="AG93" s="64">
        <f>TRUNC((_xlfn.NORM.INV((RAND()),$AF$6,$AF$7)),3)</f>
        <v/>
      </c>
      <c r="AI93" s="64" t="n">
        <v>98</v>
      </c>
      <c r="AJ93" s="5" t="n">
        <v>54.484</v>
      </c>
      <c r="AK93" s="5" t="n">
        <v>51.385</v>
      </c>
      <c r="AL93" s="5" t="n">
        <v>48.596</v>
      </c>
      <c r="AR93" s="64" t="n">
        <v>98</v>
      </c>
      <c r="AS93" s="5" t="n">
        <v>0</v>
      </c>
      <c r="AT93" s="5" t="n">
        <v>0</v>
      </c>
      <c r="AU93" s="5" t="n">
        <v>18.61571747574346</v>
      </c>
      <c r="AW93" s="64">
        <f>Z93/Demand!AU111</f>
        <v/>
      </c>
      <c r="AX93" s="64">
        <f>AA93/Demand!AV111</f>
        <v/>
      </c>
      <c r="AY93" s="64">
        <f>AB93/Demand!AW111</f>
        <v/>
      </c>
      <c r="BG93" s="64" t="n">
        <v>98</v>
      </c>
      <c r="BH93" s="64">
        <f>Results!$B$19+AJ93-Results!$D$21</f>
        <v/>
      </c>
      <c r="BI93" s="64">
        <f>Results!$B$19+AK93-Results!$D$21</f>
        <v/>
      </c>
      <c r="BJ93" s="64">
        <f>Results!$B$19+AL93-Results!$D$21</f>
        <v/>
      </c>
      <c r="BM93" s="64" t="n">
        <v>98</v>
      </c>
      <c r="BN93" s="64">
        <f>Results!D108</f>
        <v/>
      </c>
      <c r="BO93" s="64">
        <f>Results!E108</f>
        <v/>
      </c>
      <c r="BP93" s="64">
        <f>Results!F108</f>
        <v/>
      </c>
      <c r="BS93" s="64" t="n">
        <v>98</v>
      </c>
      <c r="BT93" s="64">
        <f>Demand!AU111</f>
        <v/>
      </c>
      <c r="BU93" s="64">
        <f>Demand!AV111</f>
        <v/>
      </c>
      <c r="BV93" s="64">
        <f>Demand!AW111</f>
        <v/>
      </c>
      <c r="BY93" s="64" t="n">
        <v>98</v>
      </c>
      <c r="BZ93" s="64">
        <f>Retailers_Cap!N94</f>
        <v/>
      </c>
      <c r="CA93" s="64">
        <f>Retailers_Cap!O94</f>
        <v/>
      </c>
      <c r="CB93" s="64">
        <f>Retailers_Cap!P94</f>
        <v/>
      </c>
      <c r="CD93" s="64" t="n">
        <v>98</v>
      </c>
      <c r="CE93" s="64">
        <f>IF((BT93-BZ93)&gt;=0,"Dem","Folga")</f>
        <v/>
      </c>
      <c r="CF93" s="64">
        <f>IF((BU93-CA93)&gt;=0,"Dem","Folga")</f>
        <v/>
      </c>
      <c r="CG93" s="64">
        <f>IF((BV93-CB93)&gt;=0,"Dem","Folga")</f>
        <v/>
      </c>
    </row>
    <row r="94">
      <c r="M94" s="64">
        <f>TRUNC((_xlfn.NORM.INV((RAND()),$L$6,$L$7)),2)</f>
        <v/>
      </c>
      <c r="O94" s="64" t="n">
        <v>99</v>
      </c>
      <c r="P94" s="5" t="n">
        <v>214.58</v>
      </c>
      <c r="Q94" s="5" t="n">
        <v>108.93</v>
      </c>
      <c r="R94" s="5" t="n">
        <v>257.43</v>
      </c>
      <c r="W94" s="64">
        <f>TRUNC((_xlfn.NORM.INV((RAND()),$V$6,$V$7)),3)</f>
        <v/>
      </c>
      <c r="Y94" s="64" t="n">
        <v>99</v>
      </c>
      <c r="Z94" s="5" t="n">
        <v>6.745</v>
      </c>
      <c r="AA94" s="5" t="n">
        <v>6.784</v>
      </c>
      <c r="AB94" s="5" t="n">
        <v>6.736</v>
      </c>
      <c r="AG94" s="64">
        <f>TRUNC((_xlfn.NORM.INV((RAND()),$AF$6,$AF$7)),3)</f>
        <v/>
      </c>
      <c r="AI94" s="64" t="n">
        <v>99</v>
      </c>
      <c r="AJ94" s="5" t="n">
        <v>76.26000000000001</v>
      </c>
      <c r="AK94" s="5" t="n">
        <v>60.901</v>
      </c>
      <c r="AL94" s="5" t="n">
        <v>73.62</v>
      </c>
      <c r="AR94" s="64" t="n">
        <v>99</v>
      </c>
      <c r="AS94" s="5" t="n">
        <v>0</v>
      </c>
      <c r="AT94" s="5" t="n">
        <v>1.988385751156432</v>
      </c>
      <c r="AU94" s="5" t="n">
        <v>0</v>
      </c>
      <c r="AW94" s="64">
        <f>Z94/Demand!AU112</f>
        <v/>
      </c>
      <c r="AX94" s="64">
        <f>AA94/Demand!AV112</f>
        <v/>
      </c>
      <c r="AY94" s="64">
        <f>AB94/Demand!AW112</f>
        <v/>
      </c>
      <c r="BG94" s="64" t="n">
        <v>99</v>
      </c>
      <c r="BH94" s="64">
        <f>Results!$B$19+AJ94-Results!$D$21</f>
        <v/>
      </c>
      <c r="BI94" s="64">
        <f>Results!$B$19+AK94-Results!$D$21</f>
        <v/>
      </c>
      <c r="BJ94" s="64">
        <f>Results!$B$19+AL94-Results!$D$21</f>
        <v/>
      </c>
      <c r="BM94" s="64" t="n">
        <v>99</v>
      </c>
      <c r="BN94" s="64">
        <f>Results!D109</f>
        <v/>
      </c>
      <c r="BO94" s="64">
        <f>Results!E109</f>
        <v/>
      </c>
      <c r="BP94" s="64">
        <f>Results!F109</f>
        <v/>
      </c>
      <c r="BS94" s="64" t="n">
        <v>99</v>
      </c>
      <c r="BT94" s="64">
        <f>Demand!AU112</f>
        <v/>
      </c>
      <c r="BU94" s="64">
        <f>Demand!AV112</f>
        <v/>
      </c>
      <c r="BV94" s="64">
        <f>Demand!AW112</f>
        <v/>
      </c>
      <c r="BY94" s="64" t="n">
        <v>99</v>
      </c>
      <c r="BZ94" s="64">
        <f>Retailers_Cap!N95</f>
        <v/>
      </c>
      <c r="CA94" s="64">
        <f>Retailers_Cap!O95</f>
        <v/>
      </c>
      <c r="CB94" s="64">
        <f>Retailers_Cap!P95</f>
        <v/>
      </c>
      <c r="CD94" s="64" t="n">
        <v>99</v>
      </c>
      <c r="CE94" s="64">
        <f>IF((BT94-BZ94)&gt;=0,"Dem","Folga")</f>
        <v/>
      </c>
      <c r="CF94" s="64">
        <f>IF((BU94-CA94)&gt;=0,"Dem","Folga")</f>
        <v/>
      </c>
      <c r="CG94" s="64">
        <f>IF((BV94-CB94)&gt;=0,"Dem","Folga")</f>
        <v/>
      </c>
    </row>
    <row r="95">
      <c r="M95" s="64">
        <f>TRUNC((_xlfn.NORM.INV((RAND()),$L$6,$L$7)),2)</f>
        <v/>
      </c>
      <c r="O95" s="64" t="n">
        <v>100</v>
      </c>
      <c r="P95" s="5" t="n">
        <v>153.67</v>
      </c>
      <c r="Q95" s="5" t="n">
        <v>198.07</v>
      </c>
      <c r="R95" s="5" t="n">
        <v>177.42</v>
      </c>
      <c r="W95" s="64">
        <f>TRUNC((_xlfn.NORM.INV((RAND()),$V$6,$V$7)),3)</f>
        <v/>
      </c>
      <c r="Y95" s="64" t="n">
        <v>100</v>
      </c>
      <c r="Z95" s="5" t="n">
        <v>6.746</v>
      </c>
      <c r="AA95" s="5" t="n">
        <v>6.645</v>
      </c>
      <c r="AB95" s="5" t="n">
        <v>6.706</v>
      </c>
      <c r="AG95" s="64">
        <f>TRUNC((_xlfn.NORM.INV((RAND()),$AF$6,$AF$7)),3)</f>
        <v/>
      </c>
      <c r="AI95" s="64" t="n">
        <v>100</v>
      </c>
      <c r="AJ95" s="5" t="n">
        <v>53.359</v>
      </c>
      <c r="AK95" s="5" t="n">
        <v>64.407</v>
      </c>
      <c r="AL95" s="5" t="n">
        <v>60.387</v>
      </c>
      <c r="AR95" s="64" t="n">
        <v>100</v>
      </c>
      <c r="AS95" s="5" t="n">
        <v>0</v>
      </c>
      <c r="AT95" s="5" t="n">
        <v>0</v>
      </c>
      <c r="AU95" s="5" t="n">
        <v>0</v>
      </c>
      <c r="AW95" s="64">
        <f>Z95/Demand!AU113</f>
        <v/>
      </c>
      <c r="AX95" s="64">
        <f>AA95/Demand!AV113</f>
        <v/>
      </c>
      <c r="AY95" s="64">
        <f>AB95/Demand!AW113</f>
        <v/>
      </c>
      <c r="BG95" s="64" t="n">
        <v>100</v>
      </c>
      <c r="BH95" s="64">
        <f>Results!$B$19+AJ95-Results!$D$21</f>
        <v/>
      </c>
      <c r="BI95" s="64">
        <f>Results!$B$19+AK95-Results!$D$21</f>
        <v/>
      </c>
      <c r="BJ95" s="64">
        <f>Results!$B$19+AL95-Results!$D$21</f>
        <v/>
      </c>
      <c r="BM95" s="64" t="n">
        <v>100</v>
      </c>
      <c r="BN95" s="64">
        <f>Results!D110</f>
        <v/>
      </c>
      <c r="BO95" s="64">
        <f>Results!E110</f>
        <v/>
      </c>
      <c r="BP95" s="64">
        <f>Results!F110</f>
        <v/>
      </c>
      <c r="BS95" s="64" t="n">
        <v>100</v>
      </c>
      <c r="BT95" s="64">
        <f>Demand!AU113</f>
        <v/>
      </c>
      <c r="BU95" s="64">
        <f>Demand!AV113</f>
        <v/>
      </c>
      <c r="BV95" s="64">
        <f>Demand!AW113</f>
        <v/>
      </c>
      <c r="BY95" s="64" t="n">
        <v>100</v>
      </c>
      <c r="BZ95" s="64">
        <f>Retailers_Cap!N96</f>
        <v/>
      </c>
      <c r="CA95" s="64">
        <f>Retailers_Cap!O96</f>
        <v/>
      </c>
      <c r="CB95" s="64">
        <f>Retailers_Cap!P96</f>
        <v/>
      </c>
      <c r="CD95" s="64" t="n">
        <v>100</v>
      </c>
      <c r="CE95" s="64">
        <f>IF((BT95-BZ95)&gt;=0,"Dem","Folga")</f>
        <v/>
      </c>
      <c r="CF95" s="64">
        <f>IF((BU95-CA95)&gt;=0,"Dem","Folga")</f>
        <v/>
      </c>
      <c r="CG95" s="64">
        <f>IF((BV95-CB95)&gt;=0,"Dem","Folga")</f>
        <v/>
      </c>
    </row>
    <row r="96">
      <c r="M96" s="64">
        <f>TRUNC((_xlfn.NORM.INV((RAND()),$L$6,$L$7)),2)</f>
        <v/>
      </c>
      <c r="O96" s="64" t="n">
        <v>101</v>
      </c>
      <c r="P96" s="5" t="n">
        <v>159.09</v>
      </c>
      <c r="Q96" s="5" t="n">
        <v>259.6</v>
      </c>
      <c r="R96" s="5" t="n">
        <v>298.69</v>
      </c>
      <c r="W96" s="64">
        <f>TRUNC((_xlfn.NORM.INV((RAND()),$V$6,$V$7)),3)</f>
        <v/>
      </c>
      <c r="Y96" s="64" t="n">
        <v>101</v>
      </c>
      <c r="Z96" s="5" t="n">
        <v>6.726</v>
      </c>
      <c r="AA96" s="5" t="n">
        <v>6.761</v>
      </c>
      <c r="AB96" s="5" t="n">
        <v>6.772</v>
      </c>
      <c r="AG96" s="64">
        <f>TRUNC((_xlfn.NORM.INV((RAND()),$AF$6,$AF$7)),3)</f>
        <v/>
      </c>
      <c r="AI96" s="64" t="n">
        <v>101</v>
      </c>
      <c r="AJ96" s="5" t="n">
        <v>57.974</v>
      </c>
      <c r="AK96" s="5" t="n">
        <v>60.294</v>
      </c>
      <c r="AL96" s="5" t="n">
        <v>58.822</v>
      </c>
      <c r="AR96" s="64" t="n">
        <v>101</v>
      </c>
      <c r="AS96" s="5" t="n">
        <v>0</v>
      </c>
      <c r="AT96" s="5" t="n">
        <v>0</v>
      </c>
      <c r="AU96" s="5" t="n">
        <v>0</v>
      </c>
      <c r="AW96" s="64">
        <f>Z96/Demand!AU114</f>
        <v/>
      </c>
      <c r="AX96" s="64">
        <f>AA96/Demand!AV114</f>
        <v/>
      </c>
      <c r="AY96" s="64">
        <f>AB96/Demand!AW114</f>
        <v/>
      </c>
      <c r="BG96" s="64" t="n">
        <v>101</v>
      </c>
      <c r="BH96" s="64">
        <f>Results!$B$19+AJ96-Results!$D$21</f>
        <v/>
      </c>
      <c r="BI96" s="64">
        <f>Results!$B$19+AK96-Results!$D$21</f>
        <v/>
      </c>
      <c r="BJ96" s="64">
        <f>Results!$B$19+AL96-Results!$D$21</f>
        <v/>
      </c>
      <c r="BM96" s="64" t="n">
        <v>101</v>
      </c>
      <c r="BN96" s="64">
        <f>Results!D111</f>
        <v/>
      </c>
      <c r="BO96" s="64">
        <f>Results!E111</f>
        <v/>
      </c>
      <c r="BP96" s="64">
        <f>Results!F111</f>
        <v/>
      </c>
      <c r="BS96" s="64" t="n">
        <v>101</v>
      </c>
      <c r="BT96" s="64">
        <f>Demand!AU114</f>
        <v/>
      </c>
      <c r="BU96" s="64">
        <f>Demand!AV114</f>
        <v/>
      </c>
      <c r="BV96" s="64">
        <f>Demand!AW114</f>
        <v/>
      </c>
      <c r="BY96" s="64" t="n">
        <v>101</v>
      </c>
      <c r="BZ96" s="64">
        <f>Retailers_Cap!N97</f>
        <v/>
      </c>
      <c r="CA96" s="64">
        <f>Retailers_Cap!O97</f>
        <v/>
      </c>
      <c r="CB96" s="64">
        <f>Retailers_Cap!P97</f>
        <v/>
      </c>
      <c r="CD96" s="64" t="n">
        <v>101</v>
      </c>
      <c r="CE96" s="64">
        <f>IF((BT96-BZ96)&gt;=0,"Dem","Folga")</f>
        <v/>
      </c>
      <c r="CF96" s="64">
        <f>IF((BU96-CA96)&gt;=0,"Dem","Folga")</f>
        <v/>
      </c>
      <c r="CG96" s="64">
        <f>IF((BV96-CB96)&gt;=0,"Dem","Folga")</f>
        <v/>
      </c>
    </row>
    <row r="97">
      <c r="M97" s="64">
        <f>TRUNC((_xlfn.NORM.INV((RAND()),$L$6,$L$7)),2)</f>
        <v/>
      </c>
      <c r="O97" s="64" t="n">
        <v>102</v>
      </c>
      <c r="P97" s="5" t="n">
        <v>205.91</v>
      </c>
      <c r="Q97" s="5" t="n">
        <v>158.51</v>
      </c>
      <c r="R97" s="5" t="n">
        <v>220.86</v>
      </c>
      <c r="W97" s="64">
        <f>TRUNC((_xlfn.NORM.INV((RAND()),$V$6,$V$7)),3)</f>
        <v/>
      </c>
      <c r="Y97" s="64" t="n">
        <v>102</v>
      </c>
      <c r="Z97" s="5" t="n">
        <v>6.756</v>
      </c>
      <c r="AA97" s="5" t="n">
        <v>6.824</v>
      </c>
      <c r="AB97" s="5" t="n">
        <v>6.873</v>
      </c>
      <c r="AG97" s="64">
        <f>TRUNC((_xlfn.NORM.INV((RAND()),$AF$6,$AF$7)),3)</f>
        <v/>
      </c>
      <c r="AI97" s="64" t="n">
        <v>102</v>
      </c>
      <c r="AJ97" s="5" t="n">
        <v>55.367</v>
      </c>
      <c r="AK97" s="5" t="n">
        <v>56.4</v>
      </c>
      <c r="AL97" s="5" t="n">
        <v>70.929</v>
      </c>
      <c r="AR97" s="64" t="n">
        <v>102</v>
      </c>
      <c r="AS97" s="5" t="n">
        <v>18.17011974521952</v>
      </c>
      <c r="AT97" s="5" t="n">
        <v>0</v>
      </c>
      <c r="AU97" s="5" t="n">
        <v>8.81555186633331</v>
      </c>
      <c r="AW97" s="64">
        <f>Z97/Demand!AU115</f>
        <v/>
      </c>
      <c r="AX97" s="64">
        <f>AA97/Demand!AV115</f>
        <v/>
      </c>
      <c r="AY97" s="64">
        <f>AB97/Demand!AW115</f>
        <v/>
      </c>
      <c r="BG97" s="64" t="n">
        <v>102</v>
      </c>
      <c r="BH97" s="64">
        <f>Results!$B$19+AJ97-Results!$D$21</f>
        <v/>
      </c>
      <c r="BI97" s="64">
        <f>Results!$B$19+AK97-Results!$D$21</f>
        <v/>
      </c>
      <c r="BJ97" s="64">
        <f>Results!$B$19+AL97-Results!$D$21</f>
        <v/>
      </c>
      <c r="BM97" s="64" t="n">
        <v>102</v>
      </c>
      <c r="BN97" s="64">
        <f>Results!D112</f>
        <v/>
      </c>
      <c r="BO97" s="64">
        <f>Results!E112</f>
        <v/>
      </c>
      <c r="BP97" s="64">
        <f>Results!F112</f>
        <v/>
      </c>
      <c r="BS97" s="64" t="n">
        <v>102</v>
      </c>
      <c r="BT97" s="64">
        <f>Demand!AU115</f>
        <v/>
      </c>
      <c r="BU97" s="64">
        <f>Demand!AV115</f>
        <v/>
      </c>
      <c r="BV97" s="64">
        <f>Demand!AW115</f>
        <v/>
      </c>
      <c r="BY97" s="64" t="n">
        <v>102</v>
      </c>
      <c r="BZ97" s="64">
        <f>Retailers_Cap!N98</f>
        <v/>
      </c>
      <c r="CA97" s="64">
        <f>Retailers_Cap!O98</f>
        <v/>
      </c>
      <c r="CB97" s="64">
        <f>Retailers_Cap!P98</f>
        <v/>
      </c>
      <c r="CD97" s="64" t="n">
        <v>102</v>
      </c>
      <c r="CE97" s="64">
        <f>IF((BT97-BZ97)&gt;=0,"Dem","Folga")</f>
        <v/>
      </c>
      <c r="CF97" s="64">
        <f>IF((BU97-CA97)&gt;=0,"Dem","Folga")</f>
        <v/>
      </c>
      <c r="CG97" s="64">
        <f>IF((BV97-CB97)&gt;=0,"Dem","Folga")</f>
        <v/>
      </c>
    </row>
    <row r="98">
      <c r="M98" s="64">
        <f>TRUNC((_xlfn.NORM.INV((RAND()),$L$6,$L$7)),2)</f>
        <v/>
      </c>
      <c r="O98" s="64" t="n">
        <v>103</v>
      </c>
      <c r="P98" s="5" t="n">
        <v>171.23</v>
      </c>
      <c r="Q98" s="5" t="n">
        <v>169.52</v>
      </c>
      <c r="R98" s="5" t="n">
        <v>224.69</v>
      </c>
      <c r="W98" s="64">
        <f>TRUNC((_xlfn.NORM.INV((RAND()),$V$6,$V$7)),3)</f>
        <v/>
      </c>
      <c r="Y98" s="64" t="n">
        <v>103</v>
      </c>
      <c r="Z98" s="5" t="n">
        <v>6.655</v>
      </c>
      <c r="AA98" s="5" t="n">
        <v>6.74</v>
      </c>
      <c r="AB98" s="5" t="n">
        <v>6.806</v>
      </c>
      <c r="AG98" s="64">
        <f>TRUNC((_xlfn.NORM.INV((RAND()),$AF$6,$AF$7)),3)</f>
        <v/>
      </c>
      <c r="AI98" s="64" t="n">
        <v>103</v>
      </c>
      <c r="AJ98" s="5" t="n">
        <v>70.151</v>
      </c>
      <c r="AK98" s="5" t="n">
        <v>70.989</v>
      </c>
      <c r="AL98" s="5" t="n">
        <v>48.465</v>
      </c>
      <c r="AR98" s="64" t="n">
        <v>103</v>
      </c>
      <c r="AS98" s="5" t="n">
        <v>0</v>
      </c>
      <c r="AT98" s="5" t="n">
        <v>0</v>
      </c>
      <c r="AU98" s="5" t="n">
        <v>0</v>
      </c>
      <c r="AW98" s="64">
        <f>Z98/Demand!AU116</f>
        <v/>
      </c>
      <c r="AX98" s="64">
        <f>AA98/Demand!AV116</f>
        <v/>
      </c>
      <c r="AY98" s="64">
        <f>AB98/Demand!AW116</f>
        <v/>
      </c>
      <c r="BG98" s="64" t="n">
        <v>103</v>
      </c>
      <c r="BH98" s="64">
        <f>Results!$B$19+AJ98-Results!$D$21</f>
        <v/>
      </c>
      <c r="BI98" s="64">
        <f>Results!$B$19+AK98-Results!$D$21</f>
        <v/>
      </c>
      <c r="BJ98" s="64">
        <f>Results!$B$19+AL98-Results!$D$21</f>
        <v/>
      </c>
      <c r="BM98" s="64" t="n">
        <v>103</v>
      </c>
      <c r="BN98" s="64">
        <f>Results!D113</f>
        <v/>
      </c>
      <c r="BO98" s="64">
        <f>Results!E113</f>
        <v/>
      </c>
      <c r="BP98" s="64">
        <f>Results!F113</f>
        <v/>
      </c>
      <c r="BS98" s="64" t="n">
        <v>103</v>
      </c>
      <c r="BT98" s="64">
        <f>Demand!AU116</f>
        <v/>
      </c>
      <c r="BU98" s="64">
        <f>Demand!AV116</f>
        <v/>
      </c>
      <c r="BV98" s="64">
        <f>Demand!AW116</f>
        <v/>
      </c>
      <c r="BY98" s="64" t="n">
        <v>103</v>
      </c>
      <c r="BZ98" s="64">
        <f>Retailers_Cap!N99</f>
        <v/>
      </c>
      <c r="CA98" s="64">
        <f>Retailers_Cap!O99</f>
        <v/>
      </c>
      <c r="CB98" s="64">
        <f>Retailers_Cap!P99</f>
        <v/>
      </c>
      <c r="CD98" s="64" t="n">
        <v>103</v>
      </c>
      <c r="CE98" s="64">
        <f>IF((BT98-BZ98)&gt;=0,"Dem","Folga")</f>
        <v/>
      </c>
      <c r="CF98" s="64">
        <f>IF((BU98-CA98)&gt;=0,"Dem","Folga")</f>
        <v/>
      </c>
      <c r="CG98" s="64">
        <f>IF((BV98-CB98)&gt;=0,"Dem","Folga")</f>
        <v/>
      </c>
    </row>
    <row r="99">
      <c r="M99" s="64">
        <f>TRUNC((_xlfn.NORM.INV((RAND()),$L$6,$L$7)),2)</f>
        <v/>
      </c>
      <c r="O99" s="64" t="n">
        <v>104</v>
      </c>
      <c r="P99" s="5" t="n">
        <v>194.11</v>
      </c>
      <c r="Q99" s="5" t="n">
        <v>233.53</v>
      </c>
      <c r="R99" s="5" t="n">
        <v>188.45</v>
      </c>
      <c r="W99" s="64">
        <f>TRUNC((_xlfn.NORM.INV((RAND()),$V$6,$V$7)),3)</f>
        <v/>
      </c>
      <c r="Y99" s="64" t="n">
        <v>104</v>
      </c>
      <c r="Z99" s="5" t="n">
        <v>6.944</v>
      </c>
      <c r="AA99" s="5" t="n">
        <v>6.736</v>
      </c>
      <c r="AB99" s="5" t="n">
        <v>6.555</v>
      </c>
      <c r="AG99" s="64">
        <f>TRUNC((_xlfn.NORM.INV((RAND()),$AF$6,$AF$7)),3)</f>
        <v/>
      </c>
      <c r="AI99" s="64" t="n">
        <v>104</v>
      </c>
      <c r="AJ99" s="5" t="n">
        <v>65.705</v>
      </c>
      <c r="AK99" s="5" t="n">
        <v>53.26</v>
      </c>
      <c r="AL99" s="5" t="n">
        <v>57.275</v>
      </c>
      <c r="AR99" s="64" t="n">
        <v>104</v>
      </c>
      <c r="AS99" s="5" t="n">
        <v>17.57074115811887</v>
      </c>
      <c r="AT99" s="5" t="n">
        <v>0</v>
      </c>
      <c r="AU99" s="5" t="n">
        <v>0</v>
      </c>
      <c r="AW99" s="64">
        <f>Z99/Demand!AU117</f>
        <v/>
      </c>
      <c r="AX99" s="64">
        <f>AA99/Demand!AV117</f>
        <v/>
      </c>
      <c r="AY99" s="64">
        <f>AB99/Demand!AW117</f>
        <v/>
      </c>
      <c r="BG99" s="64" t="n">
        <v>104</v>
      </c>
      <c r="BH99" s="64">
        <f>Results!$B$19+AJ99-Results!$D$21</f>
        <v/>
      </c>
      <c r="BI99" s="64">
        <f>Results!$B$19+AK99-Results!$D$21</f>
        <v/>
      </c>
      <c r="BJ99" s="64">
        <f>Results!$B$19+AL99-Results!$D$21</f>
        <v/>
      </c>
      <c r="BM99" s="64" t="n">
        <v>104</v>
      </c>
      <c r="BN99" s="64">
        <f>Results!D114</f>
        <v/>
      </c>
      <c r="BO99" s="64">
        <f>Results!E114</f>
        <v/>
      </c>
      <c r="BP99" s="64">
        <f>Results!F114</f>
        <v/>
      </c>
      <c r="BS99" s="64" t="n">
        <v>104</v>
      </c>
      <c r="BT99" s="64">
        <f>Demand!AU117</f>
        <v/>
      </c>
      <c r="BU99" s="64">
        <f>Demand!AV117</f>
        <v/>
      </c>
      <c r="BV99" s="64">
        <f>Demand!AW117</f>
        <v/>
      </c>
      <c r="BY99" s="64" t="n">
        <v>104</v>
      </c>
      <c r="BZ99" s="64">
        <f>Retailers_Cap!N100</f>
        <v/>
      </c>
      <c r="CA99" s="64">
        <f>Retailers_Cap!O100</f>
        <v/>
      </c>
      <c r="CB99" s="64">
        <f>Retailers_Cap!P100</f>
        <v/>
      </c>
      <c r="CD99" s="64" t="n">
        <v>104</v>
      </c>
      <c r="CE99" s="64">
        <f>IF((BT99-BZ99)&gt;=0,"Dem","Folga")</f>
        <v/>
      </c>
      <c r="CF99" s="64">
        <f>IF((BU99-CA99)&gt;=0,"Dem","Folga")</f>
        <v/>
      </c>
      <c r="CG99" s="64">
        <f>IF((BV99-CB99)&gt;=0,"Dem","Folga")</f>
        <v/>
      </c>
    </row>
    <row r="100">
      <c r="M100" s="64">
        <f>TRUNC((_xlfn.NORM.INV((RAND()),$L$6,$L$7)),2)</f>
        <v/>
      </c>
      <c r="O100" s="64" t="n">
        <v>105</v>
      </c>
      <c r="P100" s="5" t="n">
        <v>200.26</v>
      </c>
      <c r="Q100" s="5" t="n">
        <v>161.84</v>
      </c>
      <c r="R100" s="5" t="n">
        <v>269.93</v>
      </c>
      <c r="W100" s="64">
        <f>TRUNC((_xlfn.NORM.INV((RAND()),$V$6,$V$7)),3)</f>
        <v/>
      </c>
      <c r="Y100" s="64" t="n">
        <v>105</v>
      </c>
      <c r="Z100" s="5" t="n">
        <v>6.815</v>
      </c>
      <c r="AA100" s="5" t="n">
        <v>6.729</v>
      </c>
      <c r="AB100" s="5" t="n">
        <v>6.581</v>
      </c>
      <c r="AG100" s="64">
        <f>TRUNC((_xlfn.NORM.INV((RAND()),$AF$6,$AF$7)),3)</f>
        <v/>
      </c>
      <c r="AI100" s="64" t="n">
        <v>105</v>
      </c>
      <c r="AJ100" s="5" t="n">
        <v>44.838</v>
      </c>
      <c r="AK100" s="5" t="n">
        <v>88.941</v>
      </c>
      <c r="AL100" s="5" t="n">
        <v>75.759</v>
      </c>
      <c r="AR100" s="64" t="n">
        <v>105</v>
      </c>
      <c r="AS100" s="5" t="n">
        <v>5.731659741604303</v>
      </c>
      <c r="AT100" s="5" t="n">
        <v>0</v>
      </c>
      <c r="AU100" s="5" t="n">
        <v>14.3330040792111</v>
      </c>
      <c r="AW100" s="64">
        <f>Z100/Demand!AU118</f>
        <v/>
      </c>
      <c r="AX100" s="64">
        <f>AA100/Demand!AV118</f>
        <v/>
      </c>
      <c r="AY100" s="64">
        <f>AB100/Demand!AW118</f>
        <v/>
      </c>
      <c r="BG100" s="64" t="n">
        <v>105</v>
      </c>
      <c r="BH100" s="64">
        <f>Results!$B$19+AJ100-Results!$D$21</f>
        <v/>
      </c>
      <c r="BI100" s="64">
        <f>Results!$B$19+AK100-Results!$D$21</f>
        <v/>
      </c>
      <c r="BJ100" s="64">
        <f>Results!$B$19+AL100-Results!$D$21</f>
        <v/>
      </c>
      <c r="BM100" s="64" t="n">
        <v>105</v>
      </c>
      <c r="BN100" s="64">
        <f>Results!D115</f>
        <v/>
      </c>
      <c r="BO100" s="64">
        <f>Results!E115</f>
        <v/>
      </c>
      <c r="BP100" s="64">
        <f>Results!F115</f>
        <v/>
      </c>
      <c r="BS100" s="64" t="n">
        <v>105</v>
      </c>
      <c r="BT100" s="64">
        <f>Demand!AU118</f>
        <v/>
      </c>
      <c r="BU100" s="64">
        <f>Demand!AV118</f>
        <v/>
      </c>
      <c r="BV100" s="64">
        <f>Demand!AW118</f>
        <v/>
      </c>
      <c r="BY100" s="64" t="n">
        <v>105</v>
      </c>
      <c r="BZ100" s="64">
        <f>Retailers_Cap!N101</f>
        <v/>
      </c>
      <c r="CA100" s="64">
        <f>Retailers_Cap!O101</f>
        <v/>
      </c>
      <c r="CB100" s="64">
        <f>Retailers_Cap!P101</f>
        <v/>
      </c>
      <c r="CD100" s="64" t="n">
        <v>105</v>
      </c>
      <c r="CE100" s="64">
        <f>IF((BT100-BZ100)&gt;=0,"Dem","Folga")</f>
        <v/>
      </c>
      <c r="CF100" s="64">
        <f>IF((BU100-CA100)&gt;=0,"Dem","Folga")</f>
        <v/>
      </c>
      <c r="CG100" s="64">
        <f>IF((BV100-CB100)&gt;=0,"Dem","Folga")</f>
        <v/>
      </c>
    </row>
    <row r="101">
      <c r="M101" s="64">
        <f>TRUNC((_xlfn.NORM.INV((RAND()),$L$6,$L$7)),2)</f>
        <v/>
      </c>
      <c r="O101" s="64" t="n">
        <v>106</v>
      </c>
      <c r="P101" s="5" t="n">
        <v>210.13</v>
      </c>
      <c r="Q101" s="5" t="n">
        <v>238.32</v>
      </c>
      <c r="R101" s="5" t="n">
        <v>288.46</v>
      </c>
      <c r="W101" s="64">
        <f>TRUNC((_xlfn.NORM.INV((RAND()),$V$6,$V$7)),3)</f>
        <v/>
      </c>
      <c r="Y101" s="64" t="n">
        <v>106</v>
      </c>
      <c r="Z101" s="5" t="n">
        <v>6.765</v>
      </c>
      <c r="AA101" s="5" t="n">
        <v>6.758</v>
      </c>
      <c r="AB101" s="5" t="n">
        <v>6.77</v>
      </c>
      <c r="AG101" s="64">
        <f>TRUNC((_xlfn.NORM.INV((RAND()),$AF$6,$AF$7)),3)</f>
        <v/>
      </c>
      <c r="AI101" s="64" t="n">
        <v>106</v>
      </c>
      <c r="AJ101" s="5" t="n">
        <v>62.211</v>
      </c>
      <c r="AK101" s="5" t="n">
        <v>61.595</v>
      </c>
      <c r="AL101" s="5" t="n">
        <v>54.801</v>
      </c>
      <c r="AR101" s="64" t="n">
        <v>106</v>
      </c>
      <c r="AS101" s="5" t="n">
        <v>4.712665778837628</v>
      </c>
      <c r="AT101" s="5" t="n">
        <v>0</v>
      </c>
      <c r="AU101" s="5" t="n">
        <v>4.673745213835663</v>
      </c>
      <c r="AW101" s="64">
        <f>Z101/Demand!AU119</f>
        <v/>
      </c>
      <c r="AX101" s="64">
        <f>AA101/Demand!AV119</f>
        <v/>
      </c>
      <c r="AY101" s="64">
        <f>AB101/Demand!AW119</f>
        <v/>
      </c>
      <c r="BG101" s="64" t="n">
        <v>106</v>
      </c>
      <c r="BH101" s="64">
        <f>Results!$B$19+AJ101-Results!$D$21</f>
        <v/>
      </c>
      <c r="BI101" s="64">
        <f>Results!$B$19+AK101-Results!$D$21</f>
        <v/>
      </c>
      <c r="BJ101" s="64">
        <f>Results!$B$19+AL101-Results!$D$21</f>
        <v/>
      </c>
      <c r="BM101" s="64" t="n">
        <v>106</v>
      </c>
      <c r="BN101" s="64">
        <f>Results!D116</f>
        <v/>
      </c>
      <c r="BO101" s="64">
        <f>Results!E116</f>
        <v/>
      </c>
      <c r="BP101" s="64">
        <f>Results!F116</f>
        <v/>
      </c>
      <c r="BS101" s="64" t="n">
        <v>106</v>
      </c>
      <c r="BT101" s="64">
        <f>Demand!AU119</f>
        <v/>
      </c>
      <c r="BU101" s="64">
        <f>Demand!AV119</f>
        <v/>
      </c>
      <c r="BV101" s="64">
        <f>Demand!AW119</f>
        <v/>
      </c>
      <c r="BY101" s="64" t="n">
        <v>106</v>
      </c>
      <c r="BZ101" s="64">
        <f>Retailers_Cap!N102</f>
        <v/>
      </c>
      <c r="CA101" s="64">
        <f>Retailers_Cap!O102</f>
        <v/>
      </c>
      <c r="CB101" s="64">
        <f>Retailers_Cap!P102</f>
        <v/>
      </c>
      <c r="CD101" s="64" t="n">
        <v>106</v>
      </c>
      <c r="CE101" s="64">
        <f>IF((BT101-BZ101)&gt;=0,"Dem","Folga")</f>
        <v/>
      </c>
      <c r="CF101" s="64">
        <f>IF((BU101-CA101)&gt;=0,"Dem","Folga")</f>
        <v/>
      </c>
      <c r="CG101" s="64">
        <f>IF((BV101-CB101)&gt;=0,"Dem","Folga")</f>
        <v/>
      </c>
    </row>
    <row r="102">
      <c r="M102" s="64">
        <f>TRUNC((_xlfn.NORM.INV((RAND()),$L$6,$L$7)),2)</f>
        <v/>
      </c>
      <c r="O102" s="64" t="n">
        <v>107</v>
      </c>
      <c r="P102" s="5" t="n">
        <v>176.57</v>
      </c>
      <c r="Q102" s="5" t="n">
        <v>187.9</v>
      </c>
      <c r="R102" s="5" t="n">
        <v>211.75</v>
      </c>
      <c r="W102" s="64">
        <f>TRUNC((_xlfn.NORM.INV((RAND()),$V$6,$V$7)),3)</f>
        <v/>
      </c>
      <c r="Y102" s="64" t="n">
        <v>107</v>
      </c>
      <c r="Z102" s="5" t="n">
        <v>6.735</v>
      </c>
      <c r="AA102" s="5" t="n">
        <v>6.806</v>
      </c>
      <c r="AB102" s="5" t="n">
        <v>6.74</v>
      </c>
      <c r="AG102" s="64">
        <f>TRUNC((_xlfn.NORM.INV((RAND()),$AF$6,$AF$7)),3)</f>
        <v/>
      </c>
      <c r="AI102" s="64" t="n">
        <v>107</v>
      </c>
      <c r="AJ102" s="5" t="n">
        <v>64.729</v>
      </c>
      <c r="AK102" s="5" t="n">
        <v>52.756</v>
      </c>
      <c r="AL102" s="5" t="n">
        <v>66.333</v>
      </c>
      <c r="AR102" s="64" t="n">
        <v>107</v>
      </c>
      <c r="AS102" s="5" t="n">
        <v>0</v>
      </c>
      <c r="AT102" s="5" t="n">
        <v>0</v>
      </c>
      <c r="AU102" s="5" t="n">
        <v>10.56201138492915</v>
      </c>
      <c r="AW102" s="64">
        <f>Z102/Demand!AU120</f>
        <v/>
      </c>
      <c r="AX102" s="64">
        <f>AA102/Demand!AV120</f>
        <v/>
      </c>
      <c r="AY102" s="64">
        <f>AB102/Demand!AW120</f>
        <v/>
      </c>
      <c r="BG102" s="64" t="n">
        <v>107</v>
      </c>
      <c r="BH102" s="64">
        <f>Results!$B$19+AJ102-Results!$D$21</f>
        <v/>
      </c>
      <c r="BI102" s="64">
        <f>Results!$B$19+AK102-Results!$D$21</f>
        <v/>
      </c>
      <c r="BJ102" s="64">
        <f>Results!$B$19+AL102-Results!$D$21</f>
        <v/>
      </c>
      <c r="BM102" s="64" t="n">
        <v>107</v>
      </c>
      <c r="BN102" s="64">
        <f>Results!D117</f>
        <v/>
      </c>
      <c r="BO102" s="64">
        <f>Results!E117</f>
        <v/>
      </c>
      <c r="BP102" s="64">
        <f>Results!F117</f>
        <v/>
      </c>
      <c r="BS102" s="64" t="n">
        <v>107</v>
      </c>
      <c r="BT102" s="64">
        <f>Demand!AU120</f>
        <v/>
      </c>
      <c r="BU102" s="64">
        <f>Demand!AV120</f>
        <v/>
      </c>
      <c r="BV102" s="64">
        <f>Demand!AW120</f>
        <v/>
      </c>
      <c r="BY102" s="64" t="n">
        <v>107</v>
      </c>
      <c r="BZ102" s="64">
        <f>Retailers_Cap!N103</f>
        <v/>
      </c>
      <c r="CA102" s="64">
        <f>Retailers_Cap!O103</f>
        <v/>
      </c>
      <c r="CB102" s="64">
        <f>Retailers_Cap!P103</f>
        <v/>
      </c>
      <c r="CD102" s="64" t="n">
        <v>107</v>
      </c>
      <c r="CE102" s="64">
        <f>IF((BT102-BZ102)&gt;=0,"Dem","Folga")</f>
        <v/>
      </c>
      <c r="CF102" s="64">
        <f>IF((BU102-CA102)&gt;=0,"Dem","Folga")</f>
        <v/>
      </c>
      <c r="CG102" s="64">
        <f>IF((BV102-CB102)&gt;=0,"Dem","Folga")</f>
        <v/>
      </c>
    </row>
    <row r="103">
      <c r="M103" s="64">
        <f>TRUNC((_xlfn.NORM.INV((RAND()),$L$6,$L$7)),2)</f>
        <v/>
      </c>
      <c r="O103" s="64" t="n">
        <v>108</v>
      </c>
      <c r="P103" s="5" t="n">
        <v>254.93</v>
      </c>
      <c r="Q103" s="5" t="n">
        <v>174.4</v>
      </c>
      <c r="R103" s="5" t="n">
        <v>201.07</v>
      </c>
      <c r="W103" s="64">
        <f>TRUNC((_xlfn.NORM.INV((RAND()),$V$6,$V$7)),3)</f>
        <v/>
      </c>
      <c r="Y103" s="64" t="n">
        <v>108</v>
      </c>
      <c r="Z103" s="5" t="n">
        <v>6.755</v>
      </c>
      <c r="AA103" s="5" t="n">
        <v>6.651</v>
      </c>
      <c r="AB103" s="5" t="n">
        <v>6.663</v>
      </c>
      <c r="AG103" s="64">
        <f>TRUNC((_xlfn.NORM.INV((RAND()),$AF$6,$AF$7)),3)</f>
        <v/>
      </c>
      <c r="AI103" s="64" t="n">
        <v>108</v>
      </c>
      <c r="AJ103" s="5" t="n">
        <v>60.731</v>
      </c>
      <c r="AK103" s="5" t="n">
        <v>61.965</v>
      </c>
      <c r="AL103" s="5" t="n">
        <v>77.563</v>
      </c>
      <c r="AR103" s="64" t="n">
        <v>108</v>
      </c>
      <c r="AS103" s="5" t="n">
        <v>0</v>
      </c>
      <c r="AT103" s="5" t="n">
        <v>0</v>
      </c>
      <c r="AU103" s="5" t="n">
        <v>0</v>
      </c>
      <c r="AW103" s="64">
        <f>Z103/Demand!AU121</f>
        <v/>
      </c>
      <c r="AX103" s="64">
        <f>AA103/Demand!AV121</f>
        <v/>
      </c>
      <c r="AY103" s="64">
        <f>AB103/Demand!AW121</f>
        <v/>
      </c>
      <c r="BG103" s="64" t="n">
        <v>108</v>
      </c>
      <c r="BH103" s="64">
        <f>Results!$B$19+AJ103-Results!$D$21</f>
        <v/>
      </c>
      <c r="BI103" s="64">
        <f>Results!$B$19+AK103-Results!$D$21</f>
        <v/>
      </c>
      <c r="BJ103" s="64">
        <f>Results!$B$19+AL103-Results!$D$21</f>
        <v/>
      </c>
      <c r="BM103" s="64" t="n">
        <v>108</v>
      </c>
      <c r="BN103" s="64">
        <f>Results!D118</f>
        <v/>
      </c>
      <c r="BO103" s="64">
        <f>Results!E118</f>
        <v/>
      </c>
      <c r="BP103" s="64">
        <f>Results!F118</f>
        <v/>
      </c>
      <c r="BS103" s="64" t="n">
        <v>108</v>
      </c>
      <c r="BT103" s="64">
        <f>Demand!AU121</f>
        <v/>
      </c>
      <c r="BU103" s="64">
        <f>Demand!AV121</f>
        <v/>
      </c>
      <c r="BV103" s="64">
        <f>Demand!AW121</f>
        <v/>
      </c>
      <c r="BY103" s="64" t="n">
        <v>108</v>
      </c>
      <c r="BZ103" s="64">
        <f>Retailers_Cap!N104</f>
        <v/>
      </c>
      <c r="CA103" s="64">
        <f>Retailers_Cap!O104</f>
        <v/>
      </c>
      <c r="CB103" s="64">
        <f>Retailers_Cap!P104</f>
        <v/>
      </c>
      <c r="CD103" s="64" t="n">
        <v>108</v>
      </c>
      <c r="CE103" s="64">
        <f>IF((BT103-BZ103)&gt;=0,"Dem","Folga")</f>
        <v/>
      </c>
      <c r="CF103" s="64">
        <f>IF((BU103-CA103)&gt;=0,"Dem","Folga")</f>
        <v/>
      </c>
      <c r="CG103" s="64">
        <f>IF((BV103-CB103)&gt;=0,"Dem","Folga")</f>
        <v/>
      </c>
    </row>
    <row r="104">
      <c r="M104" s="64">
        <f>TRUNC((_xlfn.NORM.INV((RAND()),$L$6,$L$7)),2)</f>
        <v/>
      </c>
      <c r="O104" s="64" t="n">
        <v>109</v>
      </c>
      <c r="P104" s="5" t="n">
        <v>183.47</v>
      </c>
      <c r="Q104" s="5" t="n">
        <v>211.87</v>
      </c>
      <c r="R104" s="5" t="n">
        <v>253.39</v>
      </c>
      <c r="W104" s="64">
        <f>TRUNC((_xlfn.NORM.INV((RAND()),$V$6,$V$7)),3)</f>
        <v/>
      </c>
      <c r="Y104" s="64" t="n">
        <v>109</v>
      </c>
      <c r="Z104" s="5" t="n">
        <v>6.661</v>
      </c>
      <c r="AA104" s="5" t="n">
        <v>6.761</v>
      </c>
      <c r="AB104" s="5" t="n">
        <v>6.737</v>
      </c>
      <c r="AG104" s="64">
        <f>TRUNC((_xlfn.NORM.INV((RAND()),$AF$6,$AF$7)),3)</f>
        <v/>
      </c>
      <c r="AI104" s="64" t="n">
        <v>109</v>
      </c>
      <c r="AJ104" s="5" t="n">
        <v>54.905</v>
      </c>
      <c r="AK104" s="5" t="n">
        <v>45.5</v>
      </c>
      <c r="AL104" s="5" t="n">
        <v>42.069</v>
      </c>
      <c r="AR104" s="64" t="n">
        <v>109</v>
      </c>
      <c r="AS104" s="5" t="n">
        <v>16.43719968249041</v>
      </c>
      <c r="AT104" s="5" t="n">
        <v>0</v>
      </c>
      <c r="AU104" s="5" t="n">
        <v>0</v>
      </c>
      <c r="AW104" s="64">
        <f>Z104/Demand!AU122</f>
        <v/>
      </c>
      <c r="AX104" s="64">
        <f>AA104/Demand!AV122</f>
        <v/>
      </c>
      <c r="AY104" s="64">
        <f>AB104/Demand!AW122</f>
        <v/>
      </c>
      <c r="BG104" s="64" t="n">
        <v>109</v>
      </c>
      <c r="BH104" s="64">
        <f>Results!$B$19+AJ104-Results!$D$21</f>
        <v/>
      </c>
      <c r="BI104" s="64">
        <f>Results!$B$19+AK104-Results!$D$21</f>
        <v/>
      </c>
      <c r="BJ104" s="64">
        <f>Results!$B$19+AL104-Results!$D$21</f>
        <v/>
      </c>
      <c r="BM104" s="64" t="n">
        <v>109</v>
      </c>
      <c r="BN104" s="64">
        <f>Results!D119</f>
        <v/>
      </c>
      <c r="BO104" s="64">
        <f>Results!E119</f>
        <v/>
      </c>
      <c r="BP104" s="64">
        <f>Results!F119</f>
        <v/>
      </c>
      <c r="BS104" s="64" t="n">
        <v>109</v>
      </c>
      <c r="BT104" s="64">
        <f>Demand!AU122</f>
        <v/>
      </c>
      <c r="BU104" s="64">
        <f>Demand!AV122</f>
        <v/>
      </c>
      <c r="BV104" s="64">
        <f>Demand!AW122</f>
        <v/>
      </c>
      <c r="BY104" s="64" t="n">
        <v>109</v>
      </c>
      <c r="BZ104" s="64">
        <f>Retailers_Cap!N105</f>
        <v/>
      </c>
      <c r="CA104" s="64">
        <f>Retailers_Cap!O105</f>
        <v/>
      </c>
      <c r="CB104" s="64">
        <f>Retailers_Cap!P105</f>
        <v/>
      </c>
      <c r="CD104" s="64" t="n">
        <v>109</v>
      </c>
      <c r="CE104" s="64">
        <f>IF((BT104-BZ104)&gt;=0,"Dem","Folga")</f>
        <v/>
      </c>
      <c r="CF104" s="64">
        <f>IF((BU104-CA104)&gt;=0,"Dem","Folga")</f>
        <v/>
      </c>
      <c r="CG104" s="64">
        <f>IF((BV104-CB104)&gt;=0,"Dem","Folga")</f>
        <v/>
      </c>
    </row>
    <row r="105">
      <c r="M105" s="64">
        <f>TRUNC((_xlfn.NORM.INV((RAND()),$L$6,$L$7)),2)</f>
        <v/>
      </c>
      <c r="O105" s="64" t="n">
        <v>110</v>
      </c>
      <c r="P105" s="5" t="n">
        <v>234.92</v>
      </c>
      <c r="Q105" s="5" t="n">
        <v>171.96</v>
      </c>
      <c r="R105" s="5" t="n">
        <v>250.87</v>
      </c>
      <c r="W105" s="64">
        <f>TRUNC((_xlfn.NORM.INV((RAND()),$V$6,$V$7)),3)</f>
        <v/>
      </c>
      <c r="Y105" s="64" t="n">
        <v>110</v>
      </c>
      <c r="Z105" s="5" t="n">
        <v>6.753</v>
      </c>
      <c r="AA105" s="5" t="n">
        <v>6.739</v>
      </c>
      <c r="AB105" s="5" t="n">
        <v>6.646</v>
      </c>
      <c r="AG105" s="64">
        <f>TRUNC((_xlfn.NORM.INV((RAND()),$AF$6,$AF$7)),3)</f>
        <v/>
      </c>
      <c r="AI105" s="64" t="n">
        <v>110</v>
      </c>
      <c r="AJ105" s="5" t="n">
        <v>58.68</v>
      </c>
      <c r="AK105" s="5" t="n">
        <v>85.105</v>
      </c>
      <c r="AL105" s="5" t="n">
        <v>47.229</v>
      </c>
      <c r="AR105" s="64" t="n">
        <v>110</v>
      </c>
      <c r="AS105" s="5" t="n">
        <v>33.57775108218426</v>
      </c>
      <c r="AT105" s="5" t="n">
        <v>0</v>
      </c>
      <c r="AU105" s="5" t="n">
        <v>0</v>
      </c>
      <c r="AW105" s="64">
        <f>Z105/Demand!AU123</f>
        <v/>
      </c>
      <c r="AX105" s="64">
        <f>AA105/Demand!AV123</f>
        <v/>
      </c>
      <c r="AY105" s="64">
        <f>AB105/Demand!AW123</f>
        <v/>
      </c>
      <c r="BG105" s="64" t="n">
        <v>110</v>
      </c>
      <c r="BH105" s="64">
        <f>Results!$B$19+AJ105-Results!$D$21</f>
        <v/>
      </c>
      <c r="BI105" s="64">
        <f>Results!$B$19+AK105-Results!$D$21</f>
        <v/>
      </c>
      <c r="BJ105" s="64">
        <f>Results!$B$19+AL105-Results!$D$21</f>
        <v/>
      </c>
      <c r="BM105" s="64" t="n">
        <v>110</v>
      </c>
      <c r="BN105" s="64">
        <f>Results!D120</f>
        <v/>
      </c>
      <c r="BO105" s="64">
        <f>Results!E120</f>
        <v/>
      </c>
      <c r="BP105" s="64">
        <f>Results!F120</f>
        <v/>
      </c>
      <c r="BS105" s="64" t="n">
        <v>110</v>
      </c>
      <c r="BT105" s="64">
        <f>Demand!AU123</f>
        <v/>
      </c>
      <c r="BU105" s="64">
        <f>Demand!AV123</f>
        <v/>
      </c>
      <c r="BV105" s="64">
        <f>Demand!AW123</f>
        <v/>
      </c>
      <c r="BY105" s="64" t="n">
        <v>110</v>
      </c>
      <c r="BZ105" s="64">
        <f>Retailers_Cap!N106</f>
        <v/>
      </c>
      <c r="CA105" s="64">
        <f>Retailers_Cap!O106</f>
        <v/>
      </c>
      <c r="CB105" s="64">
        <f>Retailers_Cap!P106</f>
        <v/>
      </c>
      <c r="CD105" s="64" t="n">
        <v>110</v>
      </c>
      <c r="CE105" s="64">
        <f>IF((BT105-BZ105)&gt;=0,"Dem","Folga")</f>
        <v/>
      </c>
      <c r="CF105" s="64">
        <f>IF((BU105-CA105)&gt;=0,"Dem","Folga")</f>
        <v/>
      </c>
      <c r="CG105" s="64">
        <f>IF((BV105-CB105)&gt;=0,"Dem","Folga")</f>
        <v/>
      </c>
    </row>
    <row r="106">
      <c r="M106" s="64">
        <f>TRUNC((_xlfn.NORM.INV((RAND()),$L$6,$L$7)),2)</f>
        <v/>
      </c>
      <c r="O106" s="64" t="n">
        <v>111</v>
      </c>
      <c r="P106" s="5" t="n">
        <v>255.68</v>
      </c>
      <c r="Q106" s="5" t="n">
        <v>167.68</v>
      </c>
      <c r="R106" s="5" t="n">
        <v>200.27</v>
      </c>
      <c r="W106" s="64">
        <f>TRUNC((_xlfn.NORM.INV((RAND()),$V$6,$V$7)),3)</f>
        <v/>
      </c>
      <c r="Y106" s="64" t="n">
        <v>111</v>
      </c>
      <c r="Z106" s="5" t="n">
        <v>6.705</v>
      </c>
      <c r="AA106" s="5" t="n">
        <v>6.872</v>
      </c>
      <c r="AB106" s="5" t="n">
        <v>6.624</v>
      </c>
      <c r="AG106" s="64">
        <f>TRUNC((_xlfn.NORM.INV((RAND()),$AF$6,$AF$7)),3)</f>
        <v/>
      </c>
      <c r="AI106" s="64" t="n">
        <v>111</v>
      </c>
      <c r="AJ106" s="5" t="n">
        <v>41.253</v>
      </c>
      <c r="AK106" s="5" t="n">
        <v>46.242</v>
      </c>
      <c r="AL106" s="5" t="n">
        <v>71.078</v>
      </c>
      <c r="AR106" s="64" t="n">
        <v>111</v>
      </c>
      <c r="AS106" s="5" t="n">
        <v>0</v>
      </c>
      <c r="AT106" s="5" t="n">
        <v>0</v>
      </c>
      <c r="AU106" s="5" t="n">
        <v>0</v>
      </c>
      <c r="AW106" s="64">
        <f>Z106/Demand!AU124</f>
        <v/>
      </c>
      <c r="AX106" s="64">
        <f>AA106/Demand!AV124</f>
        <v/>
      </c>
      <c r="AY106" s="64">
        <f>AB106/Demand!AW124</f>
        <v/>
      </c>
      <c r="BG106" s="64" t="n">
        <v>111</v>
      </c>
      <c r="BH106" s="64">
        <f>Results!$B$19+AJ106-Results!$D$21</f>
        <v/>
      </c>
      <c r="BI106" s="64">
        <f>Results!$B$19+AK106-Results!$D$21</f>
        <v/>
      </c>
      <c r="BJ106" s="64">
        <f>Results!$B$19+AL106-Results!$D$21</f>
        <v/>
      </c>
      <c r="BM106" s="64" t="n">
        <v>111</v>
      </c>
      <c r="BN106" s="64">
        <f>Results!D121</f>
        <v/>
      </c>
      <c r="BO106" s="64">
        <f>Results!E121</f>
        <v/>
      </c>
      <c r="BP106" s="64">
        <f>Results!F121</f>
        <v/>
      </c>
      <c r="BS106" s="64" t="n">
        <v>111</v>
      </c>
      <c r="BT106" s="64">
        <f>Demand!AU124</f>
        <v/>
      </c>
      <c r="BU106" s="64">
        <f>Demand!AV124</f>
        <v/>
      </c>
      <c r="BV106" s="64">
        <f>Demand!AW124</f>
        <v/>
      </c>
      <c r="BY106" s="64" t="n">
        <v>111</v>
      </c>
      <c r="BZ106" s="64">
        <f>Retailers_Cap!N107</f>
        <v/>
      </c>
      <c r="CA106" s="64">
        <f>Retailers_Cap!O107</f>
        <v/>
      </c>
      <c r="CB106" s="64">
        <f>Retailers_Cap!P107</f>
        <v/>
      </c>
      <c r="CD106" s="64" t="n">
        <v>111</v>
      </c>
      <c r="CE106" s="64">
        <f>IF((BT106-BZ106)&gt;=0,"Dem","Folga")</f>
        <v/>
      </c>
      <c r="CF106" s="64">
        <f>IF((BU106-CA106)&gt;=0,"Dem","Folga")</f>
        <v/>
      </c>
      <c r="CG106" s="64">
        <f>IF((BV106-CB106)&gt;=0,"Dem","Folga")</f>
        <v/>
      </c>
    </row>
    <row r="107">
      <c r="M107" s="64">
        <f>TRUNC((_xlfn.NORM.INV((RAND()),$L$6,$L$7)),2)</f>
        <v/>
      </c>
      <c r="O107" s="64" t="n">
        <v>112</v>
      </c>
      <c r="P107" s="5" t="n">
        <v>160.92</v>
      </c>
      <c r="Q107" s="5" t="n">
        <v>215.02</v>
      </c>
      <c r="R107" s="5" t="n">
        <v>267.57</v>
      </c>
      <c r="W107" s="64">
        <f>TRUNC((_xlfn.NORM.INV((RAND()),$V$6,$V$7)),3)</f>
        <v/>
      </c>
      <c r="Y107" s="64" t="n">
        <v>112</v>
      </c>
      <c r="Z107" s="5" t="n">
        <v>6.663</v>
      </c>
      <c r="AA107" s="5" t="n">
        <v>6.631</v>
      </c>
      <c r="AB107" s="5" t="n">
        <v>6.73</v>
      </c>
      <c r="AG107" s="64">
        <f>TRUNC((_xlfn.NORM.INV((RAND()),$AF$6,$AF$7)),3)</f>
        <v/>
      </c>
      <c r="AI107" s="64" t="n">
        <v>112</v>
      </c>
      <c r="AJ107" s="5" t="n">
        <v>44.394</v>
      </c>
      <c r="AK107" s="5" t="n">
        <v>66.88800000000001</v>
      </c>
      <c r="AL107" s="5" t="n">
        <v>70.797</v>
      </c>
      <c r="AR107" s="64" t="n">
        <v>112</v>
      </c>
      <c r="AS107" s="5" t="n">
        <v>0</v>
      </c>
      <c r="AT107" s="5" t="n">
        <v>0</v>
      </c>
      <c r="AU107" s="5" t="n">
        <v>0</v>
      </c>
      <c r="AW107" s="64">
        <f>Z107/Demand!AU125</f>
        <v/>
      </c>
      <c r="AX107" s="64">
        <f>AA107/Demand!AV125</f>
        <v/>
      </c>
      <c r="AY107" s="64">
        <f>AB107/Demand!AW125</f>
        <v/>
      </c>
      <c r="BG107" s="64" t="n">
        <v>112</v>
      </c>
      <c r="BH107" s="64">
        <f>Results!$B$19+AJ107-Results!$D$21</f>
        <v/>
      </c>
      <c r="BI107" s="64">
        <f>Results!$B$19+AK107-Results!$D$21</f>
        <v/>
      </c>
      <c r="BJ107" s="64">
        <f>Results!$B$19+AL107-Results!$D$21</f>
        <v/>
      </c>
      <c r="BM107" s="64" t="n">
        <v>112</v>
      </c>
      <c r="BN107" s="64">
        <f>Results!D122</f>
        <v/>
      </c>
      <c r="BO107" s="64">
        <f>Results!E122</f>
        <v/>
      </c>
      <c r="BP107" s="64">
        <f>Results!F122</f>
        <v/>
      </c>
      <c r="BS107" s="64" t="n">
        <v>112</v>
      </c>
      <c r="BT107" s="64">
        <f>Demand!AU125</f>
        <v/>
      </c>
      <c r="BU107" s="64">
        <f>Demand!AV125</f>
        <v/>
      </c>
      <c r="BV107" s="64">
        <f>Demand!AW125</f>
        <v/>
      </c>
      <c r="BY107" s="64" t="n">
        <v>112</v>
      </c>
      <c r="BZ107" s="64">
        <f>Retailers_Cap!N108</f>
        <v/>
      </c>
      <c r="CA107" s="64">
        <f>Retailers_Cap!O108</f>
        <v/>
      </c>
      <c r="CB107" s="64">
        <f>Retailers_Cap!P108</f>
        <v/>
      </c>
      <c r="CD107" s="64" t="n">
        <v>112</v>
      </c>
      <c r="CE107" s="64">
        <f>IF((BT107-BZ107)&gt;=0,"Dem","Folga")</f>
        <v/>
      </c>
      <c r="CF107" s="64">
        <f>IF((BU107-CA107)&gt;=0,"Dem","Folga")</f>
        <v/>
      </c>
      <c r="CG107" s="64">
        <f>IF((BV107-CB107)&gt;=0,"Dem","Folga")</f>
        <v/>
      </c>
    </row>
    <row r="108">
      <c r="M108" s="64">
        <f>TRUNC((_xlfn.NORM.INV((RAND()),$L$6,$L$7)),2)</f>
        <v/>
      </c>
      <c r="O108" s="64" t="n">
        <v>113</v>
      </c>
      <c r="P108" s="5" t="n">
        <v>239.18</v>
      </c>
      <c r="Q108" s="5" t="n">
        <v>182.65</v>
      </c>
      <c r="R108" s="5" t="n">
        <v>122.27</v>
      </c>
      <c r="W108" s="64">
        <f>TRUNC((_xlfn.NORM.INV((RAND()),$V$6,$V$7)),3)</f>
        <v/>
      </c>
      <c r="Y108" s="64" t="n">
        <v>113</v>
      </c>
      <c r="Z108" s="5" t="n">
        <v>6.749</v>
      </c>
      <c r="AA108" s="5" t="n">
        <v>6.743</v>
      </c>
      <c r="AB108" s="5" t="n">
        <v>6.808</v>
      </c>
      <c r="AG108" s="64">
        <f>TRUNC((_xlfn.NORM.INV((RAND()),$AF$6,$AF$7)),3)</f>
        <v/>
      </c>
      <c r="AI108" s="64" t="n">
        <v>113</v>
      </c>
      <c r="AJ108" s="5" t="n">
        <v>82.42700000000001</v>
      </c>
      <c r="AK108" s="5" t="n">
        <v>58.659</v>
      </c>
      <c r="AL108" s="5" t="n">
        <v>60.28</v>
      </c>
      <c r="AR108" s="64" t="n">
        <v>113</v>
      </c>
      <c r="AS108" s="5" t="n">
        <v>0</v>
      </c>
      <c r="AT108" s="5" t="n">
        <v>11.24464437416972</v>
      </c>
      <c r="AU108" s="5" t="n">
        <v>0</v>
      </c>
      <c r="AW108" s="64">
        <f>Z108/Demand!AU126</f>
        <v/>
      </c>
      <c r="AX108" s="64">
        <f>AA108/Demand!AV126</f>
        <v/>
      </c>
      <c r="AY108" s="64">
        <f>AB108/Demand!AW126</f>
        <v/>
      </c>
      <c r="BG108" s="64" t="n">
        <v>113</v>
      </c>
      <c r="BH108" s="64">
        <f>Results!$B$19+AJ108-Results!$D$21</f>
        <v/>
      </c>
      <c r="BI108" s="64">
        <f>Results!$B$19+AK108-Results!$D$21</f>
        <v/>
      </c>
      <c r="BJ108" s="64">
        <f>Results!$B$19+AL108-Results!$D$21</f>
        <v/>
      </c>
      <c r="BM108" s="64" t="n">
        <v>113</v>
      </c>
      <c r="BN108" s="64">
        <f>Results!D123</f>
        <v/>
      </c>
      <c r="BO108" s="64">
        <f>Results!E123</f>
        <v/>
      </c>
      <c r="BP108" s="64">
        <f>Results!F123</f>
        <v/>
      </c>
      <c r="BS108" s="64" t="n">
        <v>113</v>
      </c>
      <c r="BT108" s="64">
        <f>Demand!AU126</f>
        <v/>
      </c>
      <c r="BU108" s="64">
        <f>Demand!AV126</f>
        <v/>
      </c>
      <c r="BV108" s="64">
        <f>Demand!AW126</f>
        <v/>
      </c>
      <c r="BY108" s="64" t="n">
        <v>113</v>
      </c>
      <c r="BZ108" s="64">
        <f>Retailers_Cap!N109</f>
        <v/>
      </c>
      <c r="CA108" s="64">
        <f>Retailers_Cap!O109</f>
        <v/>
      </c>
      <c r="CB108" s="64">
        <f>Retailers_Cap!P109</f>
        <v/>
      </c>
      <c r="CD108" s="64" t="n">
        <v>113</v>
      </c>
      <c r="CE108" s="64">
        <f>IF((BT108-BZ108)&gt;=0,"Dem","Folga")</f>
        <v/>
      </c>
      <c r="CF108" s="64">
        <f>IF((BU108-CA108)&gt;=0,"Dem","Folga")</f>
        <v/>
      </c>
      <c r="CG108" s="64">
        <f>IF((BV108-CB108)&gt;=0,"Dem","Folga")</f>
        <v/>
      </c>
    </row>
    <row r="109">
      <c r="M109" s="64">
        <f>TRUNC((_xlfn.NORM.INV((RAND()),$L$6,$L$7)),2)</f>
        <v/>
      </c>
      <c r="O109" s="64" t="n">
        <v>114</v>
      </c>
      <c r="P109" s="5" t="n">
        <v>164.91</v>
      </c>
      <c r="Q109" s="5" t="n">
        <v>228.09</v>
      </c>
      <c r="R109" s="5" t="n">
        <v>266.3</v>
      </c>
      <c r="W109" s="64">
        <f>TRUNC((_xlfn.NORM.INV((RAND()),$V$6,$V$7)),3)</f>
        <v/>
      </c>
      <c r="Y109" s="64" t="n">
        <v>114</v>
      </c>
      <c r="Z109" s="5" t="n">
        <v>6.732</v>
      </c>
      <c r="AA109" s="5" t="n">
        <v>6.627</v>
      </c>
      <c r="AB109" s="5" t="n">
        <v>6.837</v>
      </c>
      <c r="AG109" s="64">
        <f>TRUNC((_xlfn.NORM.INV((RAND()),$AF$6,$AF$7)),3)</f>
        <v/>
      </c>
      <c r="AI109" s="64" t="n">
        <v>114</v>
      </c>
      <c r="AJ109" s="5" t="n">
        <v>78.79900000000001</v>
      </c>
      <c r="AK109" s="5" t="n">
        <v>63.099</v>
      </c>
      <c r="AL109" s="5" t="n">
        <v>58.378</v>
      </c>
      <c r="AR109" s="64" t="n">
        <v>114</v>
      </c>
      <c r="AS109" s="5" t="n">
        <v>24.71153184151682</v>
      </c>
      <c r="AT109" s="5" t="n">
        <v>0</v>
      </c>
      <c r="AU109" s="5" t="n">
        <v>0</v>
      </c>
      <c r="AW109" s="64">
        <f>Z109/Demand!AU127</f>
        <v/>
      </c>
      <c r="AX109" s="64">
        <f>AA109/Demand!AV127</f>
        <v/>
      </c>
      <c r="AY109" s="64">
        <f>AB109/Demand!AW127</f>
        <v/>
      </c>
      <c r="BG109" s="64" t="n">
        <v>114</v>
      </c>
      <c r="BH109" s="64">
        <f>Results!$B$19+AJ109-Results!$D$21</f>
        <v/>
      </c>
      <c r="BI109" s="64">
        <f>Results!$B$19+AK109-Results!$D$21</f>
        <v/>
      </c>
      <c r="BJ109" s="64">
        <f>Results!$B$19+AL109-Results!$D$21</f>
        <v/>
      </c>
      <c r="BM109" s="64" t="n">
        <v>114</v>
      </c>
      <c r="BN109" s="64">
        <f>Results!D124</f>
        <v/>
      </c>
      <c r="BO109" s="64">
        <f>Results!E124</f>
        <v/>
      </c>
      <c r="BP109" s="64">
        <f>Results!F124</f>
        <v/>
      </c>
      <c r="BS109" s="64" t="n">
        <v>114</v>
      </c>
      <c r="BT109" s="64">
        <f>Demand!AU127</f>
        <v/>
      </c>
      <c r="BU109" s="64">
        <f>Demand!AV127</f>
        <v/>
      </c>
      <c r="BV109" s="64">
        <f>Demand!AW127</f>
        <v/>
      </c>
      <c r="BY109" s="64" t="n">
        <v>114</v>
      </c>
      <c r="BZ109" s="64">
        <f>Retailers_Cap!N110</f>
        <v/>
      </c>
      <c r="CA109" s="64">
        <f>Retailers_Cap!O110</f>
        <v/>
      </c>
      <c r="CB109" s="64">
        <f>Retailers_Cap!P110</f>
        <v/>
      </c>
      <c r="CD109" s="64" t="n">
        <v>114</v>
      </c>
      <c r="CE109" s="64">
        <f>IF((BT109-BZ109)&gt;=0,"Dem","Folga")</f>
        <v/>
      </c>
      <c r="CF109" s="64">
        <f>IF((BU109-CA109)&gt;=0,"Dem","Folga")</f>
        <v/>
      </c>
      <c r="CG109" s="64">
        <f>IF((BV109-CB109)&gt;=0,"Dem","Folga")</f>
        <v/>
      </c>
    </row>
    <row r="110">
      <c r="M110" s="64">
        <f>TRUNC((_xlfn.NORM.INV((RAND()),$L$6,$L$7)),2)</f>
        <v/>
      </c>
      <c r="O110" s="64" t="n">
        <v>115</v>
      </c>
      <c r="P110" s="5" t="n">
        <v>175.37</v>
      </c>
      <c r="Q110" s="5" t="n">
        <v>158.2</v>
      </c>
      <c r="R110" s="5" t="n">
        <v>266.58</v>
      </c>
      <c r="W110" s="64">
        <f>TRUNC((_xlfn.NORM.INV((RAND()),$V$6,$V$7)),3)</f>
        <v/>
      </c>
      <c r="Y110" s="64" t="n">
        <v>115</v>
      </c>
      <c r="Z110" s="5" t="n">
        <v>6.747</v>
      </c>
      <c r="AA110" s="5" t="n">
        <v>6.852</v>
      </c>
      <c r="AB110" s="5" t="n">
        <v>6.836</v>
      </c>
      <c r="AG110" s="64">
        <f>TRUNC((_xlfn.NORM.INV((RAND()),$AF$6,$AF$7)),3)</f>
        <v/>
      </c>
      <c r="AI110" s="64" t="n">
        <v>115</v>
      </c>
      <c r="AJ110" s="5" t="n">
        <v>72.24299999999999</v>
      </c>
      <c r="AK110" s="5" t="n">
        <v>61.343</v>
      </c>
      <c r="AL110" s="5" t="n">
        <v>51.138</v>
      </c>
      <c r="AR110" s="64" t="n">
        <v>115</v>
      </c>
      <c r="AS110" s="5" t="n">
        <v>0</v>
      </c>
      <c r="AT110" s="5" t="n">
        <v>0</v>
      </c>
      <c r="AU110" s="5" t="n">
        <v>0</v>
      </c>
      <c r="AW110" s="64">
        <f>Z110/Demand!AU128</f>
        <v/>
      </c>
      <c r="AX110" s="64">
        <f>AA110/Demand!AV128</f>
        <v/>
      </c>
      <c r="AY110" s="64">
        <f>AB110/Demand!AW128</f>
        <v/>
      </c>
      <c r="BG110" s="64" t="n">
        <v>115</v>
      </c>
      <c r="BH110" s="64">
        <f>Results!$B$19+AJ110-Results!$D$21</f>
        <v/>
      </c>
      <c r="BI110" s="64">
        <f>Results!$B$19+AK110-Results!$D$21</f>
        <v/>
      </c>
      <c r="BJ110" s="64">
        <f>Results!$B$19+AL110-Results!$D$21</f>
        <v/>
      </c>
      <c r="BM110" s="64" t="n">
        <v>115</v>
      </c>
      <c r="BN110" s="64">
        <f>Results!D125</f>
        <v/>
      </c>
      <c r="BO110" s="64">
        <f>Results!E125</f>
        <v/>
      </c>
      <c r="BP110" s="64">
        <f>Results!F125</f>
        <v/>
      </c>
      <c r="BS110" s="64" t="n">
        <v>115</v>
      </c>
      <c r="BT110" s="64">
        <f>Demand!AU128</f>
        <v/>
      </c>
      <c r="BU110" s="64">
        <f>Demand!AV128</f>
        <v/>
      </c>
      <c r="BV110" s="64">
        <f>Demand!AW128</f>
        <v/>
      </c>
      <c r="BY110" s="64" t="n">
        <v>115</v>
      </c>
      <c r="BZ110" s="64">
        <f>Retailers_Cap!N111</f>
        <v/>
      </c>
      <c r="CA110" s="64">
        <f>Retailers_Cap!O111</f>
        <v/>
      </c>
      <c r="CB110" s="64">
        <f>Retailers_Cap!P111</f>
        <v/>
      </c>
      <c r="CD110" s="64" t="n">
        <v>115</v>
      </c>
      <c r="CE110" s="64">
        <f>IF((BT110-BZ110)&gt;=0,"Dem","Folga")</f>
        <v/>
      </c>
      <c r="CF110" s="64">
        <f>IF((BU110-CA110)&gt;=0,"Dem","Folga")</f>
        <v/>
      </c>
      <c r="CG110" s="64">
        <f>IF((BV110-CB110)&gt;=0,"Dem","Folga")</f>
        <v/>
      </c>
    </row>
    <row r="111">
      <c r="M111" s="64">
        <f>TRUNC((_xlfn.NORM.INV((RAND()),$L$6,$L$7)),2)</f>
        <v/>
      </c>
      <c r="O111" s="64" t="n">
        <v>116</v>
      </c>
      <c r="P111" s="5" t="n">
        <v>264.17</v>
      </c>
      <c r="Q111" s="5" t="n">
        <v>219.68</v>
      </c>
      <c r="R111" s="5" t="n">
        <v>257.31</v>
      </c>
      <c r="W111" s="64">
        <f>TRUNC((_xlfn.NORM.INV((RAND()),$V$6,$V$7)),3)</f>
        <v/>
      </c>
      <c r="Y111" s="64" t="n">
        <v>116</v>
      </c>
      <c r="Z111" s="5" t="n">
        <v>6.785</v>
      </c>
      <c r="AA111" s="5" t="n">
        <v>6.723</v>
      </c>
      <c r="AB111" s="5" t="n">
        <v>6.687</v>
      </c>
      <c r="AG111" s="64">
        <f>TRUNC((_xlfn.NORM.INV((RAND()),$AF$6,$AF$7)),3)</f>
        <v/>
      </c>
      <c r="AI111" s="64" t="n">
        <v>116</v>
      </c>
      <c r="AJ111" s="5" t="n">
        <v>55.163</v>
      </c>
      <c r="AK111" s="5" t="n">
        <v>50.665</v>
      </c>
      <c r="AL111" s="5" t="n">
        <v>68.902</v>
      </c>
      <c r="AR111" s="64" t="n">
        <v>116</v>
      </c>
      <c r="AS111" s="5" t="n">
        <v>0</v>
      </c>
      <c r="AT111" s="5" t="n">
        <v>0</v>
      </c>
      <c r="AU111" s="5" t="n">
        <v>0</v>
      </c>
      <c r="AW111" s="64">
        <f>Z111/Demand!AU129</f>
        <v/>
      </c>
      <c r="AX111" s="64">
        <f>AA111/Demand!AV129</f>
        <v/>
      </c>
      <c r="AY111" s="64">
        <f>AB111/Demand!AW129</f>
        <v/>
      </c>
      <c r="BG111" s="64" t="n">
        <v>116</v>
      </c>
      <c r="BH111" s="64">
        <f>Results!$B$19+AJ111-Results!$D$21</f>
        <v/>
      </c>
      <c r="BI111" s="64">
        <f>Results!$B$19+AK111-Results!$D$21</f>
        <v/>
      </c>
      <c r="BJ111" s="64">
        <f>Results!$B$19+AL111-Results!$D$21</f>
        <v/>
      </c>
      <c r="BM111" s="64" t="n">
        <v>116</v>
      </c>
      <c r="BN111" s="64">
        <f>Results!D126</f>
        <v/>
      </c>
      <c r="BO111" s="64">
        <f>Results!E126</f>
        <v/>
      </c>
      <c r="BP111" s="64">
        <f>Results!F126</f>
        <v/>
      </c>
      <c r="BS111" s="64" t="n">
        <v>116</v>
      </c>
      <c r="BT111" s="64">
        <f>Demand!AU129</f>
        <v/>
      </c>
      <c r="BU111" s="64">
        <f>Demand!AV129</f>
        <v/>
      </c>
      <c r="BV111" s="64">
        <f>Demand!AW129</f>
        <v/>
      </c>
      <c r="BY111" s="64" t="n">
        <v>116</v>
      </c>
      <c r="BZ111" s="64">
        <f>Retailers_Cap!N112</f>
        <v/>
      </c>
      <c r="CA111" s="64">
        <f>Retailers_Cap!O112</f>
        <v/>
      </c>
      <c r="CB111" s="64">
        <f>Retailers_Cap!P112</f>
        <v/>
      </c>
      <c r="CD111" s="64" t="n">
        <v>116</v>
      </c>
      <c r="CE111" s="64">
        <f>IF((BT111-BZ111)&gt;=0,"Dem","Folga")</f>
        <v/>
      </c>
      <c r="CF111" s="64">
        <f>IF((BU111-CA111)&gt;=0,"Dem","Folga")</f>
        <v/>
      </c>
      <c r="CG111" s="64">
        <f>IF((BV111-CB111)&gt;=0,"Dem","Folga")</f>
        <v/>
      </c>
    </row>
    <row r="112">
      <c r="M112" s="64">
        <f>TRUNC((_xlfn.NORM.INV((RAND()),$L$6,$L$7)),2)</f>
        <v/>
      </c>
      <c r="O112" s="64" t="n">
        <v>117</v>
      </c>
      <c r="P112" s="5" t="n">
        <v>182.5</v>
      </c>
      <c r="Q112" s="5" t="n">
        <v>246.75</v>
      </c>
      <c r="R112" s="5" t="n">
        <v>203.61</v>
      </c>
      <c r="W112" s="64">
        <f>TRUNC((_xlfn.NORM.INV((RAND()),$V$6,$V$7)),3)</f>
        <v/>
      </c>
      <c r="Y112" s="64" t="n">
        <v>117</v>
      </c>
      <c r="Z112" s="5" t="n">
        <v>6.701</v>
      </c>
      <c r="AA112" s="5" t="n">
        <v>6.696</v>
      </c>
      <c r="AB112" s="5" t="n">
        <v>6.671</v>
      </c>
      <c r="AG112" s="64">
        <f>TRUNC((_xlfn.NORM.INV((RAND()),$AF$6,$AF$7)),3)</f>
        <v/>
      </c>
      <c r="AI112" s="64" t="n">
        <v>117</v>
      </c>
      <c r="AJ112" s="5" t="n">
        <v>50.155</v>
      </c>
      <c r="AK112" s="5" t="n">
        <v>80.922</v>
      </c>
      <c r="AL112" s="5" t="n">
        <v>64.733</v>
      </c>
      <c r="AR112" s="64" t="n">
        <v>117</v>
      </c>
      <c r="AS112" s="5" t="n">
        <v>0</v>
      </c>
      <c r="AT112" s="5" t="n">
        <v>0</v>
      </c>
      <c r="AU112" s="5" t="n">
        <v>4.684901316925019</v>
      </c>
      <c r="AW112" s="64">
        <f>Z112/Demand!AU130</f>
        <v/>
      </c>
      <c r="AX112" s="64">
        <f>AA112/Demand!AV130</f>
        <v/>
      </c>
      <c r="AY112" s="64">
        <f>AB112/Demand!AW130</f>
        <v/>
      </c>
      <c r="BG112" s="64" t="n">
        <v>117</v>
      </c>
      <c r="BH112" s="64">
        <f>Results!$B$19+AJ112-Results!$D$21</f>
        <v/>
      </c>
      <c r="BI112" s="64">
        <f>Results!$B$19+AK112-Results!$D$21</f>
        <v/>
      </c>
      <c r="BJ112" s="64">
        <f>Results!$B$19+AL112-Results!$D$21</f>
        <v/>
      </c>
      <c r="BM112" s="64" t="n">
        <v>117</v>
      </c>
      <c r="BN112" s="64">
        <f>Results!D127</f>
        <v/>
      </c>
      <c r="BO112" s="64">
        <f>Results!E127</f>
        <v/>
      </c>
      <c r="BP112" s="64">
        <f>Results!F127</f>
        <v/>
      </c>
      <c r="BS112" s="64" t="n">
        <v>117</v>
      </c>
      <c r="BT112" s="64">
        <f>Demand!AU130</f>
        <v/>
      </c>
      <c r="BU112" s="64">
        <f>Demand!AV130</f>
        <v/>
      </c>
      <c r="BV112" s="64">
        <f>Demand!AW130</f>
        <v/>
      </c>
      <c r="BY112" s="64" t="n">
        <v>117</v>
      </c>
      <c r="BZ112" s="64">
        <f>Retailers_Cap!N113</f>
        <v/>
      </c>
      <c r="CA112" s="64">
        <f>Retailers_Cap!O113</f>
        <v/>
      </c>
      <c r="CB112" s="64">
        <f>Retailers_Cap!P113</f>
        <v/>
      </c>
      <c r="CD112" s="64" t="n">
        <v>117</v>
      </c>
      <c r="CE112" s="64">
        <f>IF((BT112-BZ112)&gt;=0,"Dem","Folga")</f>
        <v/>
      </c>
      <c r="CF112" s="64">
        <f>IF((BU112-CA112)&gt;=0,"Dem","Folga")</f>
        <v/>
      </c>
      <c r="CG112" s="64">
        <f>IF((BV112-CB112)&gt;=0,"Dem","Folga")</f>
        <v/>
      </c>
    </row>
    <row r="113">
      <c r="M113" s="64">
        <f>TRUNC((_xlfn.NORM.INV((RAND()),$L$6,$L$7)),2)</f>
        <v/>
      </c>
      <c r="O113" s="64" t="n">
        <v>118</v>
      </c>
      <c r="P113" s="5" t="n">
        <v>204.58</v>
      </c>
      <c r="Q113" s="5" t="n">
        <v>225.84</v>
      </c>
      <c r="R113" s="5" t="n">
        <v>194.32</v>
      </c>
      <c r="W113" s="64">
        <f>TRUNC((_xlfn.NORM.INV((RAND()),$V$6,$V$7)),3)</f>
        <v/>
      </c>
      <c r="Y113" s="64" t="n">
        <v>118</v>
      </c>
      <c r="Z113" s="5" t="n">
        <v>6.689</v>
      </c>
      <c r="AA113" s="5" t="n">
        <v>6.769</v>
      </c>
      <c r="AB113" s="5" t="n">
        <v>6.686</v>
      </c>
      <c r="AG113" s="64">
        <f>TRUNC((_xlfn.NORM.INV((RAND()),$AF$6,$AF$7)),3)</f>
        <v/>
      </c>
      <c r="AI113" s="64" t="n">
        <v>118</v>
      </c>
      <c r="AJ113" s="5" t="n">
        <v>74.36</v>
      </c>
      <c r="AK113" s="5" t="n">
        <v>59.638</v>
      </c>
      <c r="AL113" s="5" t="n">
        <v>63.48</v>
      </c>
      <c r="AR113" s="64" t="n">
        <v>118</v>
      </c>
      <c r="AS113" s="5" t="n">
        <v>8.803674496918111</v>
      </c>
      <c r="AT113" s="5" t="n">
        <v>0</v>
      </c>
      <c r="AU113" s="5" t="n">
        <v>0</v>
      </c>
      <c r="AW113" s="64">
        <f>Z113/Demand!AU131</f>
        <v/>
      </c>
      <c r="AX113" s="64">
        <f>AA113/Demand!AV131</f>
        <v/>
      </c>
      <c r="AY113" s="64">
        <f>AB113/Demand!AW131</f>
        <v/>
      </c>
      <c r="BG113" s="64" t="n">
        <v>118</v>
      </c>
      <c r="BH113" s="64">
        <f>Results!$B$19+AJ113-Results!$D$21</f>
        <v/>
      </c>
      <c r="BI113" s="64">
        <f>Results!$B$19+AK113-Results!$D$21</f>
        <v/>
      </c>
      <c r="BJ113" s="64">
        <f>Results!$B$19+AL113-Results!$D$21</f>
        <v/>
      </c>
      <c r="BM113" s="64" t="n">
        <v>118</v>
      </c>
      <c r="BN113" s="64">
        <f>Results!D128</f>
        <v/>
      </c>
      <c r="BO113" s="64">
        <f>Results!E128</f>
        <v/>
      </c>
      <c r="BP113" s="64">
        <f>Results!F128</f>
        <v/>
      </c>
      <c r="BS113" s="64" t="n">
        <v>118</v>
      </c>
      <c r="BT113" s="64">
        <f>Demand!AU131</f>
        <v/>
      </c>
      <c r="BU113" s="64">
        <f>Demand!AV131</f>
        <v/>
      </c>
      <c r="BV113" s="64">
        <f>Demand!AW131</f>
        <v/>
      </c>
      <c r="BY113" s="64" t="n">
        <v>118</v>
      </c>
      <c r="BZ113" s="64">
        <f>Retailers_Cap!N114</f>
        <v/>
      </c>
      <c r="CA113" s="64">
        <f>Retailers_Cap!O114</f>
        <v/>
      </c>
      <c r="CB113" s="64">
        <f>Retailers_Cap!P114</f>
        <v/>
      </c>
      <c r="CD113" s="64" t="n">
        <v>118</v>
      </c>
      <c r="CE113" s="64">
        <f>IF((BT113-BZ113)&gt;=0,"Dem","Folga")</f>
        <v/>
      </c>
      <c r="CF113" s="64">
        <f>IF((BU113-CA113)&gt;=0,"Dem","Folga")</f>
        <v/>
      </c>
      <c r="CG113" s="64">
        <f>IF((BV113-CB113)&gt;=0,"Dem","Folga")</f>
        <v/>
      </c>
    </row>
    <row r="114">
      <c r="M114" s="64">
        <f>TRUNC((_xlfn.NORM.INV((RAND()),$L$6,$L$7)),2)</f>
        <v/>
      </c>
      <c r="O114" s="64" t="n">
        <v>119</v>
      </c>
      <c r="P114" s="5" t="n">
        <v>197.55</v>
      </c>
      <c r="Q114" s="5" t="n">
        <v>235.3</v>
      </c>
      <c r="R114" s="5" t="n">
        <v>136.47</v>
      </c>
      <c r="W114" s="64">
        <f>TRUNC((_xlfn.NORM.INV((RAND()),$V$6,$V$7)),3)</f>
        <v/>
      </c>
      <c r="Y114" s="64" t="n">
        <v>119</v>
      </c>
      <c r="Z114" s="5" t="n">
        <v>6.733</v>
      </c>
      <c r="AA114" s="5" t="n">
        <v>6.788</v>
      </c>
      <c r="AB114" s="5" t="n">
        <v>6.712</v>
      </c>
      <c r="AG114" s="64">
        <f>TRUNC((_xlfn.NORM.INV((RAND()),$AF$6,$AF$7)),3)</f>
        <v/>
      </c>
      <c r="AI114" s="64" t="n">
        <v>119</v>
      </c>
      <c r="AJ114" s="5" t="n">
        <v>74.07599999999999</v>
      </c>
      <c r="AK114" s="5" t="n">
        <v>82.202</v>
      </c>
      <c r="AL114" s="5" t="n">
        <v>33.994</v>
      </c>
      <c r="AR114" s="64" t="n">
        <v>119</v>
      </c>
      <c r="AS114" s="5" t="n">
        <v>37.93787314950842</v>
      </c>
      <c r="AT114" s="5" t="n">
        <v>0</v>
      </c>
      <c r="AU114" s="5" t="n">
        <v>9.811997502518343</v>
      </c>
      <c r="AW114" s="64">
        <f>Z114/Demand!AU132</f>
        <v/>
      </c>
      <c r="AX114" s="64">
        <f>AA114/Demand!AV132</f>
        <v/>
      </c>
      <c r="AY114" s="64">
        <f>AB114/Demand!AW132</f>
        <v/>
      </c>
      <c r="BG114" s="64" t="n">
        <v>119</v>
      </c>
      <c r="BH114" s="64">
        <f>Results!$B$19+AJ114-Results!$D$21</f>
        <v/>
      </c>
      <c r="BI114" s="64">
        <f>Results!$B$19+AK114-Results!$D$21</f>
        <v/>
      </c>
      <c r="BJ114" s="64">
        <f>Results!$B$19+AL114-Results!$D$21</f>
        <v/>
      </c>
      <c r="BM114" s="64" t="n">
        <v>119</v>
      </c>
      <c r="BN114" s="64">
        <f>Results!D129</f>
        <v/>
      </c>
      <c r="BO114" s="64">
        <f>Results!E129</f>
        <v/>
      </c>
      <c r="BP114" s="64">
        <f>Results!F129</f>
        <v/>
      </c>
      <c r="BS114" s="64" t="n">
        <v>119</v>
      </c>
      <c r="BT114" s="64">
        <f>Demand!AU132</f>
        <v/>
      </c>
      <c r="BU114" s="64">
        <f>Demand!AV132</f>
        <v/>
      </c>
      <c r="BV114" s="64">
        <f>Demand!AW132</f>
        <v/>
      </c>
      <c r="BY114" s="64" t="n">
        <v>119</v>
      </c>
      <c r="BZ114" s="64">
        <f>Retailers_Cap!N115</f>
        <v/>
      </c>
      <c r="CA114" s="64">
        <f>Retailers_Cap!O115</f>
        <v/>
      </c>
      <c r="CB114" s="64">
        <f>Retailers_Cap!P115</f>
        <v/>
      </c>
      <c r="CD114" s="64" t="n">
        <v>119</v>
      </c>
      <c r="CE114" s="64">
        <f>IF((BT114-BZ114)&gt;=0,"Dem","Folga")</f>
        <v/>
      </c>
      <c r="CF114" s="64">
        <f>IF((BU114-CA114)&gt;=0,"Dem","Folga")</f>
        <v/>
      </c>
      <c r="CG114" s="64">
        <f>IF((BV114-CB114)&gt;=0,"Dem","Folga")</f>
        <v/>
      </c>
    </row>
    <row r="115">
      <c r="M115" s="64">
        <f>TRUNC((_xlfn.NORM.INV((RAND()),$L$6,$L$7)),2)</f>
        <v/>
      </c>
      <c r="O115" s="64" t="n">
        <v>120</v>
      </c>
      <c r="P115" s="5" t="n">
        <v>232.4</v>
      </c>
      <c r="Q115" s="5" t="n">
        <v>169.07</v>
      </c>
      <c r="R115" s="5" t="n">
        <v>208.24</v>
      </c>
      <c r="W115" s="64">
        <f>TRUNC((_xlfn.NORM.INV((RAND()),$V$6,$V$7)),3)</f>
        <v/>
      </c>
      <c r="Y115" s="64" t="n">
        <v>120</v>
      </c>
      <c r="Z115" s="5" t="n">
        <v>6.623</v>
      </c>
      <c r="AA115" s="5" t="n">
        <v>6.735</v>
      </c>
      <c r="AB115" s="5" t="n">
        <v>6.791</v>
      </c>
      <c r="AG115" s="64">
        <f>TRUNC((_xlfn.NORM.INV((RAND()),$AF$6,$AF$7)),3)</f>
        <v/>
      </c>
      <c r="AI115" s="64" t="n">
        <v>120</v>
      </c>
      <c r="AJ115" s="5" t="n">
        <v>46.669</v>
      </c>
      <c r="AK115" s="5" t="n">
        <v>78.35899999999999</v>
      </c>
      <c r="AL115" s="5" t="n">
        <v>74.94</v>
      </c>
      <c r="AR115" s="64" t="n">
        <v>120</v>
      </c>
      <c r="AS115" s="5" t="n">
        <v>0</v>
      </c>
      <c r="AT115" s="5" t="n">
        <v>15.13205071812896</v>
      </c>
      <c r="AU115" s="5" t="n">
        <v>16.75921505349137</v>
      </c>
      <c r="AW115" s="64">
        <f>Z115/Demand!AU133</f>
        <v/>
      </c>
      <c r="AX115" s="64">
        <f>AA115/Demand!AV133</f>
        <v/>
      </c>
      <c r="AY115" s="64">
        <f>AB115/Demand!AW133</f>
        <v/>
      </c>
      <c r="BG115" s="64" t="n">
        <v>120</v>
      </c>
      <c r="BH115" s="64">
        <f>Results!$B$19+AJ115-Results!$D$21</f>
        <v/>
      </c>
      <c r="BI115" s="64">
        <f>Results!$B$19+AK115-Results!$D$21</f>
        <v/>
      </c>
      <c r="BJ115" s="64">
        <f>Results!$B$19+AL115-Results!$D$21</f>
        <v/>
      </c>
      <c r="BM115" s="64" t="n">
        <v>120</v>
      </c>
      <c r="BN115" s="64">
        <f>Results!D130</f>
        <v/>
      </c>
      <c r="BO115" s="64">
        <f>Results!E130</f>
        <v/>
      </c>
      <c r="BP115" s="64">
        <f>Results!F130</f>
        <v/>
      </c>
      <c r="BS115" s="64" t="n">
        <v>120</v>
      </c>
      <c r="BT115" s="64">
        <f>Demand!AU133</f>
        <v/>
      </c>
      <c r="BU115" s="64">
        <f>Demand!AV133</f>
        <v/>
      </c>
      <c r="BV115" s="64">
        <f>Demand!AW133</f>
        <v/>
      </c>
      <c r="BY115" s="64" t="n">
        <v>120</v>
      </c>
      <c r="BZ115" s="64">
        <f>Retailers_Cap!N116</f>
        <v/>
      </c>
      <c r="CA115" s="64">
        <f>Retailers_Cap!O116</f>
        <v/>
      </c>
      <c r="CB115" s="64">
        <f>Retailers_Cap!P116</f>
        <v/>
      </c>
      <c r="CD115" s="64" t="n">
        <v>120</v>
      </c>
      <c r="CE115" s="64">
        <f>IF((BT115-BZ115)&gt;=0,"Dem","Folga")</f>
        <v/>
      </c>
      <c r="CF115" s="64">
        <f>IF((BU115-CA115)&gt;=0,"Dem","Folga")</f>
        <v/>
      </c>
      <c r="CG115" s="64">
        <f>IF((BV115-CB115)&gt;=0,"Dem","Folga")</f>
        <v/>
      </c>
    </row>
    <row r="116">
      <c r="M116" s="64">
        <f>TRUNC((_xlfn.NORM.INV((RAND()),$L$6,$L$7)),2)</f>
        <v/>
      </c>
      <c r="O116" s="64" t="n">
        <v>121</v>
      </c>
      <c r="P116" s="5" t="n">
        <v>251.47</v>
      </c>
      <c r="Q116" s="5" t="n">
        <v>252.91</v>
      </c>
      <c r="R116" s="5" t="n">
        <v>263.74</v>
      </c>
      <c r="W116" s="64">
        <f>TRUNC((_xlfn.NORM.INV((RAND()),$V$6,$V$7)),3)</f>
        <v/>
      </c>
      <c r="Y116" s="64" t="n">
        <v>121</v>
      </c>
      <c r="Z116" s="5" t="n">
        <v>6.772</v>
      </c>
      <c r="AA116" s="5" t="n">
        <v>6.704</v>
      </c>
      <c r="AB116" s="5" t="n">
        <v>6.795</v>
      </c>
      <c r="AG116" s="64">
        <f>TRUNC((_xlfn.NORM.INV((RAND()),$AF$6,$AF$7)),3)</f>
        <v/>
      </c>
      <c r="AI116" s="64" t="n">
        <v>121</v>
      </c>
      <c r="AJ116" s="5" t="n">
        <v>56.824</v>
      </c>
      <c r="AK116" s="5" t="n">
        <v>73.136</v>
      </c>
      <c r="AL116" s="5" t="n">
        <v>53.779</v>
      </c>
      <c r="AR116" s="64" t="n">
        <v>121</v>
      </c>
      <c r="AS116" s="5" t="n">
        <v>17.11963638283738</v>
      </c>
      <c r="AT116" s="5" t="n">
        <v>0</v>
      </c>
      <c r="AU116" s="5" t="n">
        <v>0</v>
      </c>
      <c r="AW116" s="64">
        <f>Z116/Demand!AU134</f>
        <v/>
      </c>
      <c r="AX116" s="64">
        <f>AA116/Demand!AV134</f>
        <v/>
      </c>
      <c r="AY116" s="64">
        <f>AB116/Demand!AW134</f>
        <v/>
      </c>
      <c r="BG116" s="64" t="n">
        <v>121</v>
      </c>
      <c r="BH116" s="64">
        <f>Results!$B$19+AJ116-Results!$D$21</f>
        <v/>
      </c>
      <c r="BI116" s="64">
        <f>Results!$B$19+AK116-Results!$D$21</f>
        <v/>
      </c>
      <c r="BJ116" s="64">
        <f>Results!$B$19+AL116-Results!$D$21</f>
        <v/>
      </c>
      <c r="BM116" s="64" t="n">
        <v>121</v>
      </c>
      <c r="BN116" s="64">
        <f>Results!D131</f>
        <v/>
      </c>
      <c r="BO116" s="64">
        <f>Results!E131</f>
        <v/>
      </c>
      <c r="BP116" s="64">
        <f>Results!F131</f>
        <v/>
      </c>
      <c r="BS116" s="64" t="n">
        <v>121</v>
      </c>
      <c r="BT116" s="64">
        <f>Demand!AU134</f>
        <v/>
      </c>
      <c r="BU116" s="64">
        <f>Demand!AV134</f>
        <v/>
      </c>
      <c r="BV116" s="64">
        <f>Demand!AW134</f>
        <v/>
      </c>
      <c r="BY116" s="64" t="n">
        <v>121</v>
      </c>
      <c r="BZ116" s="64">
        <f>Retailers_Cap!N117</f>
        <v/>
      </c>
      <c r="CA116" s="64">
        <f>Retailers_Cap!O117</f>
        <v/>
      </c>
      <c r="CB116" s="64">
        <f>Retailers_Cap!P117</f>
        <v/>
      </c>
      <c r="CD116" s="64" t="n">
        <v>121</v>
      </c>
      <c r="CE116" s="64">
        <f>IF((BT116-BZ116)&gt;=0,"Dem","Folga")</f>
        <v/>
      </c>
      <c r="CF116" s="64">
        <f>IF((BU116-CA116)&gt;=0,"Dem","Folga")</f>
        <v/>
      </c>
      <c r="CG116" s="64">
        <f>IF((BV116-CB116)&gt;=0,"Dem","Folga")</f>
        <v/>
      </c>
    </row>
    <row r="117">
      <c r="M117" s="64">
        <f>TRUNC((_xlfn.NORM.INV((RAND()),$L$6,$L$7)),2)</f>
        <v/>
      </c>
      <c r="O117" s="64" t="n">
        <v>122</v>
      </c>
      <c r="P117" s="5" t="n">
        <v>235.37</v>
      </c>
      <c r="Q117" s="5" t="n">
        <v>224.03</v>
      </c>
      <c r="R117" s="5" t="n">
        <v>262.05</v>
      </c>
      <c r="W117" s="64">
        <f>TRUNC((_xlfn.NORM.INV((RAND()),$V$6,$V$7)),3)</f>
        <v/>
      </c>
      <c r="Y117" s="64" t="n">
        <v>122</v>
      </c>
      <c r="Z117" s="5" t="n">
        <v>6.855</v>
      </c>
      <c r="AA117" s="5" t="n">
        <v>6.846</v>
      </c>
      <c r="AB117" s="5" t="n">
        <v>6.782</v>
      </c>
      <c r="AG117" s="64">
        <f>TRUNC((_xlfn.NORM.INV((RAND()),$AF$6,$AF$7)),3)</f>
        <v/>
      </c>
      <c r="AI117" s="64" t="n">
        <v>122</v>
      </c>
      <c r="AJ117" s="5" t="n">
        <v>47.044</v>
      </c>
      <c r="AK117" s="5" t="n">
        <v>48.311</v>
      </c>
      <c r="AL117" s="5" t="n">
        <v>63.514</v>
      </c>
      <c r="AR117" s="64" t="n">
        <v>122</v>
      </c>
      <c r="AS117" s="5" t="n">
        <v>7.936520383079431</v>
      </c>
      <c r="AT117" s="5" t="n">
        <v>0</v>
      </c>
      <c r="AU117" s="5" t="n">
        <v>0</v>
      </c>
      <c r="AW117" s="64">
        <f>Z117/Demand!AU135</f>
        <v/>
      </c>
      <c r="AX117" s="64">
        <f>AA117/Demand!AV135</f>
        <v/>
      </c>
      <c r="AY117" s="64">
        <f>AB117/Demand!AW135</f>
        <v/>
      </c>
      <c r="BG117" s="64" t="n">
        <v>122</v>
      </c>
      <c r="BH117" s="64">
        <f>Results!$B$19+AJ117-Results!$D$21</f>
        <v/>
      </c>
      <c r="BI117" s="64">
        <f>Results!$B$19+AK117-Results!$D$21</f>
        <v/>
      </c>
      <c r="BJ117" s="64">
        <f>Results!$B$19+AL117-Results!$D$21</f>
        <v/>
      </c>
      <c r="BM117" s="64" t="n">
        <v>122</v>
      </c>
      <c r="BN117" s="64">
        <f>Results!D132</f>
        <v/>
      </c>
      <c r="BO117" s="64">
        <f>Results!E132</f>
        <v/>
      </c>
      <c r="BP117" s="64">
        <f>Results!F132</f>
        <v/>
      </c>
      <c r="BS117" s="64" t="n">
        <v>122</v>
      </c>
      <c r="BT117" s="64">
        <f>Demand!AU135</f>
        <v/>
      </c>
      <c r="BU117" s="64">
        <f>Demand!AV135</f>
        <v/>
      </c>
      <c r="BV117" s="64">
        <f>Demand!AW135</f>
        <v/>
      </c>
      <c r="BY117" s="64" t="n">
        <v>122</v>
      </c>
      <c r="BZ117" s="64">
        <f>Retailers_Cap!N118</f>
        <v/>
      </c>
      <c r="CA117" s="64">
        <f>Retailers_Cap!O118</f>
        <v/>
      </c>
      <c r="CB117" s="64">
        <f>Retailers_Cap!P118</f>
        <v/>
      </c>
      <c r="CD117" s="64" t="n">
        <v>122</v>
      </c>
      <c r="CE117" s="64">
        <f>IF((BT117-BZ117)&gt;=0,"Dem","Folga")</f>
        <v/>
      </c>
      <c r="CF117" s="64">
        <f>IF((BU117-CA117)&gt;=0,"Dem","Folga")</f>
        <v/>
      </c>
      <c r="CG117" s="64">
        <f>IF((BV117-CB117)&gt;=0,"Dem","Folga")</f>
        <v/>
      </c>
    </row>
    <row r="118">
      <c r="M118" s="64">
        <f>TRUNC((_xlfn.NORM.INV((RAND()),$L$6,$L$7)),2)</f>
        <v/>
      </c>
      <c r="O118" s="64" t="n">
        <v>123</v>
      </c>
      <c r="P118" s="5" t="n">
        <v>248.61</v>
      </c>
      <c r="Q118" s="5" t="n">
        <v>225.06</v>
      </c>
      <c r="R118" s="5" t="n">
        <v>146.91</v>
      </c>
      <c r="W118" s="64">
        <f>TRUNC((_xlfn.NORM.INV((RAND()),$V$6,$V$7)),3)</f>
        <v/>
      </c>
      <c r="Y118" s="64" t="n">
        <v>123</v>
      </c>
      <c r="Z118" s="5" t="n">
        <v>6.827</v>
      </c>
      <c r="AA118" s="5" t="n">
        <v>6.86</v>
      </c>
      <c r="AB118" s="5" t="n">
        <v>6.676</v>
      </c>
      <c r="AG118" s="64">
        <f>TRUNC((_xlfn.NORM.INV((RAND()),$AF$6,$AF$7)),3)</f>
        <v/>
      </c>
      <c r="AI118" s="64" t="n">
        <v>123</v>
      </c>
      <c r="AJ118" s="5" t="n">
        <v>55.637</v>
      </c>
      <c r="AK118" s="5" t="n">
        <v>52.979</v>
      </c>
      <c r="AL118" s="5" t="n">
        <v>45.17</v>
      </c>
      <c r="AR118" s="64" t="n">
        <v>123</v>
      </c>
      <c r="AS118" s="5" t="n">
        <v>0</v>
      </c>
      <c r="AT118" s="5" t="n">
        <v>11.13098529154248</v>
      </c>
      <c r="AU118" s="5" t="n">
        <v>0</v>
      </c>
      <c r="AW118" s="64">
        <f>Z118/Demand!AU136</f>
        <v/>
      </c>
      <c r="AX118" s="64">
        <f>AA118/Demand!AV136</f>
        <v/>
      </c>
      <c r="AY118" s="64">
        <f>AB118/Demand!AW136</f>
        <v/>
      </c>
      <c r="BG118" s="64" t="n">
        <v>123</v>
      </c>
      <c r="BH118" s="64">
        <f>Results!$B$19+AJ118-Results!$D$21</f>
        <v/>
      </c>
      <c r="BI118" s="64">
        <f>Results!$B$19+AK118-Results!$D$21</f>
        <v/>
      </c>
      <c r="BJ118" s="64">
        <f>Results!$B$19+AL118-Results!$D$21</f>
        <v/>
      </c>
      <c r="BM118" s="64" t="n">
        <v>123</v>
      </c>
      <c r="BN118" s="64">
        <f>Results!D133</f>
        <v/>
      </c>
      <c r="BO118" s="64">
        <f>Results!E133</f>
        <v/>
      </c>
      <c r="BP118" s="64">
        <f>Results!F133</f>
        <v/>
      </c>
      <c r="BS118" s="64" t="n">
        <v>123</v>
      </c>
      <c r="BT118" s="64">
        <f>Demand!AU136</f>
        <v/>
      </c>
      <c r="BU118" s="64">
        <f>Demand!AV136</f>
        <v/>
      </c>
      <c r="BV118" s="64">
        <f>Demand!AW136</f>
        <v/>
      </c>
      <c r="BY118" s="64" t="n">
        <v>123</v>
      </c>
      <c r="BZ118" s="64">
        <f>Retailers_Cap!N119</f>
        <v/>
      </c>
      <c r="CA118" s="64">
        <f>Retailers_Cap!O119</f>
        <v/>
      </c>
      <c r="CB118" s="64">
        <f>Retailers_Cap!P119</f>
        <v/>
      </c>
      <c r="CD118" s="64" t="n">
        <v>123</v>
      </c>
      <c r="CE118" s="64">
        <f>IF((BT118-BZ118)&gt;=0,"Dem","Folga")</f>
        <v/>
      </c>
      <c r="CF118" s="64">
        <f>IF((BU118-CA118)&gt;=0,"Dem","Folga")</f>
        <v/>
      </c>
      <c r="CG118" s="64">
        <f>IF((BV118-CB118)&gt;=0,"Dem","Folga")</f>
        <v/>
      </c>
    </row>
    <row r="119">
      <c r="M119" s="64">
        <f>TRUNC((_xlfn.NORM.INV((RAND()),$L$6,$L$7)),2)</f>
        <v/>
      </c>
      <c r="O119" s="64" t="n">
        <v>124</v>
      </c>
      <c r="P119" s="5" t="n">
        <v>256.14</v>
      </c>
      <c r="Q119" s="5" t="n">
        <v>238.58</v>
      </c>
      <c r="R119" s="5" t="n">
        <v>229.41</v>
      </c>
      <c r="W119" s="64">
        <f>TRUNC((_xlfn.NORM.INV((RAND()),$V$6,$V$7)),3)</f>
        <v/>
      </c>
      <c r="Y119" s="64" t="n">
        <v>124</v>
      </c>
      <c r="Z119" s="5" t="n">
        <v>6.791</v>
      </c>
      <c r="AA119" s="5" t="n">
        <v>6.829</v>
      </c>
      <c r="AB119" s="5" t="n">
        <v>6.806</v>
      </c>
      <c r="AG119" s="64">
        <f>TRUNC((_xlfn.NORM.INV((RAND()),$AF$6,$AF$7)),3)</f>
        <v/>
      </c>
      <c r="AI119" s="64" t="n">
        <v>124</v>
      </c>
      <c r="AJ119" s="5" t="n">
        <v>77.369</v>
      </c>
      <c r="AK119" s="5" t="n">
        <v>61.853</v>
      </c>
      <c r="AL119" s="5" t="n">
        <v>64.526</v>
      </c>
      <c r="AR119" s="64" t="n">
        <v>124</v>
      </c>
      <c r="AS119" s="5" t="n">
        <v>0</v>
      </c>
      <c r="AT119" s="5" t="n">
        <v>0</v>
      </c>
      <c r="AU119" s="5" t="n">
        <v>0</v>
      </c>
      <c r="AW119" s="64">
        <f>Z119/Demand!AU137</f>
        <v/>
      </c>
      <c r="AX119" s="64">
        <f>AA119/Demand!AV137</f>
        <v/>
      </c>
      <c r="AY119" s="64">
        <f>AB119/Demand!AW137</f>
        <v/>
      </c>
      <c r="BG119" s="64" t="n">
        <v>124</v>
      </c>
      <c r="BH119" s="64">
        <f>Results!$B$19+AJ119-Results!$D$21</f>
        <v/>
      </c>
      <c r="BI119" s="64">
        <f>Results!$B$19+AK119-Results!$D$21</f>
        <v/>
      </c>
      <c r="BJ119" s="64">
        <f>Results!$B$19+AL119-Results!$D$21</f>
        <v/>
      </c>
      <c r="BM119" s="64" t="n">
        <v>124</v>
      </c>
      <c r="BN119" s="64">
        <f>Results!D134</f>
        <v/>
      </c>
      <c r="BO119" s="64">
        <f>Results!E134</f>
        <v/>
      </c>
      <c r="BP119" s="64">
        <f>Results!F134</f>
        <v/>
      </c>
      <c r="BS119" s="64" t="n">
        <v>124</v>
      </c>
      <c r="BT119" s="64">
        <f>Demand!AU137</f>
        <v/>
      </c>
      <c r="BU119" s="64">
        <f>Demand!AV137</f>
        <v/>
      </c>
      <c r="BV119" s="64">
        <f>Demand!AW137</f>
        <v/>
      </c>
      <c r="BY119" s="64" t="n">
        <v>124</v>
      </c>
      <c r="BZ119" s="64">
        <f>Retailers_Cap!N120</f>
        <v/>
      </c>
      <c r="CA119" s="64">
        <f>Retailers_Cap!O120</f>
        <v/>
      </c>
      <c r="CB119" s="64">
        <f>Retailers_Cap!P120</f>
        <v/>
      </c>
      <c r="CD119" s="64" t="n">
        <v>124</v>
      </c>
      <c r="CE119" s="64">
        <f>IF((BT119-BZ119)&gt;=0,"Dem","Folga")</f>
        <v/>
      </c>
      <c r="CF119" s="64">
        <f>IF((BU119-CA119)&gt;=0,"Dem","Folga")</f>
        <v/>
      </c>
      <c r="CG119" s="64">
        <f>IF((BV119-CB119)&gt;=0,"Dem","Folga")</f>
        <v/>
      </c>
    </row>
    <row r="120">
      <c r="M120" s="64">
        <f>TRUNC((_xlfn.NORM.INV((RAND()),$L$6,$L$7)),2)</f>
        <v/>
      </c>
      <c r="O120" s="64" t="n">
        <v>125</v>
      </c>
      <c r="P120" s="5" t="n">
        <v>133.94</v>
      </c>
      <c r="Q120" s="5" t="n">
        <v>153.42</v>
      </c>
      <c r="R120" s="5" t="n">
        <v>169.05</v>
      </c>
      <c r="W120" s="64">
        <f>TRUNC((_xlfn.NORM.INV((RAND()),$V$6,$V$7)),3)</f>
        <v/>
      </c>
      <c r="Y120" s="64" t="n">
        <v>125</v>
      </c>
      <c r="Z120" s="5" t="n">
        <v>6.688</v>
      </c>
      <c r="AA120" s="5" t="n">
        <v>6.745</v>
      </c>
      <c r="AB120" s="5" t="n">
        <v>6.805</v>
      </c>
      <c r="AG120" s="64">
        <f>TRUNC((_xlfn.NORM.INV((RAND()),$AF$6,$AF$7)),3)</f>
        <v/>
      </c>
      <c r="AI120" s="64" t="n">
        <v>125</v>
      </c>
      <c r="AJ120" s="5" t="n">
        <v>64.322</v>
      </c>
      <c r="AK120" s="5" t="n">
        <v>50.551</v>
      </c>
      <c r="AL120" s="5" t="n">
        <v>55.886</v>
      </c>
      <c r="AR120" s="64" t="n">
        <v>125</v>
      </c>
      <c r="AS120" s="5" t="n">
        <v>0</v>
      </c>
      <c r="AT120" s="5" t="n">
        <v>3.398725300233659</v>
      </c>
      <c r="AU120" s="5" t="n">
        <v>6.722507254682048</v>
      </c>
      <c r="AW120" s="64">
        <f>Z120/Demand!AU138</f>
        <v/>
      </c>
      <c r="AX120" s="64">
        <f>AA120/Demand!AV138</f>
        <v/>
      </c>
      <c r="AY120" s="64">
        <f>AB120/Demand!AW138</f>
        <v/>
      </c>
      <c r="BG120" s="64" t="n">
        <v>125</v>
      </c>
      <c r="BH120" s="64">
        <f>Results!$B$19+AJ120-Results!$D$21</f>
        <v/>
      </c>
      <c r="BI120" s="64">
        <f>Results!$B$19+AK120-Results!$D$21</f>
        <v/>
      </c>
      <c r="BJ120" s="64">
        <f>Results!$B$19+AL120-Results!$D$21</f>
        <v/>
      </c>
      <c r="BM120" s="64" t="n">
        <v>125</v>
      </c>
      <c r="BN120" s="64">
        <f>Results!D135</f>
        <v/>
      </c>
      <c r="BO120" s="64">
        <f>Results!E135</f>
        <v/>
      </c>
      <c r="BP120" s="64">
        <f>Results!F135</f>
        <v/>
      </c>
      <c r="BS120" s="64" t="n">
        <v>125</v>
      </c>
      <c r="BT120" s="64">
        <f>Demand!AU138</f>
        <v/>
      </c>
      <c r="BU120" s="64">
        <f>Demand!AV138</f>
        <v/>
      </c>
      <c r="BV120" s="64">
        <f>Demand!AW138</f>
        <v/>
      </c>
      <c r="BY120" s="64" t="n">
        <v>125</v>
      </c>
      <c r="BZ120" s="64">
        <f>Retailers_Cap!N121</f>
        <v/>
      </c>
      <c r="CA120" s="64">
        <f>Retailers_Cap!O121</f>
        <v/>
      </c>
      <c r="CB120" s="64">
        <f>Retailers_Cap!P121</f>
        <v/>
      </c>
      <c r="CD120" s="64" t="n">
        <v>125</v>
      </c>
      <c r="CE120" s="64">
        <f>IF((BT120-BZ120)&gt;=0,"Dem","Folga")</f>
        <v/>
      </c>
      <c r="CF120" s="64">
        <f>IF((BU120-CA120)&gt;=0,"Dem","Folga")</f>
        <v/>
      </c>
      <c r="CG120" s="64">
        <f>IF((BV120-CB120)&gt;=0,"Dem","Folga")</f>
        <v/>
      </c>
    </row>
    <row r="121">
      <c r="M121" s="64">
        <f>TRUNC((_xlfn.NORM.INV((RAND()),$L$6,$L$7)),2)</f>
        <v/>
      </c>
      <c r="O121" s="64" t="n">
        <v>126</v>
      </c>
      <c r="P121" s="5" t="n">
        <v>146.63</v>
      </c>
      <c r="Q121" s="5" t="n">
        <v>89.06</v>
      </c>
      <c r="R121" s="5" t="n">
        <v>282.59</v>
      </c>
      <c r="W121" s="64">
        <f>TRUNC((_xlfn.NORM.INV((RAND()),$V$6,$V$7)),3)</f>
        <v/>
      </c>
      <c r="Y121" s="64" t="n">
        <v>126</v>
      </c>
      <c r="Z121" s="5" t="n">
        <v>6.7</v>
      </c>
      <c r="AA121" s="5" t="n">
        <v>6.704</v>
      </c>
      <c r="AB121" s="5" t="n">
        <v>6.83</v>
      </c>
      <c r="AG121" s="64">
        <f>TRUNC((_xlfn.NORM.INV((RAND()),$AF$6,$AF$7)),3)</f>
        <v/>
      </c>
      <c r="AI121" s="64" t="n">
        <v>126</v>
      </c>
      <c r="AJ121" s="5" t="n">
        <v>58.5</v>
      </c>
      <c r="AK121" s="5" t="n">
        <v>65.29300000000001</v>
      </c>
      <c r="AL121" s="5" t="n">
        <v>71.91</v>
      </c>
      <c r="AR121" s="64" t="n">
        <v>126</v>
      </c>
      <c r="AS121" s="5" t="n">
        <v>0</v>
      </c>
      <c r="AT121" s="5" t="n">
        <v>0</v>
      </c>
      <c r="AU121" s="5" t="n">
        <v>13.12708675075543</v>
      </c>
      <c r="AW121" s="64">
        <f>Z121/Demand!AU139</f>
        <v/>
      </c>
      <c r="AX121" s="64">
        <f>AA121/Demand!AV139</f>
        <v/>
      </c>
      <c r="AY121" s="64">
        <f>AB121/Demand!AW139</f>
        <v/>
      </c>
      <c r="BG121" s="64" t="n">
        <v>126</v>
      </c>
      <c r="BH121" s="64">
        <f>Results!$B$19+AJ121-Results!$D$21</f>
        <v/>
      </c>
      <c r="BI121" s="64">
        <f>Results!$B$19+AK121-Results!$D$21</f>
        <v/>
      </c>
      <c r="BJ121" s="64">
        <f>Results!$B$19+AL121-Results!$D$21</f>
        <v/>
      </c>
      <c r="BM121" s="64" t="n">
        <v>126</v>
      </c>
      <c r="BN121" s="64">
        <f>Results!D136</f>
        <v/>
      </c>
      <c r="BO121" s="64">
        <f>Results!E136</f>
        <v/>
      </c>
      <c r="BP121" s="64">
        <f>Results!F136</f>
        <v/>
      </c>
      <c r="BS121" s="64" t="n">
        <v>126</v>
      </c>
      <c r="BT121" s="64">
        <f>Demand!AU139</f>
        <v/>
      </c>
      <c r="BU121" s="64">
        <f>Demand!AV139</f>
        <v/>
      </c>
      <c r="BV121" s="64">
        <f>Demand!AW139</f>
        <v/>
      </c>
      <c r="BY121" s="64" t="n">
        <v>126</v>
      </c>
      <c r="BZ121" s="64">
        <f>Retailers_Cap!N122</f>
        <v/>
      </c>
      <c r="CA121" s="64">
        <f>Retailers_Cap!O122</f>
        <v/>
      </c>
      <c r="CB121" s="64">
        <f>Retailers_Cap!P122</f>
        <v/>
      </c>
      <c r="CD121" s="64" t="n">
        <v>126</v>
      </c>
      <c r="CE121" s="64">
        <f>IF((BT121-BZ121)&gt;=0,"Dem","Folga")</f>
        <v/>
      </c>
      <c r="CF121" s="64">
        <f>IF((BU121-CA121)&gt;=0,"Dem","Folga")</f>
        <v/>
      </c>
      <c r="CG121" s="64">
        <f>IF((BV121-CB121)&gt;=0,"Dem","Folga")</f>
        <v/>
      </c>
    </row>
    <row r="122">
      <c r="M122" s="64">
        <f>TRUNC((_xlfn.NORM.INV((RAND()),$L$6,$L$7)),2)</f>
        <v/>
      </c>
      <c r="O122" s="64" t="n">
        <v>127</v>
      </c>
      <c r="P122" s="5" t="n">
        <v>161.7</v>
      </c>
      <c r="Q122" s="5" t="n">
        <v>199.49</v>
      </c>
      <c r="R122" s="5" t="n">
        <v>254.52</v>
      </c>
      <c r="W122" s="64">
        <f>TRUNC((_xlfn.NORM.INV((RAND()),$V$6,$V$7)),3)</f>
        <v/>
      </c>
      <c r="Y122" s="64" t="n">
        <v>127</v>
      </c>
      <c r="Z122" s="5" t="n">
        <v>6.821</v>
      </c>
      <c r="AA122" s="5" t="n">
        <v>6.757</v>
      </c>
      <c r="AB122" s="5" t="n">
        <v>6.733</v>
      </c>
      <c r="AG122" s="64">
        <f>TRUNC((_xlfn.NORM.INV((RAND()),$AF$6,$AF$7)),3)</f>
        <v/>
      </c>
      <c r="AI122" s="64" t="n">
        <v>127</v>
      </c>
      <c r="AJ122" s="5" t="n">
        <v>82.133</v>
      </c>
      <c r="AK122" s="5" t="n">
        <v>58.774</v>
      </c>
      <c r="AL122" s="5" t="n">
        <v>75.09099999999999</v>
      </c>
      <c r="AR122" s="64" t="n">
        <v>127</v>
      </c>
      <c r="AS122" s="5" t="n">
        <v>12.55535865717131</v>
      </c>
      <c r="AT122" s="5" t="n">
        <v>0</v>
      </c>
      <c r="AU122" s="5" t="n">
        <v>0</v>
      </c>
      <c r="AW122" s="64">
        <f>Z122/Demand!AU140</f>
        <v/>
      </c>
      <c r="AX122" s="64">
        <f>AA122/Demand!AV140</f>
        <v/>
      </c>
      <c r="AY122" s="64">
        <f>AB122/Demand!AW140</f>
        <v/>
      </c>
      <c r="BG122" s="64" t="n">
        <v>127</v>
      </c>
      <c r="BH122" s="64">
        <f>Results!$B$19+AJ122-Results!$D$21</f>
        <v/>
      </c>
      <c r="BI122" s="64">
        <f>Results!$B$19+AK122-Results!$D$21</f>
        <v/>
      </c>
      <c r="BJ122" s="64">
        <f>Results!$B$19+AL122-Results!$D$21</f>
        <v/>
      </c>
      <c r="BM122" s="64" t="n">
        <v>127</v>
      </c>
      <c r="BN122" s="64">
        <f>Results!D137</f>
        <v/>
      </c>
      <c r="BO122" s="64">
        <f>Results!E137</f>
        <v/>
      </c>
      <c r="BP122" s="64">
        <f>Results!F137</f>
        <v/>
      </c>
      <c r="BS122" s="64" t="n">
        <v>127</v>
      </c>
      <c r="BT122" s="64">
        <f>Demand!AU140</f>
        <v/>
      </c>
      <c r="BU122" s="64">
        <f>Demand!AV140</f>
        <v/>
      </c>
      <c r="BV122" s="64">
        <f>Demand!AW140</f>
        <v/>
      </c>
      <c r="BY122" s="64" t="n">
        <v>127</v>
      </c>
      <c r="BZ122" s="64">
        <f>Retailers_Cap!N123</f>
        <v/>
      </c>
      <c r="CA122" s="64">
        <f>Retailers_Cap!O123</f>
        <v/>
      </c>
      <c r="CB122" s="64">
        <f>Retailers_Cap!P123</f>
        <v/>
      </c>
      <c r="CD122" s="64" t="n">
        <v>127</v>
      </c>
      <c r="CE122" s="64">
        <f>IF((BT122-BZ122)&gt;=0,"Dem","Folga")</f>
        <v/>
      </c>
      <c r="CF122" s="64">
        <f>IF((BU122-CA122)&gt;=0,"Dem","Folga")</f>
        <v/>
      </c>
      <c r="CG122" s="64">
        <f>IF((BV122-CB122)&gt;=0,"Dem","Folga")</f>
        <v/>
      </c>
    </row>
    <row r="123">
      <c r="M123" s="64">
        <f>TRUNC((_xlfn.NORM.INV((RAND()),$L$6,$L$7)),2)</f>
        <v/>
      </c>
      <c r="O123" s="64" t="n">
        <v>128</v>
      </c>
      <c r="P123" s="5" t="n">
        <v>223.46</v>
      </c>
      <c r="Q123" s="5" t="n">
        <v>148.56</v>
      </c>
      <c r="R123" s="5" t="n">
        <v>217.6</v>
      </c>
      <c r="W123" s="64">
        <f>TRUNC((_xlfn.NORM.INV((RAND()),$V$6,$V$7)),3)</f>
        <v/>
      </c>
      <c r="Y123" s="64" t="n">
        <v>128</v>
      </c>
      <c r="Z123" s="5" t="n">
        <v>6.591</v>
      </c>
      <c r="AA123" s="5" t="n">
        <v>6.733</v>
      </c>
      <c r="AB123" s="5" t="n">
        <v>6.811</v>
      </c>
      <c r="AG123" s="64">
        <f>TRUNC((_xlfn.NORM.INV((RAND()),$AF$6,$AF$7)),3)</f>
        <v/>
      </c>
      <c r="AI123" s="64" t="n">
        <v>128</v>
      </c>
      <c r="AJ123" s="5" t="n">
        <v>40.735</v>
      </c>
      <c r="AK123" s="5" t="n">
        <v>46.714</v>
      </c>
      <c r="AL123" s="5" t="n">
        <v>59.459</v>
      </c>
      <c r="AR123" s="64" t="n">
        <v>128</v>
      </c>
      <c r="AS123" s="5" t="n">
        <v>0</v>
      </c>
      <c r="AT123" s="5" t="n">
        <v>0</v>
      </c>
      <c r="AU123" s="5" t="n">
        <v>0</v>
      </c>
      <c r="AW123" s="64">
        <f>Z123/Demand!AU141</f>
        <v/>
      </c>
      <c r="AX123" s="64">
        <f>AA123/Demand!AV141</f>
        <v/>
      </c>
      <c r="AY123" s="64">
        <f>AB123/Demand!AW141</f>
        <v/>
      </c>
      <c r="BG123" s="64" t="n">
        <v>128</v>
      </c>
      <c r="BH123" s="64">
        <f>Results!$B$19+AJ123-Results!$D$21</f>
        <v/>
      </c>
      <c r="BI123" s="64">
        <f>Results!$B$19+AK123-Results!$D$21</f>
        <v/>
      </c>
      <c r="BJ123" s="64">
        <f>Results!$B$19+AL123-Results!$D$21</f>
        <v/>
      </c>
      <c r="BM123" s="64" t="n">
        <v>128</v>
      </c>
      <c r="BN123" s="64">
        <f>Results!D138</f>
        <v/>
      </c>
      <c r="BO123" s="64">
        <f>Results!E138</f>
        <v/>
      </c>
      <c r="BP123" s="64">
        <f>Results!F138</f>
        <v/>
      </c>
      <c r="BS123" s="64" t="n">
        <v>128</v>
      </c>
      <c r="BT123" s="64">
        <f>Demand!AU141</f>
        <v/>
      </c>
      <c r="BU123" s="64">
        <f>Demand!AV141</f>
        <v/>
      </c>
      <c r="BV123" s="64">
        <f>Demand!AW141</f>
        <v/>
      </c>
      <c r="BY123" s="64" t="n">
        <v>128</v>
      </c>
      <c r="BZ123" s="64">
        <f>Retailers_Cap!N124</f>
        <v/>
      </c>
      <c r="CA123" s="64">
        <f>Retailers_Cap!O124</f>
        <v/>
      </c>
      <c r="CB123" s="64">
        <f>Retailers_Cap!P124</f>
        <v/>
      </c>
      <c r="CD123" s="64" t="n">
        <v>128</v>
      </c>
      <c r="CE123" s="64">
        <f>IF((BT123-BZ123)&gt;=0,"Dem","Folga")</f>
        <v/>
      </c>
      <c r="CF123" s="64">
        <f>IF((BU123-CA123)&gt;=0,"Dem","Folga")</f>
        <v/>
      </c>
      <c r="CG123" s="64">
        <f>IF((BV123-CB123)&gt;=0,"Dem","Folga")</f>
        <v/>
      </c>
    </row>
    <row r="124">
      <c r="M124" s="64">
        <f>TRUNC((_xlfn.NORM.INV((RAND()),$L$6,$L$7)),2)</f>
        <v/>
      </c>
      <c r="O124" s="64" t="n">
        <v>129</v>
      </c>
      <c r="P124" s="5" t="n">
        <v>162.69</v>
      </c>
      <c r="Q124" s="5" t="n">
        <v>160.79</v>
      </c>
      <c r="R124" s="5" t="n">
        <v>145.44</v>
      </c>
      <c r="W124" s="64">
        <f>TRUNC((_xlfn.NORM.INV((RAND()),$V$6,$V$7)),3)</f>
        <v/>
      </c>
      <c r="Y124" s="64" t="n">
        <v>129</v>
      </c>
      <c r="Z124" s="5" t="n">
        <v>6.743</v>
      </c>
      <c r="AA124" s="5" t="n">
        <v>6.636</v>
      </c>
      <c r="AB124" s="5" t="n">
        <v>6.835</v>
      </c>
      <c r="AG124" s="64">
        <f>TRUNC((_xlfn.NORM.INV((RAND()),$AF$6,$AF$7)),3)</f>
        <v/>
      </c>
      <c r="AI124" s="64" t="n">
        <v>129</v>
      </c>
      <c r="AJ124" s="5" t="n">
        <v>52.521</v>
      </c>
      <c r="AK124" s="5" t="n">
        <v>44.615</v>
      </c>
      <c r="AL124" s="5" t="n">
        <v>62.786</v>
      </c>
      <c r="AR124" s="64" t="n">
        <v>129</v>
      </c>
      <c r="AS124" s="5" t="n">
        <v>0</v>
      </c>
      <c r="AT124" s="5" t="n">
        <v>14.64836011980007</v>
      </c>
      <c r="AU124" s="5" t="n">
        <v>0</v>
      </c>
      <c r="AW124" s="64">
        <f>Z124/Demand!AU142</f>
        <v/>
      </c>
      <c r="AX124" s="64">
        <f>AA124/Demand!AV142</f>
        <v/>
      </c>
      <c r="AY124" s="64">
        <f>AB124/Demand!AW142</f>
        <v/>
      </c>
      <c r="BG124" s="64" t="n">
        <v>129</v>
      </c>
      <c r="BH124" s="64">
        <f>Results!$B$19+AJ124-Results!$D$21</f>
        <v/>
      </c>
      <c r="BI124" s="64">
        <f>Results!$B$19+AK124-Results!$D$21</f>
        <v/>
      </c>
      <c r="BJ124" s="64">
        <f>Results!$B$19+AL124-Results!$D$21</f>
        <v/>
      </c>
      <c r="BM124" s="64" t="n">
        <v>129</v>
      </c>
      <c r="BN124" s="64">
        <f>Results!D139</f>
        <v/>
      </c>
      <c r="BO124" s="64">
        <f>Results!E139</f>
        <v/>
      </c>
      <c r="BP124" s="64">
        <f>Results!F139</f>
        <v/>
      </c>
      <c r="BS124" s="64" t="n">
        <v>129</v>
      </c>
      <c r="BT124" s="64">
        <f>Demand!AU142</f>
        <v/>
      </c>
      <c r="BU124" s="64">
        <f>Demand!AV142</f>
        <v/>
      </c>
      <c r="BV124" s="64">
        <f>Demand!AW142</f>
        <v/>
      </c>
      <c r="BY124" s="64" t="n">
        <v>129</v>
      </c>
      <c r="BZ124" s="64">
        <f>Retailers_Cap!N125</f>
        <v/>
      </c>
      <c r="CA124" s="64">
        <f>Retailers_Cap!O125</f>
        <v/>
      </c>
      <c r="CB124" s="64">
        <f>Retailers_Cap!P125</f>
        <v/>
      </c>
      <c r="CD124" s="64" t="n">
        <v>129</v>
      </c>
      <c r="CE124" s="64">
        <f>IF((BT124-BZ124)&gt;=0,"Dem","Folga")</f>
        <v/>
      </c>
      <c r="CF124" s="64">
        <f>IF((BU124-CA124)&gt;=0,"Dem","Folga")</f>
        <v/>
      </c>
      <c r="CG124" s="64">
        <f>IF((BV124-CB124)&gt;=0,"Dem","Folga")</f>
        <v/>
      </c>
    </row>
    <row r="125">
      <c r="M125" s="64">
        <f>TRUNC((_xlfn.NORM.INV((RAND()),$L$6,$L$7)),2)</f>
        <v/>
      </c>
      <c r="O125" s="64" t="n">
        <v>130</v>
      </c>
      <c r="P125" s="5" t="n">
        <v>129.7</v>
      </c>
      <c r="Q125" s="5" t="n">
        <v>218.28</v>
      </c>
      <c r="R125" s="5" t="n">
        <v>209.01</v>
      </c>
      <c r="W125" s="64">
        <f>TRUNC((_xlfn.NORM.INV((RAND()),$V$6,$V$7)),3)</f>
        <v/>
      </c>
      <c r="Y125" s="64" t="n">
        <v>130</v>
      </c>
      <c r="Z125" s="5" t="n">
        <v>6.718</v>
      </c>
      <c r="AA125" s="5" t="n">
        <v>6.716</v>
      </c>
      <c r="AB125" s="5" t="n">
        <v>6.736</v>
      </c>
      <c r="AG125" s="64">
        <f>TRUNC((_xlfn.NORM.INV((RAND()),$AF$6,$AF$7)),3)</f>
        <v/>
      </c>
      <c r="AI125" s="64" t="n">
        <v>130</v>
      </c>
      <c r="AJ125" s="5" t="n">
        <v>63.304</v>
      </c>
      <c r="AK125" s="5" t="n">
        <v>52.59</v>
      </c>
      <c r="AL125" s="5" t="n">
        <v>64.55</v>
      </c>
      <c r="AR125" s="64" t="n">
        <v>130</v>
      </c>
      <c r="AS125" s="5" t="n">
        <v>0</v>
      </c>
      <c r="AT125" s="5" t="n">
        <v>0</v>
      </c>
      <c r="AU125" s="5" t="n">
        <v>0</v>
      </c>
      <c r="AW125" s="64">
        <f>Z125/Demand!AU143</f>
        <v/>
      </c>
      <c r="AX125" s="64">
        <f>AA125/Demand!AV143</f>
        <v/>
      </c>
      <c r="AY125" s="64">
        <f>AB125/Demand!AW143</f>
        <v/>
      </c>
      <c r="BG125" s="64" t="n">
        <v>130</v>
      </c>
      <c r="BH125" s="64">
        <f>Results!$B$19+AJ125-Results!$D$21</f>
        <v/>
      </c>
      <c r="BI125" s="64">
        <f>Results!$B$19+AK125-Results!$D$21</f>
        <v/>
      </c>
      <c r="BJ125" s="64">
        <f>Results!$B$19+AL125-Results!$D$21</f>
        <v/>
      </c>
      <c r="BM125" s="64" t="n">
        <v>130</v>
      </c>
      <c r="BN125" s="64">
        <f>Results!D140</f>
        <v/>
      </c>
      <c r="BO125" s="64">
        <f>Results!E140</f>
        <v/>
      </c>
      <c r="BP125" s="64">
        <f>Results!F140</f>
        <v/>
      </c>
      <c r="BS125" s="64" t="n">
        <v>130</v>
      </c>
      <c r="BT125" s="64">
        <f>Demand!AU143</f>
        <v/>
      </c>
      <c r="BU125" s="64">
        <f>Demand!AV143</f>
        <v/>
      </c>
      <c r="BV125" s="64">
        <f>Demand!AW143</f>
        <v/>
      </c>
      <c r="BY125" s="64" t="n">
        <v>130</v>
      </c>
      <c r="BZ125" s="64">
        <f>Retailers_Cap!N126</f>
        <v/>
      </c>
      <c r="CA125" s="64">
        <f>Retailers_Cap!O126</f>
        <v/>
      </c>
      <c r="CB125" s="64">
        <f>Retailers_Cap!P126</f>
        <v/>
      </c>
      <c r="CD125" s="64" t="n">
        <v>130</v>
      </c>
      <c r="CE125" s="64">
        <f>IF((BT125-BZ125)&gt;=0,"Dem","Folga")</f>
        <v/>
      </c>
      <c r="CF125" s="64">
        <f>IF((BU125-CA125)&gt;=0,"Dem","Folga")</f>
        <v/>
      </c>
      <c r="CG125" s="64">
        <f>IF((BV125-CB125)&gt;=0,"Dem","Folga")</f>
        <v/>
      </c>
    </row>
    <row r="126">
      <c r="M126" s="64">
        <f>TRUNC((_xlfn.NORM.INV((RAND()),$L$6,$L$7)),2)</f>
        <v/>
      </c>
      <c r="O126" s="64" t="n">
        <v>131</v>
      </c>
      <c r="P126" s="5" t="n">
        <v>207.94</v>
      </c>
      <c r="Q126" s="5" t="n">
        <v>228.87</v>
      </c>
      <c r="R126" s="5" t="n">
        <v>251.33</v>
      </c>
      <c r="W126" s="64">
        <f>TRUNC((_xlfn.NORM.INV((RAND()),$V$6,$V$7)),3)</f>
        <v/>
      </c>
      <c r="Y126" s="64" t="n">
        <v>131</v>
      </c>
      <c r="Z126" s="5" t="n">
        <v>6.792</v>
      </c>
      <c r="AA126" s="5" t="n">
        <v>6.837</v>
      </c>
      <c r="AB126" s="5" t="n">
        <v>6.721</v>
      </c>
      <c r="AG126" s="64">
        <f>TRUNC((_xlfn.NORM.INV((RAND()),$AF$6,$AF$7)),3)</f>
        <v/>
      </c>
      <c r="AI126" s="64" t="n">
        <v>131</v>
      </c>
      <c r="AJ126" s="5" t="n">
        <v>51.298</v>
      </c>
      <c r="AK126" s="5" t="n">
        <v>53.645</v>
      </c>
      <c r="AL126" s="5" t="n">
        <v>66.53</v>
      </c>
      <c r="AR126" s="64" t="n">
        <v>131</v>
      </c>
      <c r="AS126" s="5" t="n">
        <v>0</v>
      </c>
      <c r="AT126" s="5" t="n">
        <v>4.540398453412707</v>
      </c>
      <c r="AU126" s="5" t="n">
        <v>27.69287813020168</v>
      </c>
      <c r="AW126" s="64">
        <f>Z126/Demand!AU144</f>
        <v/>
      </c>
      <c r="AX126" s="64">
        <f>AA126/Demand!AV144</f>
        <v/>
      </c>
      <c r="AY126" s="64">
        <f>AB126/Demand!AW144</f>
        <v/>
      </c>
      <c r="BG126" s="64" t="n">
        <v>131</v>
      </c>
      <c r="BH126" s="64">
        <f>Results!$B$19+AJ126-Results!$D$21</f>
        <v/>
      </c>
      <c r="BI126" s="64">
        <f>Results!$B$19+AK126-Results!$D$21</f>
        <v/>
      </c>
      <c r="BJ126" s="64">
        <f>Results!$B$19+AL126-Results!$D$21</f>
        <v/>
      </c>
      <c r="BM126" s="64" t="n">
        <v>131</v>
      </c>
      <c r="BN126" s="64">
        <f>Results!D141</f>
        <v/>
      </c>
      <c r="BO126" s="64">
        <f>Results!E141</f>
        <v/>
      </c>
      <c r="BP126" s="64">
        <f>Results!F141</f>
        <v/>
      </c>
      <c r="BS126" s="64" t="n">
        <v>131</v>
      </c>
      <c r="BT126" s="64">
        <f>Demand!AU144</f>
        <v/>
      </c>
      <c r="BU126" s="64">
        <f>Demand!AV144</f>
        <v/>
      </c>
      <c r="BV126" s="64">
        <f>Demand!AW144</f>
        <v/>
      </c>
      <c r="BY126" s="64" t="n">
        <v>131</v>
      </c>
      <c r="BZ126" s="64">
        <f>Retailers_Cap!N127</f>
        <v/>
      </c>
      <c r="CA126" s="64">
        <f>Retailers_Cap!O127</f>
        <v/>
      </c>
      <c r="CB126" s="64">
        <f>Retailers_Cap!P127</f>
        <v/>
      </c>
      <c r="CD126" s="64" t="n">
        <v>131</v>
      </c>
      <c r="CE126" s="64">
        <f>IF((BT126-BZ126)&gt;=0,"Dem","Folga")</f>
        <v/>
      </c>
      <c r="CF126" s="64">
        <f>IF((BU126-CA126)&gt;=0,"Dem","Folga")</f>
        <v/>
      </c>
      <c r="CG126" s="64">
        <f>IF((BV126-CB126)&gt;=0,"Dem","Folga")</f>
        <v/>
      </c>
    </row>
    <row r="127">
      <c r="M127" s="64">
        <f>TRUNC((_xlfn.NORM.INV((RAND()),$L$6,$L$7)),2)</f>
        <v/>
      </c>
      <c r="O127" s="64" t="n">
        <v>132</v>
      </c>
      <c r="P127" s="5" t="n">
        <v>289.31</v>
      </c>
      <c r="Q127" s="5" t="n">
        <v>195.18</v>
      </c>
      <c r="R127" s="5" t="n">
        <v>189.85</v>
      </c>
      <c r="W127" s="64">
        <f>TRUNC((_xlfn.NORM.INV((RAND()),$V$6,$V$7)),3)</f>
        <v/>
      </c>
      <c r="Y127" s="64" t="n">
        <v>132</v>
      </c>
      <c r="Z127" s="5" t="n">
        <v>6.683</v>
      </c>
      <c r="AA127" s="5" t="n">
        <v>6.801</v>
      </c>
      <c r="AB127" s="5" t="n">
        <v>6.831</v>
      </c>
      <c r="AG127" s="64">
        <f>TRUNC((_xlfn.NORM.INV((RAND()),$AF$6,$AF$7)),3)</f>
        <v/>
      </c>
      <c r="AI127" s="64" t="n">
        <v>132</v>
      </c>
      <c r="AJ127" s="5" t="n">
        <v>42.887</v>
      </c>
      <c r="AK127" s="5" t="n">
        <v>71.17</v>
      </c>
      <c r="AL127" s="5" t="n">
        <v>46.726</v>
      </c>
      <c r="AR127" s="64" t="n">
        <v>132</v>
      </c>
      <c r="AS127" s="5" t="n">
        <v>25.67017462615412</v>
      </c>
      <c r="AT127" s="5" t="n">
        <v>0</v>
      </c>
      <c r="AU127" s="5" t="n">
        <v>0</v>
      </c>
      <c r="AW127" s="64">
        <f>Z127/Demand!AU145</f>
        <v/>
      </c>
      <c r="AX127" s="64">
        <f>AA127/Demand!AV145</f>
        <v/>
      </c>
      <c r="AY127" s="64">
        <f>AB127/Demand!AW145</f>
        <v/>
      </c>
      <c r="BG127" s="64" t="n">
        <v>132</v>
      </c>
      <c r="BH127" s="64">
        <f>Results!$B$19+AJ127-Results!$D$21</f>
        <v/>
      </c>
      <c r="BI127" s="64">
        <f>Results!$B$19+AK127-Results!$D$21</f>
        <v/>
      </c>
      <c r="BJ127" s="64">
        <f>Results!$B$19+AL127-Results!$D$21</f>
        <v/>
      </c>
      <c r="BM127" s="64" t="n">
        <v>132</v>
      </c>
      <c r="BN127" s="64">
        <f>Results!D142</f>
        <v/>
      </c>
      <c r="BO127" s="64">
        <f>Results!E142</f>
        <v/>
      </c>
      <c r="BP127" s="64">
        <f>Results!F142</f>
        <v/>
      </c>
      <c r="BS127" s="64" t="n">
        <v>132</v>
      </c>
      <c r="BT127" s="64">
        <f>Demand!AU145</f>
        <v/>
      </c>
      <c r="BU127" s="64">
        <f>Demand!AV145</f>
        <v/>
      </c>
      <c r="BV127" s="64">
        <f>Demand!AW145</f>
        <v/>
      </c>
      <c r="BY127" s="64" t="n">
        <v>132</v>
      </c>
      <c r="BZ127" s="64">
        <f>Retailers_Cap!N128</f>
        <v/>
      </c>
      <c r="CA127" s="64">
        <f>Retailers_Cap!O128</f>
        <v/>
      </c>
      <c r="CB127" s="64">
        <f>Retailers_Cap!P128</f>
        <v/>
      </c>
      <c r="CD127" s="64" t="n">
        <v>132</v>
      </c>
      <c r="CE127" s="64">
        <f>IF((BT127-BZ127)&gt;=0,"Dem","Folga")</f>
        <v/>
      </c>
      <c r="CF127" s="64">
        <f>IF((BU127-CA127)&gt;=0,"Dem","Folga")</f>
        <v/>
      </c>
      <c r="CG127" s="64">
        <f>IF((BV127-CB127)&gt;=0,"Dem","Folga")</f>
        <v/>
      </c>
    </row>
    <row r="128">
      <c r="M128" s="64">
        <f>TRUNC((_xlfn.NORM.INV((RAND()),$L$6,$L$7)),2)</f>
        <v/>
      </c>
      <c r="O128" s="64" t="n">
        <v>133</v>
      </c>
      <c r="P128" s="5" t="n">
        <v>199.31</v>
      </c>
      <c r="Q128" s="5" t="n">
        <v>281.52</v>
      </c>
      <c r="R128" s="5" t="n">
        <v>216.88</v>
      </c>
      <c r="W128" s="64">
        <f>TRUNC((_xlfn.NORM.INV((RAND()),$V$6,$V$7)),3)</f>
        <v/>
      </c>
      <c r="Y128" s="64" t="n">
        <v>133</v>
      </c>
      <c r="Z128" s="5" t="n">
        <v>6.787</v>
      </c>
      <c r="AA128" s="5" t="n">
        <v>6.802</v>
      </c>
      <c r="AB128" s="5" t="n">
        <v>6.667</v>
      </c>
      <c r="AG128" s="64">
        <f>TRUNC((_xlfn.NORM.INV((RAND()),$AF$6,$AF$7)),3)</f>
        <v/>
      </c>
      <c r="AI128" s="64" t="n">
        <v>133</v>
      </c>
      <c r="AJ128" s="5" t="n">
        <v>60.239</v>
      </c>
      <c r="AK128" s="5" t="n">
        <v>72.152</v>
      </c>
      <c r="AL128" s="5" t="n">
        <v>72.804</v>
      </c>
      <c r="AR128" s="64" t="n">
        <v>133</v>
      </c>
      <c r="AS128" s="5" t="n">
        <v>5.090356137299564</v>
      </c>
      <c r="AT128" s="5" t="n">
        <v>8.619986625715109</v>
      </c>
      <c r="AU128" s="5" t="n">
        <v>32.86992265588005</v>
      </c>
      <c r="AW128" s="64">
        <f>Z128/Demand!AU146</f>
        <v/>
      </c>
      <c r="AX128" s="64">
        <f>AA128/Demand!AV146</f>
        <v/>
      </c>
      <c r="AY128" s="64">
        <f>AB128/Demand!AW146</f>
        <v/>
      </c>
      <c r="BG128" s="64" t="n">
        <v>133</v>
      </c>
      <c r="BH128" s="64">
        <f>Results!$B$19+AJ128-Results!$D$21</f>
        <v/>
      </c>
      <c r="BI128" s="64">
        <f>Results!$B$19+AK128-Results!$D$21</f>
        <v/>
      </c>
      <c r="BJ128" s="64">
        <f>Results!$B$19+AL128-Results!$D$21</f>
        <v/>
      </c>
      <c r="BM128" s="64" t="n">
        <v>133</v>
      </c>
      <c r="BN128" s="64">
        <f>Results!D143</f>
        <v/>
      </c>
      <c r="BO128" s="64">
        <f>Results!E143</f>
        <v/>
      </c>
      <c r="BP128" s="64">
        <f>Results!F143</f>
        <v/>
      </c>
      <c r="BS128" s="64" t="n">
        <v>133</v>
      </c>
      <c r="BT128" s="64">
        <f>Demand!AU146</f>
        <v/>
      </c>
      <c r="BU128" s="64">
        <f>Demand!AV146</f>
        <v/>
      </c>
      <c r="BV128" s="64">
        <f>Demand!AW146</f>
        <v/>
      </c>
      <c r="BY128" s="64" t="n">
        <v>133</v>
      </c>
      <c r="BZ128" s="64">
        <f>Retailers_Cap!N129</f>
        <v/>
      </c>
      <c r="CA128" s="64">
        <f>Retailers_Cap!O129</f>
        <v/>
      </c>
      <c r="CB128" s="64">
        <f>Retailers_Cap!P129</f>
        <v/>
      </c>
      <c r="CD128" s="64" t="n">
        <v>133</v>
      </c>
      <c r="CE128" s="64">
        <f>IF((BT128-BZ128)&gt;=0,"Dem","Folga")</f>
        <v/>
      </c>
      <c r="CF128" s="64">
        <f>IF((BU128-CA128)&gt;=0,"Dem","Folga")</f>
        <v/>
      </c>
      <c r="CG128" s="64">
        <f>IF((BV128-CB128)&gt;=0,"Dem","Folga")</f>
        <v/>
      </c>
    </row>
    <row r="129">
      <c r="M129" s="64">
        <f>TRUNC((_xlfn.NORM.INV((RAND()),$L$6,$L$7)),2)</f>
        <v/>
      </c>
      <c r="O129" s="64" t="n">
        <v>134</v>
      </c>
      <c r="P129" s="5" t="n">
        <v>168.55</v>
      </c>
      <c r="Q129" s="5" t="n">
        <v>211</v>
      </c>
      <c r="R129" s="5" t="n">
        <v>261.05</v>
      </c>
      <c r="W129" s="64">
        <f>TRUNC((_xlfn.NORM.INV((RAND()),$V$6,$V$7)),3)</f>
        <v/>
      </c>
      <c r="Y129" s="64" t="n">
        <v>134</v>
      </c>
      <c r="Z129" s="5" t="n">
        <v>6.801</v>
      </c>
      <c r="AA129" s="5" t="n">
        <v>6.581</v>
      </c>
      <c r="AB129" s="5" t="n">
        <v>6.778</v>
      </c>
      <c r="AG129" s="64">
        <f>TRUNC((_xlfn.NORM.INV((RAND()),$AF$6,$AF$7)),3)</f>
        <v/>
      </c>
      <c r="AI129" s="64" t="n">
        <v>134</v>
      </c>
      <c r="AJ129" s="5" t="n">
        <v>72.489</v>
      </c>
      <c r="AK129" s="5" t="n">
        <v>56.559</v>
      </c>
      <c r="AL129" s="5" t="n">
        <v>49.761</v>
      </c>
      <c r="AR129" s="64" t="n">
        <v>134</v>
      </c>
      <c r="AS129" s="5" t="n">
        <v>0</v>
      </c>
      <c r="AT129" s="5" t="n">
        <v>4.870942070490059</v>
      </c>
      <c r="AU129" s="5" t="n">
        <v>17.20745558302669</v>
      </c>
      <c r="AW129" s="64">
        <f>Z129/Demand!AU147</f>
        <v/>
      </c>
      <c r="AX129" s="64">
        <f>AA129/Demand!AV147</f>
        <v/>
      </c>
      <c r="AY129" s="64">
        <f>AB129/Demand!AW147</f>
        <v/>
      </c>
      <c r="BG129" s="64" t="n">
        <v>134</v>
      </c>
      <c r="BH129" s="64">
        <f>Results!$B$19+AJ129-Results!$D$21</f>
        <v/>
      </c>
      <c r="BI129" s="64">
        <f>Results!$B$19+AK129-Results!$D$21</f>
        <v/>
      </c>
      <c r="BJ129" s="64">
        <f>Results!$B$19+AL129-Results!$D$21</f>
        <v/>
      </c>
      <c r="BM129" s="64" t="n">
        <v>134</v>
      </c>
      <c r="BN129" s="64">
        <f>Results!D144</f>
        <v/>
      </c>
      <c r="BO129" s="64">
        <f>Results!E144</f>
        <v/>
      </c>
      <c r="BP129" s="64">
        <f>Results!F144</f>
        <v/>
      </c>
      <c r="BS129" s="64" t="n">
        <v>134</v>
      </c>
      <c r="BT129" s="64">
        <f>Demand!AU147</f>
        <v/>
      </c>
      <c r="BU129" s="64">
        <f>Demand!AV147</f>
        <v/>
      </c>
      <c r="BV129" s="64">
        <f>Demand!AW147</f>
        <v/>
      </c>
      <c r="BY129" s="64" t="n">
        <v>134</v>
      </c>
      <c r="BZ129" s="64">
        <f>Retailers_Cap!N130</f>
        <v/>
      </c>
      <c r="CA129" s="64">
        <f>Retailers_Cap!O130</f>
        <v/>
      </c>
      <c r="CB129" s="64">
        <f>Retailers_Cap!P130</f>
        <v/>
      </c>
      <c r="CD129" s="64" t="n">
        <v>134</v>
      </c>
      <c r="CE129" s="64">
        <f>IF((BT129-BZ129)&gt;=0,"Dem","Folga")</f>
        <v/>
      </c>
      <c r="CF129" s="64">
        <f>IF((BU129-CA129)&gt;=0,"Dem","Folga")</f>
        <v/>
      </c>
      <c r="CG129" s="64">
        <f>IF((BV129-CB129)&gt;=0,"Dem","Folga")</f>
        <v/>
      </c>
    </row>
    <row r="130">
      <c r="M130" s="64">
        <f>TRUNC((_xlfn.NORM.INV((RAND()),$L$6,$L$7)),2)</f>
        <v/>
      </c>
      <c r="O130" s="64" t="n">
        <v>135</v>
      </c>
      <c r="P130" s="5" t="n">
        <v>201.18</v>
      </c>
      <c r="Q130" s="5" t="n">
        <v>173.9</v>
      </c>
      <c r="R130" s="5" t="n">
        <v>210.68</v>
      </c>
      <c r="W130" s="64">
        <f>TRUNC((_xlfn.NORM.INV((RAND()),$V$6,$V$7)),3)</f>
        <v/>
      </c>
      <c r="Y130" s="64" t="n">
        <v>135</v>
      </c>
      <c r="Z130" s="5" t="n">
        <v>6.755</v>
      </c>
      <c r="AA130" s="5" t="n">
        <v>6.915</v>
      </c>
      <c r="AB130" s="5" t="n">
        <v>6.656</v>
      </c>
      <c r="AG130" s="64">
        <f>TRUNC((_xlfn.NORM.INV((RAND()),$AF$6,$AF$7)),3)</f>
        <v/>
      </c>
      <c r="AI130" s="64" t="n">
        <v>135</v>
      </c>
      <c r="AJ130" s="5" t="n">
        <v>45.852</v>
      </c>
      <c r="AK130" s="5" t="n">
        <v>50.194</v>
      </c>
      <c r="AL130" s="5" t="n">
        <v>55.767</v>
      </c>
      <c r="AR130" s="64" t="n">
        <v>135</v>
      </c>
      <c r="AS130" s="5" t="n">
        <v>0</v>
      </c>
      <c r="AT130" s="5" t="n">
        <v>15.71352733222763</v>
      </c>
      <c r="AU130" s="5" t="n">
        <v>19.8678268681787</v>
      </c>
      <c r="AW130" s="64">
        <f>Z130/Demand!AU148</f>
        <v/>
      </c>
      <c r="AX130" s="64">
        <f>AA130/Demand!AV148</f>
        <v/>
      </c>
      <c r="AY130" s="64">
        <f>AB130/Demand!AW148</f>
        <v/>
      </c>
      <c r="BG130" s="64" t="n">
        <v>135</v>
      </c>
      <c r="BH130" s="64">
        <f>Results!$B$19+AJ130-Results!$D$21</f>
        <v/>
      </c>
      <c r="BI130" s="64">
        <f>Results!$B$19+AK130-Results!$D$21</f>
        <v/>
      </c>
      <c r="BJ130" s="64">
        <f>Results!$B$19+AL130-Results!$D$21</f>
        <v/>
      </c>
      <c r="BM130" s="64" t="n">
        <v>135</v>
      </c>
      <c r="BN130" s="64">
        <f>Results!D145</f>
        <v/>
      </c>
      <c r="BO130" s="64">
        <f>Results!E145</f>
        <v/>
      </c>
      <c r="BP130" s="64">
        <f>Results!F145</f>
        <v/>
      </c>
      <c r="BS130" s="64" t="n">
        <v>135</v>
      </c>
      <c r="BT130" s="64">
        <f>Demand!AU148</f>
        <v/>
      </c>
      <c r="BU130" s="64">
        <f>Demand!AV148</f>
        <v/>
      </c>
      <c r="BV130" s="64">
        <f>Demand!AW148</f>
        <v/>
      </c>
      <c r="BY130" s="64" t="n">
        <v>135</v>
      </c>
      <c r="BZ130" s="64">
        <f>Retailers_Cap!N131</f>
        <v/>
      </c>
      <c r="CA130" s="64">
        <f>Retailers_Cap!O131</f>
        <v/>
      </c>
      <c r="CB130" s="64">
        <f>Retailers_Cap!P131</f>
        <v/>
      </c>
      <c r="CD130" s="64" t="n">
        <v>135</v>
      </c>
      <c r="CE130" s="64">
        <f>IF((BT130-BZ130)&gt;=0,"Dem","Folga")</f>
        <v/>
      </c>
      <c r="CF130" s="64">
        <f>IF((BU130-CA130)&gt;=0,"Dem","Folga")</f>
        <v/>
      </c>
      <c r="CG130" s="64">
        <f>IF((BV130-CB130)&gt;=0,"Dem","Folga")</f>
        <v/>
      </c>
    </row>
    <row r="131">
      <c r="M131" s="64">
        <f>TRUNC((_xlfn.NORM.INV((RAND()),$L$6,$L$7)),2)</f>
        <v/>
      </c>
      <c r="O131" s="64" t="n">
        <v>136</v>
      </c>
      <c r="P131" s="5" t="n">
        <v>133.68</v>
      </c>
      <c r="Q131" s="5" t="n">
        <v>197.55</v>
      </c>
      <c r="R131" s="5" t="n">
        <v>273.6</v>
      </c>
      <c r="W131" s="64">
        <f>TRUNC((_xlfn.NORM.INV((RAND()),$V$6,$V$7)),3)</f>
        <v/>
      </c>
      <c r="Y131" s="64" t="n">
        <v>136</v>
      </c>
      <c r="Z131" s="5" t="n">
        <v>6.765</v>
      </c>
      <c r="AA131" s="5" t="n">
        <v>6.763</v>
      </c>
      <c r="AB131" s="5" t="n">
        <v>6.72</v>
      </c>
      <c r="AG131" s="64">
        <f>TRUNC((_xlfn.NORM.INV((RAND()),$AF$6,$AF$7)),3)</f>
        <v/>
      </c>
      <c r="AI131" s="64" t="n">
        <v>136</v>
      </c>
      <c r="AJ131" s="5" t="n">
        <v>75.611</v>
      </c>
      <c r="AK131" s="5" t="n">
        <v>75.97799999999999</v>
      </c>
      <c r="AL131" s="5" t="n">
        <v>80.19799999999999</v>
      </c>
      <c r="AR131" s="64" t="n">
        <v>136</v>
      </c>
      <c r="AS131" s="5" t="n">
        <v>0</v>
      </c>
      <c r="AT131" s="5" t="n">
        <v>11.79621929763509</v>
      </c>
      <c r="AU131" s="5" t="n">
        <v>17.93835641259775</v>
      </c>
      <c r="AW131" s="64">
        <f>Z131/Demand!AU149</f>
        <v/>
      </c>
      <c r="AX131" s="64">
        <f>AA131/Demand!AV149</f>
        <v/>
      </c>
      <c r="AY131" s="64">
        <f>AB131/Demand!AW149</f>
        <v/>
      </c>
      <c r="BG131" s="64" t="n">
        <v>136</v>
      </c>
      <c r="BH131" s="64">
        <f>Results!$B$19+AJ131-Results!$D$21</f>
        <v/>
      </c>
      <c r="BI131" s="64">
        <f>Results!$B$19+AK131-Results!$D$21</f>
        <v/>
      </c>
      <c r="BJ131" s="64">
        <f>Results!$B$19+AL131-Results!$D$21</f>
        <v/>
      </c>
      <c r="BM131" s="64" t="n">
        <v>136</v>
      </c>
      <c r="BN131" s="64">
        <f>Results!D146</f>
        <v/>
      </c>
      <c r="BO131" s="64">
        <f>Results!E146</f>
        <v/>
      </c>
      <c r="BP131" s="64">
        <f>Results!F146</f>
        <v/>
      </c>
      <c r="BS131" s="64" t="n">
        <v>136</v>
      </c>
      <c r="BT131" s="64">
        <f>Demand!AU149</f>
        <v/>
      </c>
      <c r="BU131" s="64">
        <f>Demand!AV149</f>
        <v/>
      </c>
      <c r="BV131" s="64">
        <f>Demand!AW149</f>
        <v/>
      </c>
      <c r="BY131" s="64" t="n">
        <v>136</v>
      </c>
      <c r="BZ131" s="64">
        <f>Retailers_Cap!N132</f>
        <v/>
      </c>
      <c r="CA131" s="64">
        <f>Retailers_Cap!O132</f>
        <v/>
      </c>
      <c r="CB131" s="64">
        <f>Retailers_Cap!P132</f>
        <v/>
      </c>
      <c r="CD131" s="64" t="n">
        <v>136</v>
      </c>
      <c r="CE131" s="64">
        <f>IF((BT131-BZ131)&gt;=0,"Dem","Folga")</f>
        <v/>
      </c>
      <c r="CF131" s="64">
        <f>IF((BU131-CA131)&gt;=0,"Dem","Folga")</f>
        <v/>
      </c>
      <c r="CG131" s="64">
        <f>IF((BV131-CB131)&gt;=0,"Dem","Folga")</f>
        <v/>
      </c>
    </row>
    <row r="132">
      <c r="M132" s="64">
        <f>TRUNC((_xlfn.NORM.INV((RAND()),$L$6,$L$7)),2)</f>
        <v/>
      </c>
      <c r="O132" s="64" t="n">
        <v>137</v>
      </c>
      <c r="P132" s="5" t="n">
        <v>219.81</v>
      </c>
      <c r="Q132" s="5" t="n">
        <v>206.14</v>
      </c>
      <c r="R132" s="5" t="n">
        <v>122.99</v>
      </c>
      <c r="W132" s="64">
        <f>TRUNC((_xlfn.NORM.INV((RAND()),$V$6,$V$7)),3)</f>
        <v/>
      </c>
      <c r="Y132" s="64" t="n">
        <v>137</v>
      </c>
      <c r="Z132" s="5" t="n">
        <v>6.67</v>
      </c>
      <c r="AA132" s="5" t="n">
        <v>6.697</v>
      </c>
      <c r="AB132" s="5" t="n">
        <v>6.698</v>
      </c>
      <c r="AG132" s="64">
        <f>TRUNC((_xlfn.NORM.INV((RAND()),$AF$6,$AF$7)),3)</f>
        <v/>
      </c>
      <c r="AI132" s="64" t="n">
        <v>137</v>
      </c>
      <c r="AJ132" s="5" t="n">
        <v>82.556</v>
      </c>
      <c r="AK132" s="5" t="n">
        <v>63.18</v>
      </c>
      <c r="AL132" s="5" t="n">
        <v>46.581</v>
      </c>
      <c r="AR132" s="64" t="n">
        <v>137</v>
      </c>
      <c r="AS132" s="5" t="n">
        <v>30.35656603934145</v>
      </c>
      <c r="AT132" s="5" t="n">
        <v>0</v>
      </c>
      <c r="AU132" s="5" t="n">
        <v>8.049669945033852</v>
      </c>
      <c r="AW132" s="64">
        <f>Z132/Demand!AU150</f>
        <v/>
      </c>
      <c r="AX132" s="64">
        <f>AA132/Demand!AV150</f>
        <v/>
      </c>
      <c r="AY132" s="64">
        <f>AB132/Demand!AW150</f>
        <v/>
      </c>
      <c r="BG132" s="64" t="n">
        <v>137</v>
      </c>
      <c r="BH132" s="64">
        <f>Results!$B$19+AJ132-Results!$D$21</f>
        <v/>
      </c>
      <c r="BI132" s="64">
        <f>Results!$B$19+AK132-Results!$D$21</f>
        <v/>
      </c>
      <c r="BJ132" s="64">
        <f>Results!$B$19+AL132-Results!$D$21</f>
        <v/>
      </c>
      <c r="BM132" s="64" t="n">
        <v>137</v>
      </c>
      <c r="BN132" s="64">
        <f>Results!D147</f>
        <v/>
      </c>
      <c r="BO132" s="64">
        <f>Results!E147</f>
        <v/>
      </c>
      <c r="BP132" s="64">
        <f>Results!F147</f>
        <v/>
      </c>
      <c r="BS132" s="64" t="n">
        <v>137</v>
      </c>
      <c r="BT132" s="64">
        <f>Demand!AU150</f>
        <v/>
      </c>
      <c r="BU132" s="64">
        <f>Demand!AV150</f>
        <v/>
      </c>
      <c r="BV132" s="64">
        <f>Demand!AW150</f>
        <v/>
      </c>
      <c r="BY132" s="64" t="n">
        <v>137</v>
      </c>
      <c r="BZ132" s="64">
        <f>Retailers_Cap!N133</f>
        <v/>
      </c>
      <c r="CA132" s="64">
        <f>Retailers_Cap!O133</f>
        <v/>
      </c>
      <c r="CB132" s="64">
        <f>Retailers_Cap!P133</f>
        <v/>
      </c>
      <c r="CD132" s="64" t="n">
        <v>137</v>
      </c>
      <c r="CE132" s="64">
        <f>IF((BT132-BZ132)&gt;=0,"Dem","Folga")</f>
        <v/>
      </c>
      <c r="CF132" s="64">
        <f>IF((BU132-CA132)&gt;=0,"Dem","Folga")</f>
        <v/>
      </c>
      <c r="CG132" s="64">
        <f>IF((BV132-CB132)&gt;=0,"Dem","Folga")</f>
        <v/>
      </c>
    </row>
    <row r="133">
      <c r="M133" s="64">
        <f>TRUNC((_xlfn.NORM.INV((RAND()),$L$6,$L$7)),2)</f>
        <v/>
      </c>
      <c r="O133" s="64" t="n">
        <v>138</v>
      </c>
      <c r="P133" s="5" t="n">
        <v>175.29</v>
      </c>
      <c r="Q133" s="5" t="n">
        <v>230.19</v>
      </c>
      <c r="R133" s="5" t="n">
        <v>309.87</v>
      </c>
      <c r="W133" s="64">
        <f>TRUNC((_xlfn.NORM.INV((RAND()),$V$6,$V$7)),3)</f>
        <v/>
      </c>
      <c r="Y133" s="64" t="n">
        <v>138</v>
      </c>
      <c r="Z133" s="5" t="n">
        <v>6.745</v>
      </c>
      <c r="AA133" s="5" t="n">
        <v>6.881</v>
      </c>
      <c r="AB133" s="5" t="n">
        <v>6.713</v>
      </c>
      <c r="AG133" s="64">
        <f>TRUNC((_xlfn.NORM.INV((RAND()),$AF$6,$AF$7)),3)</f>
        <v/>
      </c>
      <c r="AI133" s="64" t="n">
        <v>138</v>
      </c>
      <c r="AJ133" s="5" t="n">
        <v>47.403</v>
      </c>
      <c r="AK133" s="5" t="n">
        <v>73.078</v>
      </c>
      <c r="AL133" s="5" t="n">
        <v>66.361</v>
      </c>
      <c r="AR133" s="64" t="n">
        <v>138</v>
      </c>
      <c r="AS133" s="5" t="n">
        <v>0</v>
      </c>
      <c r="AT133" s="5" t="n">
        <v>21.7329175729946</v>
      </c>
      <c r="AU133" s="5" t="n">
        <v>13.34657409057994</v>
      </c>
      <c r="AW133" s="64">
        <f>Z133/Demand!AU151</f>
        <v/>
      </c>
      <c r="AX133" s="64">
        <f>AA133/Demand!AV151</f>
        <v/>
      </c>
      <c r="AY133" s="64">
        <f>AB133/Demand!AW151</f>
        <v/>
      </c>
      <c r="BG133" s="64" t="n">
        <v>138</v>
      </c>
      <c r="BH133" s="64">
        <f>Results!$B$19+AJ133-Results!$D$21</f>
        <v/>
      </c>
      <c r="BI133" s="64">
        <f>Results!$B$19+AK133-Results!$D$21</f>
        <v/>
      </c>
      <c r="BJ133" s="64">
        <f>Results!$B$19+AL133-Results!$D$21</f>
        <v/>
      </c>
      <c r="BM133" s="64" t="n">
        <v>138</v>
      </c>
      <c r="BN133" s="64">
        <f>Results!D148</f>
        <v/>
      </c>
      <c r="BO133" s="64">
        <f>Results!E148</f>
        <v/>
      </c>
      <c r="BP133" s="64">
        <f>Results!F148</f>
        <v/>
      </c>
      <c r="BS133" s="64" t="n">
        <v>138</v>
      </c>
      <c r="BT133" s="64">
        <f>Demand!AU151</f>
        <v/>
      </c>
      <c r="BU133" s="64">
        <f>Demand!AV151</f>
        <v/>
      </c>
      <c r="BV133" s="64">
        <f>Demand!AW151</f>
        <v/>
      </c>
      <c r="BY133" s="64" t="n">
        <v>138</v>
      </c>
      <c r="BZ133" s="64">
        <f>Retailers_Cap!N134</f>
        <v/>
      </c>
      <c r="CA133" s="64">
        <f>Retailers_Cap!O134</f>
        <v/>
      </c>
      <c r="CB133" s="64">
        <f>Retailers_Cap!P134</f>
        <v/>
      </c>
      <c r="CD133" s="64" t="n">
        <v>138</v>
      </c>
      <c r="CE133" s="64">
        <f>IF((BT133-BZ133)&gt;=0,"Dem","Folga")</f>
        <v/>
      </c>
      <c r="CF133" s="64">
        <f>IF((BU133-CA133)&gt;=0,"Dem","Folga")</f>
        <v/>
      </c>
      <c r="CG133" s="64">
        <f>IF((BV133-CB133)&gt;=0,"Dem","Folga")</f>
        <v/>
      </c>
    </row>
    <row r="134">
      <c r="M134" s="64">
        <f>TRUNC((_xlfn.NORM.INV((RAND()),$L$6,$L$7)),2)</f>
        <v/>
      </c>
      <c r="O134" s="64" t="n">
        <v>139</v>
      </c>
      <c r="P134" s="5" t="n">
        <v>210.58</v>
      </c>
      <c r="Q134" s="5" t="n">
        <v>273.99</v>
      </c>
      <c r="R134" s="5" t="n">
        <v>220.91</v>
      </c>
      <c r="W134" s="64">
        <f>TRUNC((_xlfn.NORM.INV((RAND()),$V$6,$V$7)),3)</f>
        <v/>
      </c>
      <c r="Y134" s="64" t="n">
        <v>139</v>
      </c>
      <c r="Z134" s="5" t="n">
        <v>6.759</v>
      </c>
      <c r="AA134" s="5" t="n">
        <v>6.719</v>
      </c>
      <c r="AB134" s="5" t="n">
        <v>6.674</v>
      </c>
      <c r="AG134" s="64">
        <f>TRUNC((_xlfn.NORM.INV((RAND()),$AF$6,$AF$7)),3)</f>
        <v/>
      </c>
      <c r="AI134" s="64" t="n">
        <v>139</v>
      </c>
      <c r="AJ134" s="5" t="n">
        <v>49.062</v>
      </c>
      <c r="AK134" s="5" t="n">
        <v>79.155</v>
      </c>
      <c r="AL134" s="5" t="n">
        <v>49.729</v>
      </c>
      <c r="AR134" s="64" t="n">
        <v>139</v>
      </c>
      <c r="AS134" s="5" t="n">
        <v>0</v>
      </c>
      <c r="AT134" s="5" t="n">
        <v>0</v>
      </c>
      <c r="AU134" s="5" t="n">
        <v>24.11875798480898</v>
      </c>
      <c r="AW134" s="64">
        <f>Z134/Demand!AU152</f>
        <v/>
      </c>
      <c r="AX134" s="64">
        <f>AA134/Demand!AV152</f>
        <v/>
      </c>
      <c r="AY134" s="64">
        <f>AB134/Demand!AW152</f>
        <v/>
      </c>
      <c r="BG134" s="64" t="n">
        <v>139</v>
      </c>
      <c r="BH134" s="64">
        <f>Results!$B$19+AJ134-Results!$D$21</f>
        <v/>
      </c>
      <c r="BI134" s="64">
        <f>Results!$B$19+AK134-Results!$D$21</f>
        <v/>
      </c>
      <c r="BJ134" s="64">
        <f>Results!$B$19+AL134-Results!$D$21</f>
        <v/>
      </c>
      <c r="BM134" s="64" t="n">
        <v>139</v>
      </c>
      <c r="BN134" s="64">
        <f>Results!D149</f>
        <v/>
      </c>
      <c r="BO134" s="64">
        <f>Results!E149</f>
        <v/>
      </c>
      <c r="BP134" s="64">
        <f>Results!F149</f>
        <v/>
      </c>
      <c r="BS134" s="64" t="n">
        <v>139</v>
      </c>
      <c r="BT134" s="64">
        <f>Demand!AU152</f>
        <v/>
      </c>
      <c r="BU134" s="64">
        <f>Demand!AV152</f>
        <v/>
      </c>
      <c r="BV134" s="64">
        <f>Demand!AW152</f>
        <v/>
      </c>
      <c r="BY134" s="64" t="n">
        <v>139</v>
      </c>
      <c r="BZ134" s="64">
        <f>Retailers_Cap!N135</f>
        <v/>
      </c>
      <c r="CA134" s="64">
        <f>Retailers_Cap!O135</f>
        <v/>
      </c>
      <c r="CB134" s="64">
        <f>Retailers_Cap!P135</f>
        <v/>
      </c>
      <c r="CD134" s="64" t="n">
        <v>139</v>
      </c>
      <c r="CE134" s="64">
        <f>IF((BT134-BZ134)&gt;=0,"Dem","Folga")</f>
        <v/>
      </c>
      <c r="CF134" s="64">
        <f>IF((BU134-CA134)&gt;=0,"Dem","Folga")</f>
        <v/>
      </c>
      <c r="CG134" s="64">
        <f>IF((BV134-CB134)&gt;=0,"Dem","Folga")</f>
        <v/>
      </c>
    </row>
    <row r="135">
      <c r="M135" s="64">
        <f>TRUNC((_xlfn.NORM.INV((RAND()),$L$6,$L$7)),2)</f>
        <v/>
      </c>
      <c r="O135" s="64" t="n">
        <v>140</v>
      </c>
      <c r="P135" s="5" t="n">
        <v>222.06</v>
      </c>
      <c r="Q135" s="5" t="n">
        <v>245.93</v>
      </c>
      <c r="R135" s="5" t="n">
        <v>216.42</v>
      </c>
      <c r="W135" s="64">
        <f>TRUNC((_xlfn.NORM.INV((RAND()),$V$6,$V$7)),3)</f>
        <v/>
      </c>
      <c r="Y135" s="64" t="n">
        <v>140</v>
      </c>
      <c r="Z135" s="5" t="n">
        <v>6.598</v>
      </c>
      <c r="AA135" s="5" t="n">
        <v>6.727</v>
      </c>
      <c r="AB135" s="5" t="n">
        <v>6.672</v>
      </c>
      <c r="AG135" s="64">
        <f>TRUNC((_xlfn.NORM.INV((RAND()),$AF$6,$AF$7)),3)</f>
        <v/>
      </c>
      <c r="AI135" s="64" t="n">
        <v>140</v>
      </c>
      <c r="AJ135" s="5" t="n">
        <v>50.541</v>
      </c>
      <c r="AK135" s="5" t="n">
        <v>48.226</v>
      </c>
      <c r="AL135" s="5" t="n">
        <v>67.995</v>
      </c>
      <c r="AR135" s="64" t="n">
        <v>140</v>
      </c>
      <c r="AS135" s="5" t="n">
        <v>12.10640011506244</v>
      </c>
      <c r="AT135" s="5" t="n">
        <v>21.95561956020802</v>
      </c>
      <c r="AU135" s="5" t="n">
        <v>0</v>
      </c>
      <c r="AW135" s="64">
        <f>Z135/Demand!AU153</f>
        <v/>
      </c>
      <c r="AX135" s="64">
        <f>AA135/Demand!AV153</f>
        <v/>
      </c>
      <c r="AY135" s="64">
        <f>AB135/Demand!AW153</f>
        <v/>
      </c>
      <c r="BG135" s="64" t="n">
        <v>140</v>
      </c>
      <c r="BH135" s="64">
        <f>Results!$B$19+AJ135-Results!$D$21</f>
        <v/>
      </c>
      <c r="BI135" s="64">
        <f>Results!$B$19+AK135-Results!$D$21</f>
        <v/>
      </c>
      <c r="BJ135" s="64">
        <f>Results!$B$19+AL135-Results!$D$21</f>
        <v/>
      </c>
      <c r="BM135" s="64" t="n">
        <v>140</v>
      </c>
      <c r="BN135" s="64">
        <f>Results!D150</f>
        <v/>
      </c>
      <c r="BO135" s="64">
        <f>Results!E150</f>
        <v/>
      </c>
      <c r="BP135" s="64">
        <f>Results!F150</f>
        <v/>
      </c>
      <c r="BS135" s="64" t="n">
        <v>140</v>
      </c>
      <c r="BT135" s="64">
        <f>Demand!AU153</f>
        <v/>
      </c>
      <c r="BU135" s="64">
        <f>Demand!AV153</f>
        <v/>
      </c>
      <c r="BV135" s="64">
        <f>Demand!AW153</f>
        <v/>
      </c>
      <c r="BY135" s="64" t="n">
        <v>140</v>
      </c>
      <c r="BZ135" s="64">
        <f>Retailers_Cap!N136</f>
        <v/>
      </c>
      <c r="CA135" s="64">
        <f>Retailers_Cap!O136</f>
        <v/>
      </c>
      <c r="CB135" s="64">
        <f>Retailers_Cap!P136</f>
        <v/>
      </c>
      <c r="CD135" s="64" t="n">
        <v>140</v>
      </c>
      <c r="CE135" s="64">
        <f>IF((BT135-BZ135)&gt;=0,"Dem","Folga")</f>
        <v/>
      </c>
      <c r="CF135" s="64">
        <f>IF((BU135-CA135)&gt;=0,"Dem","Folga")</f>
        <v/>
      </c>
      <c r="CG135" s="64">
        <f>IF((BV135-CB135)&gt;=0,"Dem","Folga")</f>
        <v/>
      </c>
    </row>
    <row r="136">
      <c r="M136" s="64">
        <f>TRUNC((_xlfn.NORM.INV((RAND()),$L$6,$L$7)),2)</f>
        <v/>
      </c>
      <c r="O136" s="64" t="n">
        <v>141</v>
      </c>
      <c r="P136" s="5" t="n">
        <v>247.24</v>
      </c>
      <c r="Q136" s="5" t="n">
        <v>162.21</v>
      </c>
      <c r="R136" s="5" t="n">
        <v>241.6</v>
      </c>
      <c r="W136" s="64">
        <f>TRUNC((_xlfn.NORM.INV((RAND()),$V$6,$V$7)),3)</f>
        <v/>
      </c>
      <c r="Y136" s="64" t="n">
        <v>141</v>
      </c>
      <c r="Z136" s="5" t="n">
        <v>6.837</v>
      </c>
      <c r="AA136" s="5" t="n">
        <v>6.658</v>
      </c>
      <c r="AB136" s="5" t="n">
        <v>6.648</v>
      </c>
      <c r="AG136" s="64">
        <f>TRUNC((_xlfn.NORM.INV((RAND()),$AF$6,$AF$7)),3)</f>
        <v/>
      </c>
      <c r="AI136" s="64" t="n">
        <v>141</v>
      </c>
      <c r="AJ136" s="5" t="n">
        <v>76.11</v>
      </c>
      <c r="AK136" s="5" t="n">
        <v>57.858</v>
      </c>
      <c r="AL136" s="5" t="n">
        <v>46.855</v>
      </c>
      <c r="AR136" s="64" t="n">
        <v>141</v>
      </c>
      <c r="AS136" s="5" t="n">
        <v>16.56192003674099</v>
      </c>
      <c r="AT136" s="5" t="n">
        <v>13.59695869289315</v>
      </c>
      <c r="AU136" s="5" t="n">
        <v>0</v>
      </c>
      <c r="AW136" s="64">
        <f>Z136/Demand!AU154</f>
        <v/>
      </c>
      <c r="AX136" s="64">
        <f>AA136/Demand!AV154</f>
        <v/>
      </c>
      <c r="AY136" s="64">
        <f>AB136/Demand!AW154</f>
        <v/>
      </c>
      <c r="BG136" s="64" t="n">
        <v>141</v>
      </c>
      <c r="BH136" s="64">
        <f>Results!$B$19+AJ136-Results!$D$21</f>
        <v/>
      </c>
      <c r="BI136" s="64">
        <f>Results!$B$19+AK136-Results!$D$21</f>
        <v/>
      </c>
      <c r="BJ136" s="64">
        <f>Results!$B$19+AL136-Results!$D$21</f>
        <v/>
      </c>
      <c r="BM136" s="64" t="n">
        <v>141</v>
      </c>
      <c r="BN136" s="64">
        <f>Results!D151</f>
        <v/>
      </c>
      <c r="BO136" s="64">
        <f>Results!E151</f>
        <v/>
      </c>
      <c r="BP136" s="64">
        <f>Results!F151</f>
        <v/>
      </c>
      <c r="BS136" s="64" t="n">
        <v>141</v>
      </c>
      <c r="BT136" s="64">
        <f>Demand!AU154</f>
        <v/>
      </c>
      <c r="BU136" s="64">
        <f>Demand!AV154</f>
        <v/>
      </c>
      <c r="BV136" s="64">
        <f>Demand!AW154</f>
        <v/>
      </c>
      <c r="BY136" s="64" t="n">
        <v>141</v>
      </c>
      <c r="BZ136" s="64">
        <f>Retailers_Cap!N137</f>
        <v/>
      </c>
      <c r="CA136" s="64">
        <f>Retailers_Cap!O137</f>
        <v/>
      </c>
      <c r="CB136" s="64">
        <f>Retailers_Cap!P137</f>
        <v/>
      </c>
      <c r="CD136" s="64" t="n">
        <v>141</v>
      </c>
      <c r="CE136" s="64">
        <f>IF((BT136-BZ136)&gt;=0,"Dem","Folga")</f>
        <v/>
      </c>
      <c r="CF136" s="64">
        <f>IF((BU136-CA136)&gt;=0,"Dem","Folga")</f>
        <v/>
      </c>
      <c r="CG136" s="64">
        <f>IF((BV136-CB136)&gt;=0,"Dem","Folga")</f>
        <v/>
      </c>
    </row>
    <row r="137">
      <c r="M137" s="64">
        <f>TRUNC((_xlfn.NORM.INV((RAND()),$L$6,$L$7)),2)</f>
        <v/>
      </c>
      <c r="O137" s="64" t="n">
        <v>142</v>
      </c>
      <c r="P137" s="5" t="n">
        <v>169.09</v>
      </c>
      <c r="Q137" s="5" t="n">
        <v>190.34</v>
      </c>
      <c r="R137" s="5" t="n">
        <v>232.29</v>
      </c>
      <c r="W137" s="64">
        <f>TRUNC((_xlfn.NORM.INV((RAND()),$V$6,$V$7)),3)</f>
        <v/>
      </c>
      <c r="Y137" s="64" t="n">
        <v>142</v>
      </c>
      <c r="Z137" s="5" t="n">
        <v>6.901</v>
      </c>
      <c r="AA137" s="5" t="n">
        <v>6.738</v>
      </c>
      <c r="AB137" s="5" t="n">
        <v>6.746</v>
      </c>
      <c r="AG137" s="64">
        <f>TRUNC((_xlfn.NORM.INV((RAND()),$AF$6,$AF$7)),3)</f>
        <v/>
      </c>
      <c r="AI137" s="64" t="n">
        <v>142</v>
      </c>
      <c r="AJ137" s="5" t="n">
        <v>67.871</v>
      </c>
      <c r="AK137" s="5" t="n">
        <v>57.163</v>
      </c>
      <c r="AL137" s="5" t="n">
        <v>66.72199999999999</v>
      </c>
      <c r="AR137" s="64" t="n">
        <v>142</v>
      </c>
      <c r="AS137" s="5" t="n">
        <v>0</v>
      </c>
      <c r="AT137" s="5" t="n">
        <v>0</v>
      </c>
      <c r="AU137" s="5" t="n">
        <v>21.96577674037739</v>
      </c>
      <c r="AW137" s="64">
        <f>Z137/Demand!AU155</f>
        <v/>
      </c>
      <c r="AX137" s="64">
        <f>AA137/Demand!AV155</f>
        <v/>
      </c>
      <c r="AY137" s="64">
        <f>AB137/Demand!AW155</f>
        <v/>
      </c>
      <c r="BG137" s="64" t="n">
        <v>142</v>
      </c>
      <c r="BH137" s="64">
        <f>Results!$B$19+AJ137-Results!$D$21</f>
        <v/>
      </c>
      <c r="BI137" s="64">
        <f>Results!$B$19+AK137-Results!$D$21</f>
        <v/>
      </c>
      <c r="BJ137" s="64">
        <f>Results!$B$19+AL137-Results!$D$21</f>
        <v/>
      </c>
      <c r="BM137" s="64" t="n">
        <v>142</v>
      </c>
      <c r="BN137" s="64">
        <f>Results!D152</f>
        <v/>
      </c>
      <c r="BO137" s="64">
        <f>Results!E152</f>
        <v/>
      </c>
      <c r="BP137" s="64">
        <f>Results!F152</f>
        <v/>
      </c>
      <c r="BS137" s="64" t="n">
        <v>142</v>
      </c>
      <c r="BT137" s="64">
        <f>Demand!AU155</f>
        <v/>
      </c>
      <c r="BU137" s="64">
        <f>Demand!AV155</f>
        <v/>
      </c>
      <c r="BV137" s="64">
        <f>Demand!AW155</f>
        <v/>
      </c>
      <c r="BY137" s="64" t="n">
        <v>142</v>
      </c>
      <c r="BZ137" s="64">
        <f>Retailers_Cap!N138</f>
        <v/>
      </c>
      <c r="CA137" s="64">
        <f>Retailers_Cap!O138</f>
        <v/>
      </c>
      <c r="CB137" s="64">
        <f>Retailers_Cap!P138</f>
        <v/>
      </c>
      <c r="CD137" s="64" t="n">
        <v>142</v>
      </c>
      <c r="CE137" s="64">
        <f>IF((BT137-BZ137)&gt;=0,"Dem","Folga")</f>
        <v/>
      </c>
      <c r="CF137" s="64">
        <f>IF((BU137-CA137)&gt;=0,"Dem","Folga")</f>
        <v/>
      </c>
      <c r="CG137" s="64">
        <f>IF((BV137-CB137)&gt;=0,"Dem","Folga")</f>
        <v/>
      </c>
    </row>
    <row r="138">
      <c r="M138" s="64">
        <f>TRUNC((_xlfn.NORM.INV((RAND()),$L$6,$L$7)),2)</f>
        <v/>
      </c>
      <c r="O138" s="64" t="n">
        <v>143</v>
      </c>
      <c r="P138" s="5" t="n">
        <v>156.9</v>
      </c>
      <c r="Q138" s="5" t="n">
        <v>105.86</v>
      </c>
      <c r="R138" s="5" t="n">
        <v>262.27</v>
      </c>
      <c r="W138" s="64">
        <f>TRUNC((_xlfn.NORM.INV((RAND()),$V$6,$V$7)),3)</f>
        <v/>
      </c>
      <c r="Y138" s="64" t="n">
        <v>143</v>
      </c>
      <c r="Z138" s="5" t="n">
        <v>6.739</v>
      </c>
      <c r="AA138" s="5" t="n">
        <v>6.867</v>
      </c>
      <c r="AB138" s="5" t="n">
        <v>6.719</v>
      </c>
      <c r="AG138" s="64">
        <f>TRUNC((_xlfn.NORM.INV((RAND()),$AF$6,$AF$7)),3)</f>
        <v/>
      </c>
      <c r="AI138" s="64" t="n">
        <v>143</v>
      </c>
      <c r="AJ138" s="5" t="n">
        <v>63.995</v>
      </c>
      <c r="AK138" s="5" t="n">
        <v>70.626</v>
      </c>
      <c r="AL138" s="5" t="n">
        <v>54.772</v>
      </c>
      <c r="AR138" s="64" t="n">
        <v>143</v>
      </c>
      <c r="AS138" s="5" t="n">
        <v>0</v>
      </c>
      <c r="AT138" s="5" t="n">
        <v>0</v>
      </c>
      <c r="AU138" s="5" t="n">
        <v>9.949462957655355</v>
      </c>
      <c r="AW138" s="64">
        <f>Z138/Demand!AU156</f>
        <v/>
      </c>
      <c r="AX138" s="64">
        <f>AA138/Demand!AV156</f>
        <v/>
      </c>
      <c r="AY138" s="64">
        <f>AB138/Demand!AW156</f>
        <v/>
      </c>
      <c r="BG138" s="64" t="n">
        <v>143</v>
      </c>
      <c r="BH138" s="64">
        <f>Results!$B$19+AJ138-Results!$D$21</f>
        <v/>
      </c>
      <c r="BI138" s="64">
        <f>Results!$B$19+AK138-Results!$D$21</f>
        <v/>
      </c>
      <c r="BJ138" s="64">
        <f>Results!$B$19+AL138-Results!$D$21</f>
        <v/>
      </c>
      <c r="BM138" s="64" t="n">
        <v>143</v>
      </c>
      <c r="BN138" s="64">
        <f>Results!D153</f>
        <v/>
      </c>
      <c r="BO138" s="64">
        <f>Results!E153</f>
        <v/>
      </c>
      <c r="BP138" s="64">
        <f>Results!F153</f>
        <v/>
      </c>
      <c r="BS138" s="64" t="n">
        <v>143</v>
      </c>
      <c r="BT138" s="64">
        <f>Demand!AU156</f>
        <v/>
      </c>
      <c r="BU138" s="64">
        <f>Demand!AV156</f>
        <v/>
      </c>
      <c r="BV138" s="64">
        <f>Demand!AW156</f>
        <v/>
      </c>
      <c r="BY138" s="64" t="n">
        <v>143</v>
      </c>
      <c r="BZ138" s="64">
        <f>Retailers_Cap!N139</f>
        <v/>
      </c>
      <c r="CA138" s="64">
        <f>Retailers_Cap!O139</f>
        <v/>
      </c>
      <c r="CB138" s="64">
        <f>Retailers_Cap!P139</f>
        <v/>
      </c>
      <c r="CD138" s="64" t="n">
        <v>143</v>
      </c>
      <c r="CE138" s="64">
        <f>IF((BT138-BZ138)&gt;=0,"Dem","Folga")</f>
        <v/>
      </c>
      <c r="CF138" s="64">
        <f>IF((BU138-CA138)&gt;=0,"Dem","Folga")</f>
        <v/>
      </c>
      <c r="CG138" s="64">
        <f>IF((BV138-CB138)&gt;=0,"Dem","Folga")</f>
        <v/>
      </c>
    </row>
    <row r="139">
      <c r="M139" s="64">
        <f>TRUNC((_xlfn.NORM.INV((RAND()),$L$6,$L$7)),2)</f>
        <v/>
      </c>
      <c r="O139" s="64" t="n">
        <v>144</v>
      </c>
      <c r="P139" s="5" t="n">
        <v>224.93</v>
      </c>
      <c r="Q139" s="5" t="n">
        <v>143.09</v>
      </c>
      <c r="R139" s="5" t="n">
        <v>222.16</v>
      </c>
      <c r="W139" s="64">
        <f>TRUNC((_xlfn.NORM.INV((RAND()),$V$6,$V$7)),3)</f>
        <v/>
      </c>
      <c r="Y139" s="64" t="n">
        <v>144</v>
      </c>
      <c r="Z139" s="5" t="n">
        <v>6.658</v>
      </c>
      <c r="AA139" s="5" t="n">
        <v>6.804</v>
      </c>
      <c r="AB139" s="5" t="n">
        <v>6.668</v>
      </c>
      <c r="AG139" s="64">
        <f>TRUNC((_xlfn.NORM.INV((RAND()),$AF$6,$AF$7)),3)</f>
        <v/>
      </c>
      <c r="AI139" s="64" t="n">
        <v>144</v>
      </c>
      <c r="AJ139" s="5" t="n">
        <v>74.295</v>
      </c>
      <c r="AK139" s="5" t="n">
        <v>82.404</v>
      </c>
      <c r="AL139" s="5" t="n">
        <v>57.133</v>
      </c>
      <c r="AR139" s="64" t="n">
        <v>144</v>
      </c>
      <c r="AS139" s="5" t="n">
        <v>15.52125490730859</v>
      </c>
      <c r="AT139" s="5" t="n">
        <v>8.341083350913021</v>
      </c>
      <c r="AU139" s="5" t="n">
        <v>0</v>
      </c>
      <c r="AW139" s="64">
        <f>Z139/Demand!AU157</f>
        <v/>
      </c>
      <c r="AX139" s="64">
        <f>AA139/Demand!AV157</f>
        <v/>
      </c>
      <c r="AY139" s="64">
        <f>AB139/Demand!AW157</f>
        <v/>
      </c>
      <c r="BG139" s="64" t="n">
        <v>144</v>
      </c>
      <c r="BH139" s="64">
        <f>Results!$B$19+AJ139-Results!$D$21</f>
        <v/>
      </c>
      <c r="BI139" s="64">
        <f>Results!$B$19+AK139-Results!$D$21</f>
        <v/>
      </c>
      <c r="BJ139" s="64">
        <f>Results!$B$19+AL139-Results!$D$21</f>
        <v/>
      </c>
      <c r="BM139" s="64" t="n">
        <v>144</v>
      </c>
      <c r="BN139" s="64">
        <f>Results!D154</f>
        <v/>
      </c>
      <c r="BO139" s="64">
        <f>Results!E154</f>
        <v/>
      </c>
      <c r="BP139" s="64">
        <f>Results!F154</f>
        <v/>
      </c>
      <c r="BS139" s="64" t="n">
        <v>144</v>
      </c>
      <c r="BT139" s="64">
        <f>Demand!AU157</f>
        <v/>
      </c>
      <c r="BU139" s="64">
        <f>Demand!AV157</f>
        <v/>
      </c>
      <c r="BV139" s="64">
        <f>Demand!AW157</f>
        <v/>
      </c>
      <c r="BY139" s="64" t="n">
        <v>144</v>
      </c>
      <c r="BZ139" s="64">
        <f>Retailers_Cap!N140</f>
        <v/>
      </c>
      <c r="CA139" s="64">
        <f>Retailers_Cap!O140</f>
        <v/>
      </c>
      <c r="CB139" s="64">
        <f>Retailers_Cap!P140</f>
        <v/>
      </c>
      <c r="CD139" s="64" t="n">
        <v>144</v>
      </c>
      <c r="CE139" s="64">
        <f>IF((BT139-BZ139)&gt;=0,"Dem","Folga")</f>
        <v/>
      </c>
      <c r="CF139" s="64">
        <f>IF((BU139-CA139)&gt;=0,"Dem","Folga")</f>
        <v/>
      </c>
      <c r="CG139" s="64">
        <f>IF((BV139-CB139)&gt;=0,"Dem","Folga")</f>
        <v/>
      </c>
    </row>
    <row r="140">
      <c r="M140" s="64">
        <f>TRUNC((_xlfn.NORM.INV((RAND()),$L$6,$L$7)),2)</f>
        <v/>
      </c>
      <c r="O140" s="64" t="n">
        <v>145</v>
      </c>
      <c r="P140" s="5" t="n">
        <v>114.36</v>
      </c>
      <c r="Q140" s="5" t="n">
        <v>239.3</v>
      </c>
      <c r="R140" s="5" t="n">
        <v>270.85</v>
      </c>
      <c r="W140" s="64">
        <f>TRUNC((_xlfn.NORM.INV((RAND()),$V$6,$V$7)),3)</f>
        <v/>
      </c>
      <c r="Y140" s="64" t="n">
        <v>145</v>
      </c>
      <c r="Z140" s="5" t="n">
        <v>6.876</v>
      </c>
      <c r="AA140" s="5" t="n">
        <v>6.793</v>
      </c>
      <c r="AB140" s="5" t="n">
        <v>6.531</v>
      </c>
      <c r="AG140" s="64">
        <f>TRUNC((_xlfn.NORM.INV((RAND()),$AF$6,$AF$7)),3)</f>
        <v/>
      </c>
      <c r="AI140" s="64" t="n">
        <v>145</v>
      </c>
      <c r="AJ140" s="5" t="n">
        <v>75.38500000000001</v>
      </c>
      <c r="AK140" s="5" t="n">
        <v>70.164</v>
      </c>
      <c r="AL140" s="5" t="n">
        <v>59.14</v>
      </c>
      <c r="AR140" s="64" t="n">
        <v>145</v>
      </c>
      <c r="AS140" s="5" t="n">
        <v>34.53941706086385</v>
      </c>
      <c r="AT140" s="5" t="n">
        <v>15.70007580533413</v>
      </c>
      <c r="AU140" s="5" t="n">
        <v>0</v>
      </c>
      <c r="AW140" s="64">
        <f>Z140/Demand!AU158</f>
        <v/>
      </c>
      <c r="AX140" s="64">
        <f>AA140/Demand!AV158</f>
        <v/>
      </c>
      <c r="AY140" s="64">
        <f>AB140/Demand!AW158</f>
        <v/>
      </c>
      <c r="BG140" s="64" t="n">
        <v>145</v>
      </c>
      <c r="BH140" s="64">
        <f>Results!$B$19+AJ140-Results!$D$21</f>
        <v/>
      </c>
      <c r="BI140" s="64">
        <f>Results!$B$19+AK140-Results!$D$21</f>
        <v/>
      </c>
      <c r="BJ140" s="64">
        <f>Results!$B$19+AL140-Results!$D$21</f>
        <v/>
      </c>
      <c r="BM140" s="64" t="n">
        <v>145</v>
      </c>
      <c r="BN140" s="64">
        <f>Results!D155</f>
        <v/>
      </c>
      <c r="BO140" s="64">
        <f>Results!E155</f>
        <v/>
      </c>
      <c r="BP140" s="64">
        <f>Results!F155</f>
        <v/>
      </c>
      <c r="BS140" s="64" t="n">
        <v>145</v>
      </c>
      <c r="BT140" s="64">
        <f>Demand!AU158</f>
        <v/>
      </c>
      <c r="BU140" s="64">
        <f>Demand!AV158</f>
        <v/>
      </c>
      <c r="BV140" s="64">
        <f>Demand!AW158</f>
        <v/>
      </c>
      <c r="BY140" s="64" t="n">
        <v>145</v>
      </c>
      <c r="BZ140" s="64">
        <f>Retailers_Cap!N141</f>
        <v/>
      </c>
      <c r="CA140" s="64">
        <f>Retailers_Cap!O141</f>
        <v/>
      </c>
      <c r="CB140" s="64">
        <f>Retailers_Cap!P141</f>
        <v/>
      </c>
      <c r="CD140" s="64" t="n">
        <v>145</v>
      </c>
      <c r="CE140" s="64">
        <f>IF((BT140-BZ140)&gt;=0,"Dem","Folga")</f>
        <v/>
      </c>
      <c r="CF140" s="64">
        <f>IF((BU140-CA140)&gt;=0,"Dem","Folga")</f>
        <v/>
      </c>
      <c r="CG140" s="64">
        <f>IF((BV140-CB140)&gt;=0,"Dem","Folga")</f>
        <v/>
      </c>
    </row>
    <row r="141">
      <c r="M141" s="64">
        <f>TRUNC((_xlfn.NORM.INV((RAND()),$L$6,$L$7)),2)</f>
        <v/>
      </c>
      <c r="O141" s="64" t="n">
        <v>146</v>
      </c>
      <c r="P141" s="5" t="n">
        <v>254.33</v>
      </c>
      <c r="Q141" s="5" t="n">
        <v>170.32</v>
      </c>
      <c r="R141" s="5" t="n">
        <v>203.36</v>
      </c>
      <c r="W141" s="64">
        <f>TRUNC((_xlfn.NORM.INV((RAND()),$V$6,$V$7)),3)</f>
        <v/>
      </c>
      <c r="Y141" s="64" t="n">
        <v>146</v>
      </c>
      <c r="Z141" s="5" t="n">
        <v>6.707</v>
      </c>
      <c r="AA141" s="5" t="n">
        <v>6.778</v>
      </c>
      <c r="AB141" s="5" t="n">
        <v>6.744</v>
      </c>
      <c r="AG141" s="64">
        <f>TRUNC((_xlfn.NORM.INV((RAND()),$AF$6,$AF$7)),3)</f>
        <v/>
      </c>
      <c r="AI141" s="64" t="n">
        <v>146</v>
      </c>
      <c r="AJ141" s="5" t="n">
        <v>43.344</v>
      </c>
      <c r="AK141" s="5" t="n">
        <v>69.349</v>
      </c>
      <c r="AL141" s="5" t="n">
        <v>40.613</v>
      </c>
      <c r="AR141" s="64" t="n">
        <v>146</v>
      </c>
      <c r="AS141" s="5" t="n">
        <v>6.00975025766799</v>
      </c>
      <c r="AT141" s="5" t="n">
        <v>11.89760316772524</v>
      </c>
      <c r="AU141" s="5" t="n">
        <v>14.80316022982815</v>
      </c>
      <c r="AW141" s="64">
        <f>Z141/Demand!AU159</f>
        <v/>
      </c>
      <c r="AX141" s="64">
        <f>AA141/Demand!AV159</f>
        <v/>
      </c>
      <c r="AY141" s="64">
        <f>AB141/Demand!AW159</f>
        <v/>
      </c>
      <c r="BG141" s="64" t="n">
        <v>146</v>
      </c>
      <c r="BH141" s="64">
        <f>Results!$B$19+AJ141-Results!$D$21</f>
        <v/>
      </c>
      <c r="BI141" s="64">
        <f>Results!$B$19+AK141-Results!$D$21</f>
        <v/>
      </c>
      <c r="BJ141" s="64">
        <f>Results!$B$19+AL141-Results!$D$21</f>
        <v/>
      </c>
      <c r="BM141" s="64" t="n">
        <v>146</v>
      </c>
      <c r="BN141" s="64">
        <f>Results!D156</f>
        <v/>
      </c>
      <c r="BO141" s="64">
        <f>Results!E156</f>
        <v/>
      </c>
      <c r="BP141" s="64">
        <f>Results!F156</f>
        <v/>
      </c>
      <c r="BS141" s="64" t="n">
        <v>146</v>
      </c>
      <c r="BT141" s="64">
        <f>Demand!AU159</f>
        <v/>
      </c>
      <c r="BU141" s="64">
        <f>Demand!AV159</f>
        <v/>
      </c>
      <c r="BV141" s="64">
        <f>Demand!AW159</f>
        <v/>
      </c>
      <c r="BY141" s="64" t="n">
        <v>146</v>
      </c>
      <c r="BZ141" s="64">
        <f>Retailers_Cap!N142</f>
        <v/>
      </c>
      <c r="CA141" s="64">
        <f>Retailers_Cap!O142</f>
        <v/>
      </c>
      <c r="CB141" s="64">
        <f>Retailers_Cap!P142</f>
        <v/>
      </c>
      <c r="CD141" s="64" t="n">
        <v>146</v>
      </c>
      <c r="CE141" s="64">
        <f>IF((BT141-BZ141)&gt;=0,"Dem","Folga")</f>
        <v/>
      </c>
      <c r="CF141" s="64">
        <f>IF((BU141-CA141)&gt;=0,"Dem","Folga")</f>
        <v/>
      </c>
      <c r="CG141" s="64">
        <f>IF((BV141-CB141)&gt;=0,"Dem","Folga")</f>
        <v/>
      </c>
    </row>
    <row r="142">
      <c r="M142" s="64">
        <f>TRUNC((_xlfn.NORM.INV((RAND()),$L$6,$L$7)),2)</f>
        <v/>
      </c>
      <c r="O142" s="64" t="n">
        <v>147</v>
      </c>
      <c r="P142" s="5" t="n">
        <v>197.54</v>
      </c>
      <c r="Q142" s="5" t="n">
        <v>199.54</v>
      </c>
      <c r="R142" s="5" t="n">
        <v>209.69</v>
      </c>
      <c r="W142" s="64">
        <f>TRUNC((_xlfn.NORM.INV((RAND()),$V$6,$V$7)),3)</f>
        <v/>
      </c>
      <c r="Y142" s="64" t="n">
        <v>147</v>
      </c>
      <c r="Z142" s="5" t="n">
        <v>6.66</v>
      </c>
      <c r="AA142" s="5" t="n">
        <v>6.702</v>
      </c>
      <c r="AB142" s="5" t="n">
        <v>6.743</v>
      </c>
      <c r="AG142" s="64">
        <f>TRUNC((_xlfn.NORM.INV((RAND()),$AF$6,$AF$7)),3)</f>
        <v/>
      </c>
      <c r="AI142" s="64" t="n">
        <v>147</v>
      </c>
      <c r="AJ142" s="5" t="n">
        <v>51.188</v>
      </c>
      <c r="AK142" s="5" t="n">
        <v>63.994</v>
      </c>
      <c r="AL142" s="5" t="n">
        <v>40.286</v>
      </c>
      <c r="AR142" s="64" t="n">
        <v>147</v>
      </c>
      <c r="AS142" s="5" t="n">
        <v>0</v>
      </c>
      <c r="AT142" s="5" t="n">
        <v>0</v>
      </c>
      <c r="AU142" s="5" t="n">
        <v>0</v>
      </c>
      <c r="AW142" s="64">
        <f>Z142/Demand!AU160</f>
        <v/>
      </c>
      <c r="AX142" s="64">
        <f>AA142/Demand!AV160</f>
        <v/>
      </c>
      <c r="AY142" s="64">
        <f>AB142/Demand!AW160</f>
        <v/>
      </c>
      <c r="BG142" s="64" t="n">
        <v>147</v>
      </c>
      <c r="BH142" s="64">
        <f>Results!$B$19+AJ142-Results!$D$21</f>
        <v/>
      </c>
      <c r="BI142" s="64">
        <f>Results!$B$19+AK142-Results!$D$21</f>
        <v/>
      </c>
      <c r="BJ142" s="64">
        <f>Results!$B$19+AL142-Results!$D$21</f>
        <v/>
      </c>
      <c r="BM142" s="64" t="n">
        <v>147</v>
      </c>
      <c r="BN142" s="64">
        <f>Results!D157</f>
        <v/>
      </c>
      <c r="BO142" s="64">
        <f>Results!E157</f>
        <v/>
      </c>
      <c r="BP142" s="64">
        <f>Results!F157</f>
        <v/>
      </c>
      <c r="BS142" s="64" t="n">
        <v>147</v>
      </c>
      <c r="BT142" s="64">
        <f>Demand!AU160</f>
        <v/>
      </c>
      <c r="BU142" s="64">
        <f>Demand!AV160</f>
        <v/>
      </c>
      <c r="BV142" s="64">
        <f>Demand!AW160</f>
        <v/>
      </c>
      <c r="BY142" s="64" t="n">
        <v>147</v>
      </c>
      <c r="BZ142" s="64">
        <f>Retailers_Cap!N143</f>
        <v/>
      </c>
      <c r="CA142" s="64">
        <f>Retailers_Cap!O143</f>
        <v/>
      </c>
      <c r="CB142" s="64">
        <f>Retailers_Cap!P143</f>
        <v/>
      </c>
      <c r="CD142" s="64" t="n">
        <v>147</v>
      </c>
      <c r="CE142" s="64">
        <f>IF((BT142-BZ142)&gt;=0,"Dem","Folga")</f>
        <v/>
      </c>
      <c r="CF142" s="64">
        <f>IF((BU142-CA142)&gt;=0,"Dem","Folga")</f>
        <v/>
      </c>
      <c r="CG142" s="64">
        <f>IF((BV142-CB142)&gt;=0,"Dem","Folga")</f>
        <v/>
      </c>
    </row>
    <row r="143">
      <c r="M143" s="64">
        <f>TRUNC((_xlfn.NORM.INV((RAND()),$L$6,$L$7)),2)</f>
        <v/>
      </c>
      <c r="O143" s="64" t="n">
        <v>148</v>
      </c>
      <c r="P143" s="5" t="n">
        <v>199</v>
      </c>
      <c r="Q143" s="5" t="n">
        <v>95.03</v>
      </c>
      <c r="R143" s="5" t="n">
        <v>174.67</v>
      </c>
      <c r="W143" s="64">
        <f>TRUNC((_xlfn.NORM.INV((RAND()),$V$6,$V$7)),3)</f>
        <v/>
      </c>
      <c r="Y143" s="64" t="n">
        <v>148</v>
      </c>
      <c r="Z143" s="5" t="n">
        <v>6.799</v>
      </c>
      <c r="AA143" s="5" t="n">
        <v>6.767</v>
      </c>
      <c r="AB143" s="5" t="n">
        <v>6.784</v>
      </c>
      <c r="AG143" s="64">
        <f>TRUNC((_xlfn.NORM.INV((RAND()),$AF$6,$AF$7)),3)</f>
        <v/>
      </c>
      <c r="AI143" s="64" t="n">
        <v>148</v>
      </c>
      <c r="AJ143" s="5" t="n">
        <v>44.197</v>
      </c>
      <c r="AK143" s="5" t="n">
        <v>62.191</v>
      </c>
      <c r="AL143" s="5" t="n">
        <v>39.225</v>
      </c>
      <c r="AR143" s="64" t="n">
        <v>148</v>
      </c>
      <c r="AS143" s="5" t="n">
        <v>5.983975739827139</v>
      </c>
      <c r="AT143" s="5" t="n">
        <v>0</v>
      </c>
      <c r="AU143" s="5" t="n">
        <v>0</v>
      </c>
      <c r="AW143" s="64">
        <f>Z143/Demand!AU161</f>
        <v/>
      </c>
      <c r="AX143" s="64">
        <f>AA143/Demand!AV161</f>
        <v/>
      </c>
      <c r="AY143" s="64">
        <f>AB143/Demand!AW161</f>
        <v/>
      </c>
      <c r="BG143" s="64" t="n">
        <v>148</v>
      </c>
      <c r="BH143" s="64">
        <f>Results!$B$19+AJ143-Results!$D$21</f>
        <v/>
      </c>
      <c r="BI143" s="64">
        <f>Results!$B$19+AK143-Results!$D$21</f>
        <v/>
      </c>
      <c r="BJ143" s="64">
        <f>Results!$B$19+AL143-Results!$D$21</f>
        <v/>
      </c>
      <c r="BM143" s="64" t="n">
        <v>148</v>
      </c>
      <c r="BN143" s="64">
        <f>Results!D158</f>
        <v/>
      </c>
      <c r="BO143" s="64">
        <f>Results!E158</f>
        <v/>
      </c>
      <c r="BP143" s="64">
        <f>Results!F158</f>
        <v/>
      </c>
      <c r="BS143" s="64" t="n">
        <v>148</v>
      </c>
      <c r="BT143" s="64">
        <f>Demand!AU161</f>
        <v/>
      </c>
      <c r="BU143" s="64">
        <f>Demand!AV161</f>
        <v/>
      </c>
      <c r="BV143" s="64">
        <f>Demand!AW161</f>
        <v/>
      </c>
      <c r="BY143" s="64" t="n">
        <v>148</v>
      </c>
      <c r="BZ143" s="64">
        <f>Retailers_Cap!N144</f>
        <v/>
      </c>
      <c r="CA143" s="64">
        <f>Retailers_Cap!O144</f>
        <v/>
      </c>
      <c r="CB143" s="64">
        <f>Retailers_Cap!P144</f>
        <v/>
      </c>
      <c r="CD143" s="64" t="n">
        <v>148</v>
      </c>
      <c r="CE143" s="64">
        <f>IF((BT143-BZ143)&gt;=0,"Dem","Folga")</f>
        <v/>
      </c>
      <c r="CF143" s="64">
        <f>IF((BU143-CA143)&gt;=0,"Dem","Folga")</f>
        <v/>
      </c>
      <c r="CG143" s="64">
        <f>IF((BV143-CB143)&gt;=0,"Dem","Folga")</f>
        <v/>
      </c>
    </row>
    <row r="144">
      <c r="M144" s="64">
        <f>TRUNC((_xlfn.NORM.INV((RAND()),$L$6,$L$7)),2)</f>
        <v/>
      </c>
      <c r="O144" s="64" t="n">
        <v>149</v>
      </c>
      <c r="P144" s="5" t="n">
        <v>195.4</v>
      </c>
      <c r="Q144" s="5" t="n">
        <v>212.72</v>
      </c>
      <c r="R144" s="5" t="n">
        <v>237.69</v>
      </c>
      <c r="W144" s="64">
        <f>TRUNC((_xlfn.NORM.INV((RAND()),$V$6,$V$7)),3)</f>
        <v/>
      </c>
      <c r="Y144" s="64" t="n">
        <v>149</v>
      </c>
      <c r="Z144" s="5" t="n">
        <v>6.937</v>
      </c>
      <c r="AA144" s="5" t="n">
        <v>6.774</v>
      </c>
      <c r="AB144" s="5" t="n">
        <v>6.66</v>
      </c>
      <c r="AG144" s="64">
        <f>TRUNC((_xlfn.NORM.INV((RAND()),$AF$6,$AF$7)),3)</f>
        <v/>
      </c>
      <c r="AI144" s="64" t="n">
        <v>149</v>
      </c>
      <c r="AJ144" s="5" t="n">
        <v>65.712</v>
      </c>
      <c r="AK144" s="5" t="n">
        <v>58.954</v>
      </c>
      <c r="AL144" s="5" t="n">
        <v>59.24</v>
      </c>
      <c r="AR144" s="64" t="n">
        <v>149</v>
      </c>
      <c r="AS144" s="5" t="n">
        <v>15.67899185939884</v>
      </c>
      <c r="AT144" s="5" t="n">
        <v>0</v>
      </c>
      <c r="AU144" s="5" t="n">
        <v>4.028711929214877</v>
      </c>
      <c r="AW144" s="64">
        <f>Z144/Demand!AU162</f>
        <v/>
      </c>
      <c r="AX144" s="64">
        <f>AA144/Demand!AV162</f>
        <v/>
      </c>
      <c r="AY144" s="64">
        <f>AB144/Demand!AW162</f>
        <v/>
      </c>
      <c r="BG144" s="64" t="n">
        <v>149</v>
      </c>
      <c r="BH144" s="64">
        <f>Results!$B$19+AJ144-Results!$D$21</f>
        <v/>
      </c>
      <c r="BI144" s="64">
        <f>Results!$B$19+AK144-Results!$D$21</f>
        <v/>
      </c>
      <c r="BJ144" s="64">
        <f>Results!$B$19+AL144-Results!$D$21</f>
        <v/>
      </c>
      <c r="BM144" s="64" t="n">
        <v>149</v>
      </c>
      <c r="BN144" s="64">
        <f>Results!D159</f>
        <v/>
      </c>
      <c r="BO144" s="64">
        <f>Results!E159</f>
        <v/>
      </c>
      <c r="BP144" s="64">
        <f>Results!F159</f>
        <v/>
      </c>
      <c r="BS144" s="64" t="n">
        <v>149</v>
      </c>
      <c r="BT144" s="64">
        <f>Demand!AU162</f>
        <v/>
      </c>
      <c r="BU144" s="64">
        <f>Demand!AV162</f>
        <v/>
      </c>
      <c r="BV144" s="64">
        <f>Demand!AW162</f>
        <v/>
      </c>
      <c r="BY144" s="64" t="n">
        <v>149</v>
      </c>
      <c r="BZ144" s="64">
        <f>Retailers_Cap!N145</f>
        <v/>
      </c>
      <c r="CA144" s="64">
        <f>Retailers_Cap!O145</f>
        <v/>
      </c>
      <c r="CB144" s="64">
        <f>Retailers_Cap!P145</f>
        <v/>
      </c>
      <c r="CD144" s="64" t="n">
        <v>149</v>
      </c>
      <c r="CE144" s="64">
        <f>IF((BT144-BZ144)&gt;=0,"Dem","Folga")</f>
        <v/>
      </c>
      <c r="CF144" s="64">
        <f>IF((BU144-CA144)&gt;=0,"Dem","Folga")</f>
        <v/>
      </c>
      <c r="CG144" s="64">
        <f>IF((BV144-CB144)&gt;=0,"Dem","Folga")</f>
        <v/>
      </c>
    </row>
    <row r="145">
      <c r="M145" s="64">
        <f>TRUNC((_xlfn.NORM.INV((RAND()),$L$6,$L$7)),2)</f>
        <v/>
      </c>
      <c r="O145" s="64" t="n">
        <v>150</v>
      </c>
      <c r="P145" s="5" t="n">
        <v>316.98</v>
      </c>
      <c r="Q145" s="5" t="n">
        <v>202.08</v>
      </c>
      <c r="R145" s="5" t="n">
        <v>293.74</v>
      </c>
      <c r="W145" s="64">
        <f>TRUNC((_xlfn.NORM.INV((RAND()),$V$6,$V$7)),3)</f>
        <v/>
      </c>
      <c r="Y145" s="64" t="n">
        <v>150</v>
      </c>
      <c r="Z145" s="5" t="n">
        <v>6.78</v>
      </c>
      <c r="AA145" s="5" t="n">
        <v>6.739</v>
      </c>
      <c r="AB145" s="5" t="n">
        <v>6.688</v>
      </c>
      <c r="AG145" s="64">
        <f>TRUNC((_xlfn.NORM.INV((RAND()),$AF$6,$AF$7)),3)</f>
        <v/>
      </c>
      <c r="AI145" s="64" t="n">
        <v>150</v>
      </c>
      <c r="AJ145" s="5" t="n">
        <v>59.492</v>
      </c>
      <c r="AK145" s="5" t="n">
        <v>58.161</v>
      </c>
      <c r="AL145" s="5" t="n">
        <v>69.736</v>
      </c>
      <c r="AR145" s="64" t="n">
        <v>150</v>
      </c>
      <c r="AS145" s="5" t="n">
        <v>0</v>
      </c>
      <c r="AT145" s="5" t="n">
        <v>0</v>
      </c>
      <c r="AU145" s="5" t="n">
        <v>3.081047321391149</v>
      </c>
      <c r="AW145" s="64">
        <f>Z145/Demand!AU163</f>
        <v/>
      </c>
      <c r="AX145" s="64">
        <f>AA145/Demand!AV163</f>
        <v/>
      </c>
      <c r="AY145" s="64">
        <f>AB145/Demand!AW163</f>
        <v/>
      </c>
      <c r="BG145" s="64" t="n">
        <v>150</v>
      </c>
      <c r="BH145" s="64">
        <f>Results!$B$19+AJ145-Results!$D$21</f>
        <v/>
      </c>
      <c r="BI145" s="64">
        <f>Results!$B$19+AK145-Results!$D$21</f>
        <v/>
      </c>
      <c r="BJ145" s="64">
        <f>Results!$B$19+AL145-Results!$D$21</f>
        <v/>
      </c>
      <c r="BM145" s="64" t="n">
        <v>150</v>
      </c>
      <c r="BN145" s="64">
        <f>Results!D160</f>
        <v/>
      </c>
      <c r="BO145" s="64">
        <f>Results!E160</f>
        <v/>
      </c>
      <c r="BP145" s="64">
        <f>Results!F160</f>
        <v/>
      </c>
      <c r="BS145" s="64" t="n">
        <v>150</v>
      </c>
      <c r="BT145" s="64">
        <f>Demand!AU163</f>
        <v/>
      </c>
      <c r="BU145" s="64">
        <f>Demand!AV163</f>
        <v/>
      </c>
      <c r="BV145" s="64">
        <f>Demand!AW163</f>
        <v/>
      </c>
      <c r="BY145" s="64" t="n">
        <v>150</v>
      </c>
      <c r="BZ145" s="64">
        <f>Retailers_Cap!N146</f>
        <v/>
      </c>
      <c r="CA145" s="64">
        <f>Retailers_Cap!O146</f>
        <v/>
      </c>
      <c r="CB145" s="64">
        <f>Retailers_Cap!P146</f>
        <v/>
      </c>
      <c r="CD145" s="64" t="n">
        <v>150</v>
      </c>
      <c r="CE145" s="64">
        <f>IF((BT145-BZ145)&gt;=0,"Dem","Folga")</f>
        <v/>
      </c>
      <c r="CF145" s="64">
        <f>IF((BU145-CA145)&gt;=0,"Dem","Folga")</f>
        <v/>
      </c>
      <c r="CG145" s="64">
        <f>IF((BV145-CB145)&gt;=0,"Dem","Folga")</f>
        <v/>
      </c>
    </row>
    <row r="146">
      <c r="M146" s="64">
        <f>TRUNC((_xlfn.NORM.INV((RAND()),$L$6,$L$7)),2)</f>
        <v/>
      </c>
      <c r="O146" s="64" t="n">
        <v>151</v>
      </c>
      <c r="P146" s="5" t="n">
        <v>204.07</v>
      </c>
      <c r="Q146" s="5" t="n">
        <v>192.63</v>
      </c>
      <c r="R146" s="5" t="n">
        <v>212.03</v>
      </c>
      <c r="W146" s="64">
        <f>TRUNC((_xlfn.NORM.INV((RAND()),$V$6,$V$7)),3)</f>
        <v/>
      </c>
      <c r="Y146" s="64" t="n">
        <v>151</v>
      </c>
      <c r="Z146" s="5" t="n">
        <v>6.86</v>
      </c>
      <c r="AA146" s="5" t="n">
        <v>6.749</v>
      </c>
      <c r="AB146" s="5" t="n">
        <v>6.785</v>
      </c>
      <c r="AG146" s="64">
        <f>TRUNC((_xlfn.NORM.INV((RAND()),$AF$6,$AF$7)),3)</f>
        <v/>
      </c>
      <c r="AI146" s="64" t="n">
        <v>151</v>
      </c>
      <c r="AJ146" s="5" t="n">
        <v>67.889</v>
      </c>
      <c r="AK146" s="5" t="n">
        <v>56.829</v>
      </c>
      <c r="AL146" s="5" t="n">
        <v>52.156</v>
      </c>
      <c r="AR146" s="64" t="n">
        <v>151</v>
      </c>
      <c r="AS146" s="5" t="n">
        <v>0</v>
      </c>
      <c r="AT146" s="5" t="n">
        <v>0</v>
      </c>
      <c r="AU146" s="5" t="n">
        <v>0</v>
      </c>
      <c r="AW146" s="64">
        <f>Z146/Demand!AU164</f>
        <v/>
      </c>
      <c r="AX146" s="64">
        <f>AA146/Demand!AV164</f>
        <v/>
      </c>
      <c r="AY146" s="64">
        <f>AB146/Demand!AW164</f>
        <v/>
      </c>
      <c r="BG146" s="64" t="n">
        <v>151</v>
      </c>
      <c r="BH146" s="64">
        <f>Results!$B$19+AJ146-Results!$D$21</f>
        <v/>
      </c>
      <c r="BI146" s="64">
        <f>Results!$B$19+AK146-Results!$D$21</f>
        <v/>
      </c>
      <c r="BJ146" s="64">
        <f>Results!$B$19+AL146-Results!$D$21</f>
        <v/>
      </c>
      <c r="BM146" s="64" t="n">
        <v>151</v>
      </c>
      <c r="BN146" s="64">
        <f>Results!D161</f>
        <v/>
      </c>
      <c r="BO146" s="64">
        <f>Results!E161</f>
        <v/>
      </c>
      <c r="BP146" s="64">
        <f>Results!F161</f>
        <v/>
      </c>
      <c r="BS146" s="64" t="n">
        <v>151</v>
      </c>
      <c r="BT146" s="64">
        <f>Demand!AU164</f>
        <v/>
      </c>
      <c r="BU146" s="64">
        <f>Demand!AV164</f>
        <v/>
      </c>
      <c r="BV146" s="64">
        <f>Demand!AW164</f>
        <v/>
      </c>
      <c r="BY146" s="64" t="n">
        <v>151</v>
      </c>
      <c r="BZ146" s="64">
        <f>Retailers_Cap!N147</f>
        <v/>
      </c>
      <c r="CA146" s="64">
        <f>Retailers_Cap!O147</f>
        <v/>
      </c>
      <c r="CB146" s="64">
        <f>Retailers_Cap!P147</f>
        <v/>
      </c>
      <c r="CD146" s="64" t="n">
        <v>151</v>
      </c>
      <c r="CE146" s="64">
        <f>IF((BT146-BZ146)&gt;=0,"Dem","Folga")</f>
        <v/>
      </c>
      <c r="CF146" s="64">
        <f>IF((BU146-CA146)&gt;=0,"Dem","Folga")</f>
        <v/>
      </c>
      <c r="CG146" s="64">
        <f>IF((BV146-CB146)&gt;=0,"Dem","Folga")</f>
        <v/>
      </c>
    </row>
    <row r="147">
      <c r="M147" s="64">
        <f>TRUNC((_xlfn.NORM.INV((RAND()),$L$6,$L$7)),2)</f>
        <v/>
      </c>
      <c r="O147" s="64" t="n">
        <v>152</v>
      </c>
      <c r="P147" s="5" t="n">
        <v>190.14</v>
      </c>
      <c r="Q147" s="5" t="n">
        <v>230.04</v>
      </c>
      <c r="R147" s="5" t="n">
        <v>212.14</v>
      </c>
      <c r="W147" s="64">
        <f>TRUNC((_xlfn.NORM.INV((RAND()),$V$6,$V$7)),3)</f>
        <v/>
      </c>
      <c r="Y147" s="64" t="n">
        <v>152</v>
      </c>
      <c r="Z147" s="5" t="n">
        <v>6.786</v>
      </c>
      <c r="AA147" s="5" t="n">
        <v>6.827</v>
      </c>
      <c r="AB147" s="5" t="n">
        <v>6.804</v>
      </c>
      <c r="AG147" s="64">
        <f>TRUNC((_xlfn.NORM.INV((RAND()),$AF$6,$AF$7)),3)</f>
        <v/>
      </c>
      <c r="AI147" s="64" t="n">
        <v>152</v>
      </c>
      <c r="AJ147" s="5" t="n">
        <v>61.733</v>
      </c>
      <c r="AK147" s="5" t="n">
        <v>56.835</v>
      </c>
      <c r="AL147" s="5" t="n">
        <v>60.962</v>
      </c>
      <c r="AR147" s="64" t="n">
        <v>152</v>
      </c>
      <c r="AS147" s="5" t="n">
        <v>33.96165607339274</v>
      </c>
      <c r="AT147" s="5" t="n">
        <v>0</v>
      </c>
      <c r="AU147" s="5" t="n">
        <v>0</v>
      </c>
      <c r="AW147" s="64">
        <f>Z147/Demand!AU165</f>
        <v/>
      </c>
      <c r="AX147" s="64">
        <f>AA147/Demand!AV165</f>
        <v/>
      </c>
      <c r="AY147" s="64">
        <f>AB147/Demand!AW165</f>
        <v/>
      </c>
      <c r="BG147" s="64" t="n">
        <v>152</v>
      </c>
      <c r="BH147" s="64">
        <f>Results!$B$19+AJ147-Results!$D$21</f>
        <v/>
      </c>
      <c r="BI147" s="64">
        <f>Results!$B$19+AK147-Results!$D$21</f>
        <v/>
      </c>
      <c r="BJ147" s="64">
        <f>Results!$B$19+AL147-Results!$D$21</f>
        <v/>
      </c>
      <c r="BM147" s="64" t="n">
        <v>152</v>
      </c>
      <c r="BN147" s="64">
        <f>Results!D162</f>
        <v/>
      </c>
      <c r="BO147" s="64">
        <f>Results!E162</f>
        <v/>
      </c>
      <c r="BP147" s="64">
        <f>Results!F162</f>
        <v/>
      </c>
      <c r="BS147" s="64" t="n">
        <v>152</v>
      </c>
      <c r="BT147" s="64">
        <f>Demand!AU165</f>
        <v/>
      </c>
      <c r="BU147" s="64">
        <f>Demand!AV165</f>
        <v/>
      </c>
      <c r="BV147" s="64">
        <f>Demand!AW165</f>
        <v/>
      </c>
      <c r="BY147" s="64" t="n">
        <v>152</v>
      </c>
      <c r="BZ147" s="64">
        <f>Retailers_Cap!N148</f>
        <v/>
      </c>
      <c r="CA147" s="64">
        <f>Retailers_Cap!O148</f>
        <v/>
      </c>
      <c r="CB147" s="64">
        <f>Retailers_Cap!P148</f>
        <v/>
      </c>
      <c r="CD147" s="64" t="n">
        <v>152</v>
      </c>
      <c r="CE147" s="64">
        <f>IF((BT147-BZ147)&gt;=0,"Dem","Folga")</f>
        <v/>
      </c>
      <c r="CF147" s="64">
        <f>IF((BU147-CA147)&gt;=0,"Dem","Folga")</f>
        <v/>
      </c>
      <c r="CG147" s="64">
        <f>IF((BV147-CB147)&gt;=0,"Dem","Folga")</f>
        <v/>
      </c>
    </row>
    <row r="148">
      <c r="M148" s="64">
        <f>TRUNC((_xlfn.NORM.INV((RAND()),$L$6,$L$7)),2)</f>
        <v/>
      </c>
      <c r="O148" s="64" t="n">
        <v>153</v>
      </c>
      <c r="P148" s="5" t="n">
        <v>169.08</v>
      </c>
      <c r="Q148" s="5" t="n">
        <v>211.57</v>
      </c>
      <c r="R148" s="5" t="n">
        <v>251.16</v>
      </c>
      <c r="W148" s="64">
        <f>TRUNC((_xlfn.NORM.INV((RAND()),$V$6,$V$7)),3)</f>
        <v/>
      </c>
      <c r="Y148" s="64" t="n">
        <v>153</v>
      </c>
      <c r="Z148" s="5" t="n">
        <v>6.719</v>
      </c>
      <c r="AA148" s="5" t="n">
        <v>6.707</v>
      </c>
      <c r="AB148" s="5" t="n">
        <v>6.875</v>
      </c>
      <c r="AG148" s="64">
        <f>TRUNC((_xlfn.NORM.INV((RAND()),$AF$6,$AF$7)),3)</f>
        <v/>
      </c>
      <c r="AI148" s="64" t="n">
        <v>153</v>
      </c>
      <c r="AJ148" s="5" t="n">
        <v>53.804</v>
      </c>
      <c r="AK148" s="5" t="n">
        <v>71.146</v>
      </c>
      <c r="AL148" s="5" t="n">
        <v>45.06</v>
      </c>
      <c r="AR148" s="64" t="n">
        <v>153</v>
      </c>
      <c r="AS148" s="5" t="n">
        <v>0</v>
      </c>
      <c r="AT148" s="5" t="n">
        <v>0</v>
      </c>
      <c r="AU148" s="5" t="n">
        <v>0</v>
      </c>
      <c r="AW148" s="64">
        <f>Z148/Demand!AU166</f>
        <v/>
      </c>
      <c r="AX148" s="64">
        <f>AA148/Demand!AV166</f>
        <v/>
      </c>
      <c r="AY148" s="64">
        <f>AB148/Demand!AW166</f>
        <v/>
      </c>
      <c r="BG148" s="64" t="n">
        <v>153</v>
      </c>
      <c r="BH148" s="64">
        <f>Results!$B$19+AJ148-Results!$D$21</f>
        <v/>
      </c>
      <c r="BI148" s="64">
        <f>Results!$B$19+AK148-Results!$D$21</f>
        <v/>
      </c>
      <c r="BJ148" s="64">
        <f>Results!$B$19+AL148-Results!$D$21</f>
        <v/>
      </c>
      <c r="BM148" s="64" t="n">
        <v>153</v>
      </c>
      <c r="BN148" s="64">
        <f>Results!D163</f>
        <v/>
      </c>
      <c r="BO148" s="64">
        <f>Results!E163</f>
        <v/>
      </c>
      <c r="BP148" s="64">
        <f>Results!F163</f>
        <v/>
      </c>
      <c r="BS148" s="64" t="n">
        <v>153</v>
      </c>
      <c r="BT148" s="64">
        <f>Demand!AU166</f>
        <v/>
      </c>
      <c r="BU148" s="64">
        <f>Demand!AV166</f>
        <v/>
      </c>
      <c r="BV148" s="64">
        <f>Demand!AW166</f>
        <v/>
      </c>
      <c r="BY148" s="64" t="n">
        <v>153</v>
      </c>
      <c r="BZ148" s="64">
        <f>Retailers_Cap!N149</f>
        <v/>
      </c>
      <c r="CA148" s="64">
        <f>Retailers_Cap!O149</f>
        <v/>
      </c>
      <c r="CB148" s="64">
        <f>Retailers_Cap!P149</f>
        <v/>
      </c>
      <c r="CD148" s="64" t="n">
        <v>153</v>
      </c>
      <c r="CE148" s="64">
        <f>IF((BT148-BZ148)&gt;=0,"Dem","Folga")</f>
        <v/>
      </c>
      <c r="CF148" s="64">
        <f>IF((BU148-CA148)&gt;=0,"Dem","Folga")</f>
        <v/>
      </c>
      <c r="CG148" s="64">
        <f>IF((BV148-CB148)&gt;=0,"Dem","Folga")</f>
        <v/>
      </c>
    </row>
    <row r="149">
      <c r="M149" s="64">
        <f>TRUNC((_xlfn.NORM.INV((RAND()),$L$6,$L$7)),2)</f>
        <v/>
      </c>
      <c r="O149" s="64" t="n">
        <v>154</v>
      </c>
      <c r="P149" s="5" t="n">
        <v>215.11</v>
      </c>
      <c r="Q149" s="5" t="n">
        <v>207.52</v>
      </c>
      <c r="R149" s="5" t="n">
        <v>220.34</v>
      </c>
      <c r="W149" s="64">
        <f>TRUNC((_xlfn.NORM.INV((RAND()),$V$6,$V$7)),3)</f>
        <v/>
      </c>
      <c r="Y149" s="64" t="n">
        <v>154</v>
      </c>
      <c r="Z149" s="5" t="n">
        <v>6.813</v>
      </c>
      <c r="AA149" s="5" t="n">
        <v>6.695</v>
      </c>
      <c r="AB149" s="5" t="n">
        <v>6.72</v>
      </c>
      <c r="AG149" s="64">
        <f>TRUNC((_xlfn.NORM.INV((RAND()),$AF$6,$AF$7)),3)</f>
        <v/>
      </c>
      <c r="AI149" s="64" t="n">
        <v>154</v>
      </c>
      <c r="AJ149" s="5" t="n">
        <v>81.836</v>
      </c>
      <c r="AK149" s="5" t="n">
        <v>69.60299999999999</v>
      </c>
      <c r="AL149" s="5" t="n">
        <v>79.04600000000001</v>
      </c>
      <c r="AR149" s="64" t="n">
        <v>154</v>
      </c>
      <c r="AS149" s="5" t="n">
        <v>0</v>
      </c>
      <c r="AT149" s="5" t="n">
        <v>32.12830278405588</v>
      </c>
      <c r="AU149" s="5" t="n">
        <v>27.22365422145908</v>
      </c>
      <c r="AW149" s="64">
        <f>Z149/Demand!AU167</f>
        <v/>
      </c>
      <c r="AX149" s="64">
        <f>AA149/Demand!AV167</f>
        <v/>
      </c>
      <c r="AY149" s="64">
        <f>AB149/Demand!AW167</f>
        <v/>
      </c>
      <c r="BG149" s="64" t="n">
        <v>154</v>
      </c>
      <c r="BH149" s="64">
        <f>Results!$B$19+AJ149-Results!$D$21</f>
        <v/>
      </c>
      <c r="BI149" s="64">
        <f>Results!$B$19+AK149-Results!$D$21</f>
        <v/>
      </c>
      <c r="BJ149" s="64">
        <f>Results!$B$19+AL149-Results!$D$21</f>
        <v/>
      </c>
      <c r="BM149" s="64" t="n">
        <v>154</v>
      </c>
      <c r="BN149" s="64">
        <f>Results!D164</f>
        <v/>
      </c>
      <c r="BO149" s="64">
        <f>Results!E164</f>
        <v/>
      </c>
      <c r="BP149" s="64">
        <f>Results!F164</f>
        <v/>
      </c>
      <c r="BS149" s="64" t="n">
        <v>154</v>
      </c>
      <c r="BT149" s="64">
        <f>Demand!AU167</f>
        <v/>
      </c>
      <c r="BU149" s="64">
        <f>Demand!AV167</f>
        <v/>
      </c>
      <c r="BV149" s="64">
        <f>Demand!AW167</f>
        <v/>
      </c>
      <c r="BY149" s="64" t="n">
        <v>154</v>
      </c>
      <c r="BZ149" s="64">
        <f>Retailers_Cap!N150</f>
        <v/>
      </c>
      <c r="CA149" s="64">
        <f>Retailers_Cap!O150</f>
        <v/>
      </c>
      <c r="CB149" s="64">
        <f>Retailers_Cap!P150</f>
        <v/>
      </c>
      <c r="CD149" s="64" t="n">
        <v>154</v>
      </c>
      <c r="CE149" s="64">
        <f>IF((BT149-BZ149)&gt;=0,"Dem","Folga")</f>
        <v/>
      </c>
      <c r="CF149" s="64">
        <f>IF((BU149-CA149)&gt;=0,"Dem","Folga")</f>
        <v/>
      </c>
      <c r="CG149" s="64">
        <f>IF((BV149-CB149)&gt;=0,"Dem","Folga")</f>
        <v/>
      </c>
    </row>
    <row r="150">
      <c r="M150" s="64">
        <f>TRUNC((_xlfn.NORM.INV((RAND()),$L$6,$L$7)),2)</f>
        <v/>
      </c>
      <c r="O150" s="64" t="n">
        <v>155</v>
      </c>
      <c r="P150" s="5" t="n">
        <v>305.86</v>
      </c>
      <c r="Q150" s="5" t="n">
        <v>262.69</v>
      </c>
      <c r="R150" s="5" t="n">
        <v>242.32</v>
      </c>
      <c r="W150" s="64">
        <f>TRUNC((_xlfn.NORM.INV((RAND()),$V$6,$V$7)),3)</f>
        <v/>
      </c>
      <c r="Y150" s="64" t="n">
        <v>155</v>
      </c>
      <c r="Z150" s="5" t="n">
        <v>6.717</v>
      </c>
      <c r="AA150" s="5" t="n">
        <v>6.641</v>
      </c>
      <c r="AB150" s="5" t="n">
        <v>6.763</v>
      </c>
      <c r="AG150" s="64">
        <f>TRUNC((_xlfn.NORM.INV((RAND()),$AF$6,$AF$7)),3)</f>
        <v/>
      </c>
      <c r="AI150" s="64" t="n">
        <v>155</v>
      </c>
      <c r="AJ150" s="5" t="n">
        <v>69.47</v>
      </c>
      <c r="AK150" s="5" t="n">
        <v>55.503</v>
      </c>
      <c r="AL150" s="5" t="n">
        <v>66.381</v>
      </c>
      <c r="AR150" s="64" t="n">
        <v>155</v>
      </c>
      <c r="AS150" s="5" t="n">
        <v>0</v>
      </c>
      <c r="AT150" s="5" t="n">
        <v>0</v>
      </c>
      <c r="AU150" s="5" t="n">
        <v>18.87215888803287</v>
      </c>
      <c r="AW150" s="64">
        <f>Z150/Demand!AU168</f>
        <v/>
      </c>
      <c r="AX150" s="64">
        <f>AA150/Demand!AV168</f>
        <v/>
      </c>
      <c r="AY150" s="64">
        <f>AB150/Demand!AW168</f>
        <v/>
      </c>
      <c r="BG150" s="64" t="n">
        <v>155</v>
      </c>
      <c r="BH150" s="64">
        <f>Results!$B$19+AJ150-Results!$D$21</f>
        <v/>
      </c>
      <c r="BI150" s="64">
        <f>Results!$B$19+AK150-Results!$D$21</f>
        <v/>
      </c>
      <c r="BJ150" s="64">
        <f>Results!$B$19+AL150-Results!$D$21</f>
        <v/>
      </c>
      <c r="BM150" s="64" t="n">
        <v>155</v>
      </c>
      <c r="BN150" s="64">
        <f>Results!D165</f>
        <v/>
      </c>
      <c r="BO150" s="64">
        <f>Results!E165</f>
        <v/>
      </c>
      <c r="BP150" s="64">
        <f>Results!F165</f>
        <v/>
      </c>
      <c r="BS150" s="64" t="n">
        <v>155</v>
      </c>
      <c r="BT150" s="64">
        <f>Demand!AU168</f>
        <v/>
      </c>
      <c r="BU150" s="64">
        <f>Demand!AV168</f>
        <v/>
      </c>
      <c r="BV150" s="64">
        <f>Demand!AW168</f>
        <v/>
      </c>
      <c r="BY150" s="64" t="n">
        <v>155</v>
      </c>
      <c r="BZ150" s="64">
        <f>Retailers_Cap!N151</f>
        <v/>
      </c>
      <c r="CA150" s="64">
        <f>Retailers_Cap!O151</f>
        <v/>
      </c>
      <c r="CB150" s="64">
        <f>Retailers_Cap!P151</f>
        <v/>
      </c>
      <c r="CD150" s="64" t="n">
        <v>155</v>
      </c>
      <c r="CE150" s="64">
        <f>IF((BT150-BZ150)&gt;=0,"Dem","Folga")</f>
        <v/>
      </c>
      <c r="CF150" s="64">
        <f>IF((BU150-CA150)&gt;=0,"Dem","Folga")</f>
        <v/>
      </c>
      <c r="CG150" s="64">
        <f>IF((BV150-CB150)&gt;=0,"Dem","Folga")</f>
        <v/>
      </c>
    </row>
    <row r="151">
      <c r="M151" s="64">
        <f>TRUNC((_xlfn.NORM.INV((RAND()),$L$6,$L$7)),2)</f>
        <v/>
      </c>
      <c r="O151" s="64" t="n">
        <v>156</v>
      </c>
      <c r="P151" s="5" t="n">
        <v>207.58</v>
      </c>
      <c r="Q151" s="5" t="n">
        <v>177.16</v>
      </c>
      <c r="R151" s="5" t="n">
        <v>147.72</v>
      </c>
      <c r="W151" s="64">
        <f>TRUNC((_xlfn.NORM.INV((RAND()),$V$6,$V$7)),3)</f>
        <v/>
      </c>
      <c r="Y151" s="64" t="n">
        <v>156</v>
      </c>
      <c r="Z151" s="5" t="n">
        <v>6.81</v>
      </c>
      <c r="AA151" s="5" t="n">
        <v>6.657</v>
      </c>
      <c r="AB151" s="5" t="n">
        <v>6.816</v>
      </c>
      <c r="AG151" s="64">
        <f>TRUNC((_xlfn.NORM.INV((RAND()),$AF$6,$AF$7)),3)</f>
        <v/>
      </c>
      <c r="AI151" s="64" t="n">
        <v>156</v>
      </c>
      <c r="AJ151" s="5" t="n">
        <v>53.739</v>
      </c>
      <c r="AK151" s="5" t="n">
        <v>59.548</v>
      </c>
      <c r="AL151" s="5" t="n">
        <v>37.537</v>
      </c>
      <c r="AR151" s="64" t="n">
        <v>156</v>
      </c>
      <c r="AS151" s="5" t="n">
        <v>3.847664034602594</v>
      </c>
      <c r="AT151" s="5" t="n">
        <v>5.309450847174123</v>
      </c>
      <c r="AU151" s="5" t="n">
        <v>0</v>
      </c>
      <c r="AW151" s="64">
        <f>Z151/Demand!AU169</f>
        <v/>
      </c>
      <c r="AX151" s="64">
        <f>AA151/Demand!AV169</f>
        <v/>
      </c>
      <c r="AY151" s="64">
        <f>AB151/Demand!AW169</f>
        <v/>
      </c>
      <c r="BG151" s="64" t="n">
        <v>156</v>
      </c>
      <c r="BH151" s="64">
        <f>Results!$B$19+AJ151-Results!$D$21</f>
        <v/>
      </c>
      <c r="BI151" s="64">
        <f>Results!$B$19+AK151-Results!$D$21</f>
        <v/>
      </c>
      <c r="BJ151" s="64">
        <f>Results!$B$19+AL151-Results!$D$21</f>
        <v/>
      </c>
      <c r="BM151" s="64" t="n">
        <v>156</v>
      </c>
      <c r="BN151" s="64">
        <f>Results!D166</f>
        <v/>
      </c>
      <c r="BO151" s="64">
        <f>Results!E166</f>
        <v/>
      </c>
      <c r="BP151" s="64">
        <f>Results!F166</f>
        <v/>
      </c>
      <c r="BS151" s="64" t="n">
        <v>156</v>
      </c>
      <c r="BT151" s="64">
        <f>Demand!AU169</f>
        <v/>
      </c>
      <c r="BU151" s="64">
        <f>Demand!AV169</f>
        <v/>
      </c>
      <c r="BV151" s="64">
        <f>Demand!AW169</f>
        <v/>
      </c>
      <c r="BY151" s="64" t="n">
        <v>156</v>
      </c>
      <c r="BZ151" s="64">
        <f>Retailers_Cap!N152</f>
        <v/>
      </c>
      <c r="CA151" s="64">
        <f>Retailers_Cap!O152</f>
        <v/>
      </c>
      <c r="CB151" s="64">
        <f>Retailers_Cap!P152</f>
        <v/>
      </c>
      <c r="CD151" s="64" t="n">
        <v>156</v>
      </c>
      <c r="CE151" s="64">
        <f>IF((BT151-BZ151)&gt;=0,"Dem","Folga")</f>
        <v/>
      </c>
      <c r="CF151" s="64">
        <f>IF((BU151-CA151)&gt;=0,"Dem","Folga")</f>
        <v/>
      </c>
      <c r="CG151" s="64">
        <f>IF((BV151-CB151)&gt;=0,"Dem","Folga")</f>
        <v/>
      </c>
    </row>
    <row r="152">
      <c r="M152" s="64">
        <f>TRUNC((_xlfn.NORM.INV((RAND()),$L$6,$L$7)),2)</f>
        <v/>
      </c>
      <c r="O152" s="64" t="n">
        <v>157</v>
      </c>
      <c r="P152" s="5" t="n">
        <v>136.59</v>
      </c>
      <c r="Q152" s="5" t="n">
        <v>141.64</v>
      </c>
      <c r="R152" s="5" t="n">
        <v>176.4</v>
      </c>
      <c r="W152" s="64">
        <f>TRUNC((_xlfn.NORM.INV((RAND()),$V$6,$V$7)),3)</f>
        <v/>
      </c>
      <c r="Y152" s="64" t="n">
        <v>157</v>
      </c>
      <c r="Z152" s="5" t="n">
        <v>6.669</v>
      </c>
      <c r="AA152" s="5" t="n">
        <v>6.806</v>
      </c>
      <c r="AB152" s="5" t="n">
        <v>6.798</v>
      </c>
      <c r="AG152" s="64">
        <f>TRUNC((_xlfn.NORM.INV((RAND()),$AF$6,$AF$7)),3)</f>
        <v/>
      </c>
      <c r="AI152" s="64" t="n">
        <v>157</v>
      </c>
      <c r="AJ152" s="5" t="n">
        <v>60.445</v>
      </c>
      <c r="AK152" s="5" t="n">
        <v>74.61499999999999</v>
      </c>
      <c r="AL152" s="5" t="n">
        <v>63.054</v>
      </c>
      <c r="AR152" s="64" t="n">
        <v>157</v>
      </c>
      <c r="AS152" s="5" t="n">
        <v>0</v>
      </c>
      <c r="AT152" s="5" t="n">
        <v>7.722533263991464</v>
      </c>
      <c r="AU152" s="5" t="n">
        <v>19.05881387712077</v>
      </c>
      <c r="AW152" s="64">
        <f>Z152/Demand!AU170</f>
        <v/>
      </c>
      <c r="AX152" s="64">
        <f>AA152/Demand!AV170</f>
        <v/>
      </c>
      <c r="AY152" s="64">
        <f>AB152/Demand!AW170</f>
        <v/>
      </c>
      <c r="BG152" s="64" t="n">
        <v>157</v>
      </c>
      <c r="BH152" s="64">
        <f>Results!$B$19+AJ152-Results!$D$21</f>
        <v/>
      </c>
      <c r="BI152" s="64">
        <f>Results!$B$19+AK152-Results!$D$21</f>
        <v/>
      </c>
      <c r="BJ152" s="64">
        <f>Results!$B$19+AL152-Results!$D$21</f>
        <v/>
      </c>
      <c r="BM152" s="64" t="n">
        <v>157</v>
      </c>
      <c r="BN152" s="64">
        <f>Results!D167</f>
        <v/>
      </c>
      <c r="BO152" s="64">
        <f>Results!E167</f>
        <v/>
      </c>
      <c r="BP152" s="64">
        <f>Results!F167</f>
        <v/>
      </c>
      <c r="BS152" s="64" t="n">
        <v>157</v>
      </c>
      <c r="BT152" s="64">
        <f>Demand!AU170</f>
        <v/>
      </c>
      <c r="BU152" s="64">
        <f>Demand!AV170</f>
        <v/>
      </c>
      <c r="BV152" s="64">
        <f>Demand!AW170</f>
        <v/>
      </c>
      <c r="BY152" s="64" t="n">
        <v>157</v>
      </c>
      <c r="BZ152" s="64">
        <f>Retailers_Cap!N153</f>
        <v/>
      </c>
      <c r="CA152" s="64">
        <f>Retailers_Cap!O153</f>
        <v/>
      </c>
      <c r="CB152" s="64">
        <f>Retailers_Cap!P153</f>
        <v/>
      </c>
      <c r="CD152" s="64" t="n">
        <v>157</v>
      </c>
      <c r="CE152" s="64">
        <f>IF((BT152-BZ152)&gt;=0,"Dem","Folga")</f>
        <v/>
      </c>
      <c r="CF152" s="64">
        <f>IF((BU152-CA152)&gt;=0,"Dem","Folga")</f>
        <v/>
      </c>
      <c r="CG152" s="64">
        <f>IF((BV152-CB152)&gt;=0,"Dem","Folga")</f>
        <v/>
      </c>
    </row>
    <row r="153">
      <c r="M153" s="64">
        <f>TRUNC((_xlfn.NORM.INV((RAND()),$L$6,$L$7)),2)</f>
        <v/>
      </c>
      <c r="O153" s="64" t="n">
        <v>158</v>
      </c>
      <c r="P153" s="5" t="n">
        <v>155.78</v>
      </c>
      <c r="Q153" s="5" t="n">
        <v>188.53</v>
      </c>
      <c r="R153" s="5" t="n">
        <v>213.97</v>
      </c>
      <c r="W153" s="64">
        <f>TRUNC((_xlfn.NORM.INV((RAND()),$V$6,$V$7)),3)</f>
        <v/>
      </c>
      <c r="Y153" s="64" t="n">
        <v>158</v>
      </c>
      <c r="Z153" s="5" t="n">
        <v>6.737</v>
      </c>
      <c r="AA153" s="5" t="n">
        <v>6.787</v>
      </c>
      <c r="AB153" s="5" t="n">
        <v>6.726</v>
      </c>
      <c r="AG153" s="64">
        <f>TRUNC((_xlfn.NORM.INV((RAND()),$AF$6,$AF$7)),3)</f>
        <v/>
      </c>
      <c r="AI153" s="64" t="n">
        <v>158</v>
      </c>
      <c r="AJ153" s="5" t="n">
        <v>71.498</v>
      </c>
      <c r="AK153" s="5" t="n">
        <v>49.595</v>
      </c>
      <c r="AL153" s="5" t="n">
        <v>41.072</v>
      </c>
      <c r="AR153" s="64" t="n">
        <v>158</v>
      </c>
      <c r="AS153" s="5" t="n">
        <v>13.78973892433452</v>
      </c>
      <c r="AT153" s="5" t="n">
        <v>16.16153495036773</v>
      </c>
      <c r="AU153" s="5" t="n">
        <v>0</v>
      </c>
      <c r="AW153" s="64">
        <f>Z153/Demand!AU171</f>
        <v/>
      </c>
      <c r="AX153" s="64">
        <f>AA153/Demand!AV171</f>
        <v/>
      </c>
      <c r="AY153" s="64">
        <f>AB153/Demand!AW171</f>
        <v/>
      </c>
      <c r="BG153" s="64" t="n">
        <v>158</v>
      </c>
      <c r="BH153" s="64">
        <f>Results!$B$19+AJ153-Results!$D$21</f>
        <v/>
      </c>
      <c r="BI153" s="64">
        <f>Results!$B$19+AK153-Results!$D$21</f>
        <v/>
      </c>
      <c r="BJ153" s="64">
        <f>Results!$B$19+AL153-Results!$D$21</f>
        <v/>
      </c>
      <c r="BM153" s="64" t="n">
        <v>158</v>
      </c>
      <c r="BN153" s="64">
        <f>Results!D168</f>
        <v/>
      </c>
      <c r="BO153" s="64">
        <f>Results!E168</f>
        <v/>
      </c>
      <c r="BP153" s="64">
        <f>Results!F168</f>
        <v/>
      </c>
      <c r="BS153" s="64" t="n">
        <v>158</v>
      </c>
      <c r="BT153" s="64">
        <f>Demand!AU171</f>
        <v/>
      </c>
      <c r="BU153" s="64">
        <f>Demand!AV171</f>
        <v/>
      </c>
      <c r="BV153" s="64">
        <f>Demand!AW171</f>
        <v/>
      </c>
      <c r="BY153" s="64" t="n">
        <v>158</v>
      </c>
      <c r="BZ153" s="64">
        <f>Retailers_Cap!N154</f>
        <v/>
      </c>
      <c r="CA153" s="64">
        <f>Retailers_Cap!O154</f>
        <v/>
      </c>
      <c r="CB153" s="64">
        <f>Retailers_Cap!P154</f>
        <v/>
      </c>
      <c r="CD153" s="64" t="n">
        <v>158</v>
      </c>
      <c r="CE153" s="64">
        <f>IF((BT153-BZ153)&gt;=0,"Dem","Folga")</f>
        <v/>
      </c>
      <c r="CF153" s="64">
        <f>IF((BU153-CA153)&gt;=0,"Dem","Folga")</f>
        <v/>
      </c>
      <c r="CG153" s="64">
        <f>IF((BV153-CB153)&gt;=0,"Dem","Folga")</f>
        <v/>
      </c>
    </row>
    <row r="154">
      <c r="M154" s="64">
        <f>TRUNC((_xlfn.NORM.INV((RAND()),$L$6,$L$7)),2)</f>
        <v/>
      </c>
      <c r="O154" s="64" t="n">
        <v>159</v>
      </c>
      <c r="P154" s="5" t="n">
        <v>151.84</v>
      </c>
      <c r="Q154" s="5" t="n">
        <v>260.25</v>
      </c>
      <c r="R154" s="5" t="n">
        <v>267.34</v>
      </c>
      <c r="W154" s="64">
        <f>TRUNC((_xlfn.NORM.INV((RAND()),$V$6,$V$7)),3)</f>
        <v/>
      </c>
      <c r="Y154" s="64" t="n">
        <v>159</v>
      </c>
      <c r="Z154" s="5" t="n">
        <v>6.603</v>
      </c>
      <c r="AA154" s="5" t="n">
        <v>6.72</v>
      </c>
      <c r="AB154" s="5" t="n">
        <v>6.84</v>
      </c>
      <c r="AG154" s="64">
        <f>TRUNC((_xlfn.NORM.INV((RAND()),$AF$6,$AF$7)),3)</f>
        <v/>
      </c>
      <c r="AI154" s="64" t="n">
        <v>159</v>
      </c>
      <c r="AJ154" s="5" t="n">
        <v>87.414</v>
      </c>
      <c r="AK154" s="5" t="n">
        <v>79.72499999999999</v>
      </c>
      <c r="AL154" s="5" t="n">
        <v>66.57599999999999</v>
      </c>
      <c r="AR154" s="64" t="n">
        <v>159</v>
      </c>
      <c r="AS154" s="5" t="n">
        <v>0</v>
      </c>
      <c r="AT154" s="5" t="n">
        <v>0</v>
      </c>
      <c r="AU154" s="5" t="n">
        <v>0</v>
      </c>
      <c r="AW154" s="64">
        <f>Z154/Demand!AU172</f>
        <v/>
      </c>
      <c r="AX154" s="64">
        <f>AA154/Demand!AV172</f>
        <v/>
      </c>
      <c r="AY154" s="64">
        <f>AB154/Demand!AW172</f>
        <v/>
      </c>
      <c r="BG154" s="64" t="n">
        <v>159</v>
      </c>
      <c r="BH154" s="64">
        <f>Results!$B$19+AJ154-Results!$D$21</f>
        <v/>
      </c>
      <c r="BI154" s="64">
        <f>Results!$B$19+AK154-Results!$D$21</f>
        <v/>
      </c>
      <c r="BJ154" s="64">
        <f>Results!$B$19+AL154-Results!$D$21</f>
        <v/>
      </c>
      <c r="BM154" s="64" t="n">
        <v>159</v>
      </c>
      <c r="BN154" s="64">
        <f>Results!D169</f>
        <v/>
      </c>
      <c r="BO154" s="64">
        <f>Results!E169</f>
        <v/>
      </c>
      <c r="BP154" s="64">
        <f>Results!F169</f>
        <v/>
      </c>
      <c r="BS154" s="64" t="n">
        <v>159</v>
      </c>
      <c r="BT154" s="64">
        <f>Demand!AU172</f>
        <v/>
      </c>
      <c r="BU154" s="64">
        <f>Demand!AV172</f>
        <v/>
      </c>
      <c r="BV154" s="64">
        <f>Demand!AW172</f>
        <v/>
      </c>
      <c r="BY154" s="64" t="n">
        <v>159</v>
      </c>
      <c r="BZ154" s="64">
        <f>Retailers_Cap!N155</f>
        <v/>
      </c>
      <c r="CA154" s="64">
        <f>Retailers_Cap!O155</f>
        <v/>
      </c>
      <c r="CB154" s="64">
        <f>Retailers_Cap!P155</f>
        <v/>
      </c>
      <c r="CD154" s="64" t="n">
        <v>159</v>
      </c>
      <c r="CE154" s="64">
        <f>IF((BT154-BZ154)&gt;=0,"Dem","Folga")</f>
        <v/>
      </c>
      <c r="CF154" s="64">
        <f>IF((BU154-CA154)&gt;=0,"Dem","Folga")</f>
        <v/>
      </c>
      <c r="CG154" s="64">
        <f>IF((BV154-CB154)&gt;=0,"Dem","Folga")</f>
        <v/>
      </c>
    </row>
    <row r="155">
      <c r="M155" s="64">
        <f>TRUNC((_xlfn.NORM.INV((RAND()),$L$6,$L$7)),2)</f>
        <v/>
      </c>
      <c r="O155" s="64" t="n">
        <v>160</v>
      </c>
      <c r="P155" s="5" t="n">
        <v>220.67</v>
      </c>
      <c r="Q155" s="5" t="n">
        <v>224.33</v>
      </c>
      <c r="R155" s="5" t="n">
        <v>233.08</v>
      </c>
      <c r="W155" s="64">
        <f>TRUNC((_xlfn.NORM.INV((RAND()),$V$6,$V$7)),3)</f>
        <v/>
      </c>
      <c r="Y155" s="64" t="n">
        <v>160</v>
      </c>
      <c r="Z155" s="5" t="n">
        <v>6.713</v>
      </c>
      <c r="AA155" s="5" t="n">
        <v>6.846</v>
      </c>
      <c r="AB155" s="5" t="n">
        <v>6.654</v>
      </c>
      <c r="AG155" s="64">
        <f>TRUNC((_xlfn.NORM.INV((RAND()),$AF$6,$AF$7)),3)</f>
        <v/>
      </c>
      <c r="AI155" s="64" t="n">
        <v>160</v>
      </c>
      <c r="AJ155" s="5" t="n">
        <v>43.405</v>
      </c>
      <c r="AK155" s="5" t="n">
        <v>62.765</v>
      </c>
      <c r="AL155" s="5" t="n">
        <v>77.17100000000001</v>
      </c>
      <c r="AR155" s="64" t="n">
        <v>160</v>
      </c>
      <c r="AS155" s="5" t="n">
        <v>7.636974672768276</v>
      </c>
      <c r="AT155" s="5" t="n">
        <v>8.69938812596841</v>
      </c>
      <c r="AU155" s="5" t="n">
        <v>12.01871738349706</v>
      </c>
      <c r="AW155" s="64">
        <f>Z155/Demand!AU173</f>
        <v/>
      </c>
      <c r="AX155" s="64">
        <f>AA155/Demand!AV173</f>
        <v/>
      </c>
      <c r="AY155" s="64">
        <f>AB155/Demand!AW173</f>
        <v/>
      </c>
      <c r="BG155" s="64" t="n">
        <v>160</v>
      </c>
      <c r="BH155" s="64">
        <f>Results!$B$19+AJ155-Results!$D$21</f>
        <v/>
      </c>
      <c r="BI155" s="64">
        <f>Results!$B$19+AK155-Results!$D$21</f>
        <v/>
      </c>
      <c r="BJ155" s="64">
        <f>Results!$B$19+AL155-Results!$D$21</f>
        <v/>
      </c>
      <c r="BM155" s="64" t="n">
        <v>160</v>
      </c>
      <c r="BN155" s="64">
        <f>Results!D170</f>
        <v/>
      </c>
      <c r="BO155" s="64">
        <f>Results!E170</f>
        <v/>
      </c>
      <c r="BP155" s="64">
        <f>Results!F170</f>
        <v/>
      </c>
      <c r="BS155" s="64" t="n">
        <v>160</v>
      </c>
      <c r="BT155" s="64">
        <f>Demand!AU173</f>
        <v/>
      </c>
      <c r="BU155" s="64">
        <f>Demand!AV173</f>
        <v/>
      </c>
      <c r="BV155" s="64">
        <f>Demand!AW173</f>
        <v/>
      </c>
      <c r="BY155" s="64" t="n">
        <v>160</v>
      </c>
      <c r="BZ155" s="64">
        <f>Retailers_Cap!N156</f>
        <v/>
      </c>
      <c r="CA155" s="64">
        <f>Retailers_Cap!O156</f>
        <v/>
      </c>
      <c r="CB155" s="64">
        <f>Retailers_Cap!P156</f>
        <v/>
      </c>
      <c r="CD155" s="64" t="n">
        <v>160</v>
      </c>
      <c r="CE155" s="64">
        <f>IF((BT155-BZ155)&gt;=0,"Dem","Folga")</f>
        <v/>
      </c>
      <c r="CF155" s="64">
        <f>IF((BU155-CA155)&gt;=0,"Dem","Folga")</f>
        <v/>
      </c>
      <c r="CG155" s="64">
        <f>IF((BV155-CB155)&gt;=0,"Dem","Folga")</f>
        <v/>
      </c>
    </row>
    <row r="156">
      <c r="M156" s="64">
        <f>TRUNC((_xlfn.NORM.INV((RAND()),$L$6,$L$7)),2)</f>
        <v/>
      </c>
      <c r="O156" s="64" t="n">
        <v>161</v>
      </c>
      <c r="P156" s="5" t="n">
        <v>162.7</v>
      </c>
      <c r="Q156" s="5" t="n">
        <v>201.98</v>
      </c>
      <c r="R156" s="5" t="n">
        <v>265.33</v>
      </c>
      <c r="W156" s="64">
        <f>TRUNC((_xlfn.NORM.INV((RAND()),$V$6,$V$7)),3)</f>
        <v/>
      </c>
      <c r="Y156" s="64" t="n">
        <v>161</v>
      </c>
      <c r="Z156" s="5" t="n">
        <v>6.749</v>
      </c>
      <c r="AA156" s="5" t="n">
        <v>6.677</v>
      </c>
      <c r="AB156" s="5" t="n">
        <v>6.757</v>
      </c>
      <c r="AG156" s="64">
        <f>TRUNC((_xlfn.NORM.INV((RAND()),$AF$6,$AF$7)),3)</f>
        <v/>
      </c>
      <c r="AI156" s="64" t="n">
        <v>161</v>
      </c>
      <c r="AJ156" s="5" t="n">
        <v>60.751</v>
      </c>
      <c r="AK156" s="5" t="n">
        <v>59.798</v>
      </c>
      <c r="AL156" s="5" t="n">
        <v>70.583</v>
      </c>
      <c r="AR156" s="64" t="n">
        <v>161</v>
      </c>
      <c r="AS156" s="5" t="n">
        <v>0</v>
      </c>
      <c r="AT156" s="5" t="n">
        <v>13.07767187074375</v>
      </c>
      <c r="AU156" s="5" t="n">
        <v>0</v>
      </c>
      <c r="AW156" s="64">
        <f>Z156/Demand!AU174</f>
        <v/>
      </c>
      <c r="AX156" s="64">
        <f>AA156/Demand!AV174</f>
        <v/>
      </c>
      <c r="AY156" s="64">
        <f>AB156/Demand!AW174</f>
        <v/>
      </c>
      <c r="BG156" s="64" t="n">
        <v>161</v>
      </c>
      <c r="BH156" s="64">
        <f>Results!$B$19+AJ156-Results!$D$21</f>
        <v/>
      </c>
      <c r="BI156" s="64">
        <f>Results!$B$19+AK156-Results!$D$21</f>
        <v/>
      </c>
      <c r="BJ156" s="64">
        <f>Results!$B$19+AL156-Results!$D$21</f>
        <v/>
      </c>
      <c r="BM156" s="64" t="n">
        <v>161</v>
      </c>
      <c r="BN156" s="64">
        <f>Results!D171</f>
        <v/>
      </c>
      <c r="BO156" s="64">
        <f>Results!E171</f>
        <v/>
      </c>
      <c r="BP156" s="64">
        <f>Results!F171</f>
        <v/>
      </c>
      <c r="BS156" s="64" t="n">
        <v>161</v>
      </c>
      <c r="BT156" s="64">
        <f>Demand!AU174</f>
        <v/>
      </c>
      <c r="BU156" s="64">
        <f>Demand!AV174</f>
        <v/>
      </c>
      <c r="BV156" s="64">
        <f>Demand!AW174</f>
        <v/>
      </c>
      <c r="BY156" s="64" t="n">
        <v>161</v>
      </c>
      <c r="BZ156" s="64">
        <f>Retailers_Cap!N157</f>
        <v/>
      </c>
      <c r="CA156" s="64">
        <f>Retailers_Cap!O157</f>
        <v/>
      </c>
      <c r="CB156" s="64">
        <f>Retailers_Cap!P157</f>
        <v/>
      </c>
      <c r="CD156" s="64" t="n">
        <v>161</v>
      </c>
      <c r="CE156" s="64">
        <f>IF((BT156-BZ156)&gt;=0,"Dem","Folga")</f>
        <v/>
      </c>
      <c r="CF156" s="64">
        <f>IF((BU156-CA156)&gt;=0,"Dem","Folga")</f>
        <v/>
      </c>
      <c r="CG156" s="64">
        <f>IF((BV156-CB156)&gt;=0,"Dem","Folga")</f>
        <v/>
      </c>
    </row>
    <row r="157">
      <c r="M157" s="64">
        <f>TRUNC((_xlfn.NORM.INV((RAND()),$L$6,$L$7)),2)</f>
        <v/>
      </c>
      <c r="O157" s="64" t="n">
        <v>162</v>
      </c>
      <c r="P157" s="5" t="n">
        <v>151.59</v>
      </c>
      <c r="Q157" s="5" t="n">
        <v>164.72</v>
      </c>
      <c r="R157" s="5" t="n">
        <v>231.13</v>
      </c>
      <c r="W157" s="64">
        <f>TRUNC((_xlfn.NORM.INV((RAND()),$V$6,$V$7)),3)</f>
        <v/>
      </c>
      <c r="Y157" s="64" t="n">
        <v>162</v>
      </c>
      <c r="Z157" s="5" t="n">
        <v>6.795</v>
      </c>
      <c r="AA157" s="5" t="n">
        <v>6.759</v>
      </c>
      <c r="AB157" s="5" t="n">
        <v>6.758</v>
      </c>
      <c r="AG157" s="64">
        <f>TRUNC((_xlfn.NORM.INV((RAND()),$AF$6,$AF$7)),3)</f>
        <v/>
      </c>
      <c r="AI157" s="64" t="n">
        <v>162</v>
      </c>
      <c r="AJ157" s="5" t="n">
        <v>61.856</v>
      </c>
      <c r="AK157" s="5" t="n">
        <v>52.404</v>
      </c>
      <c r="AL157" s="5" t="n">
        <v>67.47499999999999</v>
      </c>
      <c r="AR157" s="64" t="n">
        <v>162</v>
      </c>
      <c r="AS157" s="5" t="n">
        <v>15.04685027681789</v>
      </c>
      <c r="AT157" s="5" t="n">
        <v>20.35401880543489</v>
      </c>
      <c r="AU157" s="5" t="n">
        <v>12.05773914369751</v>
      </c>
      <c r="AW157" s="64">
        <f>Z157/Demand!AU175</f>
        <v/>
      </c>
      <c r="AX157" s="64">
        <f>AA157/Demand!AV175</f>
        <v/>
      </c>
      <c r="AY157" s="64">
        <f>AB157/Demand!AW175</f>
        <v/>
      </c>
      <c r="BG157" s="64" t="n">
        <v>162</v>
      </c>
      <c r="BH157" s="64">
        <f>Results!$B$19+AJ157-Results!$D$21</f>
        <v/>
      </c>
      <c r="BI157" s="64">
        <f>Results!$B$19+AK157-Results!$D$21</f>
        <v/>
      </c>
      <c r="BJ157" s="64">
        <f>Results!$B$19+AL157-Results!$D$21</f>
        <v/>
      </c>
      <c r="BM157" s="64" t="n">
        <v>162</v>
      </c>
      <c r="BN157" s="64">
        <f>Results!D172</f>
        <v/>
      </c>
      <c r="BO157" s="64">
        <f>Results!E172</f>
        <v/>
      </c>
      <c r="BP157" s="64">
        <f>Results!F172</f>
        <v/>
      </c>
      <c r="BS157" s="64" t="n">
        <v>162</v>
      </c>
      <c r="BT157" s="64">
        <f>Demand!AU175</f>
        <v/>
      </c>
      <c r="BU157" s="64">
        <f>Demand!AV175</f>
        <v/>
      </c>
      <c r="BV157" s="64">
        <f>Demand!AW175</f>
        <v/>
      </c>
      <c r="BY157" s="64" t="n">
        <v>162</v>
      </c>
      <c r="BZ157" s="64">
        <f>Retailers_Cap!N158</f>
        <v/>
      </c>
      <c r="CA157" s="64">
        <f>Retailers_Cap!O158</f>
        <v/>
      </c>
      <c r="CB157" s="64">
        <f>Retailers_Cap!P158</f>
        <v/>
      </c>
      <c r="CD157" s="64" t="n">
        <v>162</v>
      </c>
      <c r="CE157" s="64">
        <f>IF((BT157-BZ157)&gt;=0,"Dem","Folga")</f>
        <v/>
      </c>
      <c r="CF157" s="64">
        <f>IF((BU157-CA157)&gt;=0,"Dem","Folga")</f>
        <v/>
      </c>
      <c r="CG157" s="64">
        <f>IF((BV157-CB157)&gt;=0,"Dem","Folga")</f>
        <v/>
      </c>
    </row>
    <row r="158">
      <c r="M158" s="64">
        <f>TRUNC((_xlfn.NORM.INV((RAND()),$L$6,$L$7)),2)</f>
        <v/>
      </c>
      <c r="O158" s="64" t="n">
        <v>163</v>
      </c>
      <c r="P158" s="5" t="n">
        <v>224.69</v>
      </c>
      <c r="Q158" s="5" t="n">
        <v>227.27</v>
      </c>
      <c r="R158" s="5" t="n">
        <v>184.93</v>
      </c>
      <c r="W158" s="64">
        <f>TRUNC((_xlfn.NORM.INV((RAND()),$V$6,$V$7)),3)</f>
        <v/>
      </c>
      <c r="Y158" s="64" t="n">
        <v>163</v>
      </c>
      <c r="Z158" s="5" t="n">
        <v>6.747</v>
      </c>
      <c r="AA158" s="5" t="n">
        <v>6.82</v>
      </c>
      <c r="AB158" s="5" t="n">
        <v>6.792</v>
      </c>
      <c r="AG158" s="64">
        <f>TRUNC((_xlfn.NORM.INV((RAND()),$AF$6,$AF$7)),3)</f>
        <v/>
      </c>
      <c r="AI158" s="64" t="n">
        <v>163</v>
      </c>
      <c r="AJ158" s="5" t="n">
        <v>64.47199999999999</v>
      </c>
      <c r="AK158" s="5" t="n">
        <v>52.843</v>
      </c>
      <c r="AL158" s="5" t="n">
        <v>79.592</v>
      </c>
      <c r="AR158" s="64" t="n">
        <v>163</v>
      </c>
      <c r="AS158" s="5" t="n">
        <v>13.14635501653369</v>
      </c>
      <c r="AT158" s="5" t="n">
        <v>10.46962404573319</v>
      </c>
      <c r="AU158" s="5" t="n">
        <v>0</v>
      </c>
      <c r="AW158" s="64">
        <f>Z158/Demand!AU176</f>
        <v/>
      </c>
      <c r="AX158" s="64">
        <f>AA158/Demand!AV176</f>
        <v/>
      </c>
      <c r="AY158" s="64">
        <f>AB158/Demand!AW176</f>
        <v/>
      </c>
      <c r="BG158" s="64" t="n">
        <v>163</v>
      </c>
      <c r="BH158" s="64">
        <f>Results!$B$19+AJ158-Results!$D$21</f>
        <v/>
      </c>
      <c r="BI158" s="64">
        <f>Results!$B$19+AK158-Results!$D$21</f>
        <v/>
      </c>
      <c r="BJ158" s="64">
        <f>Results!$B$19+AL158-Results!$D$21</f>
        <v/>
      </c>
      <c r="BM158" s="64" t="n">
        <v>163</v>
      </c>
      <c r="BN158" s="64">
        <f>Results!D173</f>
        <v/>
      </c>
      <c r="BO158" s="64">
        <f>Results!E173</f>
        <v/>
      </c>
      <c r="BP158" s="64">
        <f>Results!F173</f>
        <v/>
      </c>
      <c r="BS158" s="64" t="n">
        <v>163</v>
      </c>
      <c r="BT158" s="64">
        <f>Demand!AU176</f>
        <v/>
      </c>
      <c r="BU158" s="64">
        <f>Demand!AV176</f>
        <v/>
      </c>
      <c r="BV158" s="64">
        <f>Demand!AW176</f>
        <v/>
      </c>
      <c r="BY158" s="64" t="n">
        <v>163</v>
      </c>
      <c r="BZ158" s="64">
        <f>Retailers_Cap!N159</f>
        <v/>
      </c>
      <c r="CA158" s="64">
        <f>Retailers_Cap!O159</f>
        <v/>
      </c>
      <c r="CB158" s="64">
        <f>Retailers_Cap!P159</f>
        <v/>
      </c>
      <c r="CD158" s="64" t="n">
        <v>163</v>
      </c>
      <c r="CE158" s="64">
        <f>IF((BT158-BZ158)&gt;=0,"Dem","Folga")</f>
        <v/>
      </c>
      <c r="CF158" s="64">
        <f>IF((BU158-CA158)&gt;=0,"Dem","Folga")</f>
        <v/>
      </c>
      <c r="CG158" s="64">
        <f>IF((BV158-CB158)&gt;=0,"Dem","Folga")</f>
        <v/>
      </c>
    </row>
    <row r="159">
      <c r="M159" s="64">
        <f>TRUNC((_xlfn.NORM.INV((RAND()),$L$6,$L$7)),2)</f>
        <v/>
      </c>
      <c r="O159" s="64" t="n">
        <v>164</v>
      </c>
      <c r="P159" s="5" t="n">
        <v>189.09</v>
      </c>
      <c r="Q159" s="5" t="n">
        <v>193.86</v>
      </c>
      <c r="R159" s="5" t="n">
        <v>150.37</v>
      </c>
      <c r="W159" s="64">
        <f>TRUNC((_xlfn.NORM.INV((RAND()),$V$6,$V$7)),3)</f>
        <v/>
      </c>
      <c r="Y159" s="64" t="n">
        <v>164</v>
      </c>
      <c r="Z159" s="5" t="n">
        <v>6.68</v>
      </c>
      <c r="AA159" s="5" t="n">
        <v>6.814</v>
      </c>
      <c r="AB159" s="5" t="n">
        <v>6.742</v>
      </c>
      <c r="AG159" s="64">
        <f>TRUNC((_xlfn.NORM.INV((RAND()),$AF$6,$AF$7)),3)</f>
        <v/>
      </c>
      <c r="AI159" s="64" t="n">
        <v>164</v>
      </c>
      <c r="AJ159" s="5" t="n">
        <v>65.876</v>
      </c>
      <c r="AK159" s="5" t="n">
        <v>75.011</v>
      </c>
      <c r="AL159" s="5" t="n">
        <v>68.511</v>
      </c>
      <c r="AR159" s="64" t="n">
        <v>164</v>
      </c>
      <c r="AS159" s="5" t="n">
        <v>0</v>
      </c>
      <c r="AT159" s="5" t="n">
        <v>9.879856703793745</v>
      </c>
      <c r="AU159" s="5" t="n">
        <v>0</v>
      </c>
      <c r="AW159" s="64">
        <f>Z159/Demand!AU177</f>
        <v/>
      </c>
      <c r="AX159" s="64">
        <f>AA159/Demand!AV177</f>
        <v/>
      </c>
      <c r="AY159" s="64">
        <f>AB159/Demand!AW177</f>
        <v/>
      </c>
      <c r="BG159" s="64" t="n">
        <v>164</v>
      </c>
      <c r="BH159" s="64">
        <f>Results!$B$19+AJ159-Results!$D$21</f>
        <v/>
      </c>
      <c r="BI159" s="64">
        <f>Results!$B$19+AK159-Results!$D$21</f>
        <v/>
      </c>
      <c r="BJ159" s="64">
        <f>Results!$B$19+AL159-Results!$D$21</f>
        <v/>
      </c>
      <c r="BM159" s="64" t="n">
        <v>164</v>
      </c>
      <c r="BN159" s="64">
        <f>Results!D174</f>
        <v/>
      </c>
      <c r="BO159" s="64">
        <f>Results!E174</f>
        <v/>
      </c>
      <c r="BP159" s="64">
        <f>Results!F174</f>
        <v/>
      </c>
      <c r="BS159" s="64" t="n">
        <v>164</v>
      </c>
      <c r="BT159" s="64">
        <f>Demand!AU177</f>
        <v/>
      </c>
      <c r="BU159" s="64">
        <f>Demand!AV177</f>
        <v/>
      </c>
      <c r="BV159" s="64">
        <f>Demand!AW177</f>
        <v/>
      </c>
      <c r="BY159" s="64" t="n">
        <v>164</v>
      </c>
      <c r="BZ159" s="64">
        <f>Retailers_Cap!N160</f>
        <v/>
      </c>
      <c r="CA159" s="64">
        <f>Retailers_Cap!O160</f>
        <v/>
      </c>
      <c r="CB159" s="64">
        <f>Retailers_Cap!P160</f>
        <v/>
      </c>
      <c r="CD159" s="64" t="n">
        <v>164</v>
      </c>
      <c r="CE159" s="64">
        <f>IF((BT159-BZ159)&gt;=0,"Dem","Folga")</f>
        <v/>
      </c>
      <c r="CF159" s="64">
        <f>IF((BU159-CA159)&gt;=0,"Dem","Folga")</f>
        <v/>
      </c>
      <c r="CG159" s="64">
        <f>IF((BV159-CB159)&gt;=0,"Dem","Folga")</f>
        <v/>
      </c>
    </row>
    <row r="160">
      <c r="M160" s="64">
        <f>TRUNC((_xlfn.NORM.INV((RAND()),$L$6,$L$7)),2)</f>
        <v/>
      </c>
      <c r="O160" s="64" t="n">
        <v>165</v>
      </c>
      <c r="P160" s="5" t="n">
        <v>206.66</v>
      </c>
      <c r="Q160" s="5" t="n">
        <v>330.48</v>
      </c>
      <c r="R160" s="5" t="n">
        <v>239.42</v>
      </c>
      <c r="W160" s="64">
        <f>TRUNC((_xlfn.NORM.INV((RAND()),$V$6,$V$7)),3)</f>
        <v/>
      </c>
      <c r="Y160" s="64" t="n">
        <v>165</v>
      </c>
      <c r="Z160" s="5" t="n">
        <v>6.894</v>
      </c>
      <c r="AA160" s="5" t="n">
        <v>6.693</v>
      </c>
      <c r="AB160" s="5" t="n">
        <v>6.634</v>
      </c>
      <c r="AG160" s="64">
        <f>TRUNC((_xlfn.NORM.INV((RAND()),$AF$6,$AF$7)),3)</f>
        <v/>
      </c>
      <c r="AI160" s="64" t="n">
        <v>165</v>
      </c>
      <c r="AJ160" s="5" t="n">
        <v>72.83</v>
      </c>
      <c r="AK160" s="5" t="n">
        <v>58.869</v>
      </c>
      <c r="AL160" s="5" t="n">
        <v>49.788</v>
      </c>
      <c r="AR160" s="64" t="n">
        <v>165</v>
      </c>
      <c r="AS160" s="5" t="n">
        <v>0</v>
      </c>
      <c r="AT160" s="5" t="n">
        <v>0</v>
      </c>
      <c r="AU160" s="5" t="n">
        <v>0</v>
      </c>
      <c r="AW160" s="64">
        <f>Z160/Demand!AU178</f>
        <v/>
      </c>
      <c r="AX160" s="64">
        <f>AA160/Demand!AV178</f>
        <v/>
      </c>
      <c r="AY160" s="64">
        <f>AB160/Demand!AW178</f>
        <v/>
      </c>
      <c r="BG160" s="64" t="n">
        <v>165</v>
      </c>
      <c r="BH160" s="64">
        <f>Results!$B$19+AJ160-Results!$D$21</f>
        <v/>
      </c>
      <c r="BI160" s="64">
        <f>Results!$B$19+AK160-Results!$D$21</f>
        <v/>
      </c>
      <c r="BJ160" s="64">
        <f>Results!$B$19+AL160-Results!$D$21</f>
        <v/>
      </c>
      <c r="BM160" s="64" t="n">
        <v>165</v>
      </c>
      <c r="BN160" s="64">
        <f>Results!D175</f>
        <v/>
      </c>
      <c r="BO160" s="64">
        <f>Results!E175</f>
        <v/>
      </c>
      <c r="BP160" s="64">
        <f>Results!F175</f>
        <v/>
      </c>
      <c r="BS160" s="64" t="n">
        <v>165</v>
      </c>
      <c r="BT160" s="64">
        <f>Demand!AU178</f>
        <v/>
      </c>
      <c r="BU160" s="64">
        <f>Demand!AV178</f>
        <v/>
      </c>
      <c r="BV160" s="64">
        <f>Demand!AW178</f>
        <v/>
      </c>
      <c r="BY160" s="64" t="n">
        <v>165</v>
      </c>
      <c r="BZ160" s="64">
        <f>Retailers_Cap!N161</f>
        <v/>
      </c>
      <c r="CA160" s="64">
        <f>Retailers_Cap!O161</f>
        <v/>
      </c>
      <c r="CB160" s="64">
        <f>Retailers_Cap!P161</f>
        <v/>
      </c>
      <c r="CD160" s="64" t="n">
        <v>165</v>
      </c>
      <c r="CE160" s="64">
        <f>IF((BT160-BZ160)&gt;=0,"Dem","Folga")</f>
        <v/>
      </c>
      <c r="CF160" s="64">
        <f>IF((BU160-CA160)&gt;=0,"Dem","Folga")</f>
        <v/>
      </c>
      <c r="CG160" s="64">
        <f>IF((BV160-CB160)&gt;=0,"Dem","Folga")</f>
        <v/>
      </c>
    </row>
    <row r="161">
      <c r="M161" s="64">
        <f>TRUNC((_xlfn.NORM.INV((RAND()),$L$6,$L$7)),2)</f>
        <v/>
      </c>
      <c r="O161" s="64" t="n">
        <v>166</v>
      </c>
      <c r="P161" s="5" t="n">
        <v>194.16</v>
      </c>
      <c r="Q161" s="5" t="n">
        <v>247.49</v>
      </c>
      <c r="R161" s="5" t="n">
        <v>134.85</v>
      </c>
      <c r="W161" s="64">
        <f>TRUNC((_xlfn.NORM.INV((RAND()),$V$6,$V$7)),3)</f>
        <v/>
      </c>
      <c r="Y161" s="64" t="n">
        <v>166</v>
      </c>
      <c r="Z161" s="5" t="n">
        <v>6.698</v>
      </c>
      <c r="AA161" s="5" t="n">
        <v>6.779</v>
      </c>
      <c r="AB161" s="5" t="n">
        <v>6.795</v>
      </c>
      <c r="AG161" s="64">
        <f>TRUNC((_xlfn.NORM.INV((RAND()),$AF$6,$AF$7)),3)</f>
        <v/>
      </c>
      <c r="AI161" s="64" t="n">
        <v>166</v>
      </c>
      <c r="AJ161" s="5" t="n">
        <v>76.506</v>
      </c>
      <c r="AK161" s="5" t="n">
        <v>50.165</v>
      </c>
      <c r="AL161" s="5" t="n">
        <v>50.533</v>
      </c>
      <c r="AR161" s="64" t="n">
        <v>166</v>
      </c>
      <c r="AS161" s="5" t="n">
        <v>4.321981047692915</v>
      </c>
      <c r="AT161" s="5" t="n">
        <v>5.256754504562533</v>
      </c>
      <c r="AU161" s="5" t="n">
        <v>0</v>
      </c>
      <c r="AW161" s="64">
        <f>Z161/Demand!AU179</f>
        <v/>
      </c>
      <c r="AX161" s="64">
        <f>AA161/Demand!AV179</f>
        <v/>
      </c>
      <c r="AY161" s="64">
        <f>AB161/Demand!AW179</f>
        <v/>
      </c>
      <c r="BG161" s="64" t="n">
        <v>166</v>
      </c>
      <c r="BH161" s="64">
        <f>Results!$B$19+AJ161-Results!$D$21</f>
        <v/>
      </c>
      <c r="BI161" s="64">
        <f>Results!$B$19+AK161-Results!$D$21</f>
        <v/>
      </c>
      <c r="BJ161" s="64">
        <f>Results!$B$19+AL161-Results!$D$21</f>
        <v/>
      </c>
      <c r="BM161" s="64" t="n">
        <v>166</v>
      </c>
      <c r="BN161" s="64">
        <f>Results!D176</f>
        <v/>
      </c>
      <c r="BO161" s="64">
        <f>Results!E176</f>
        <v/>
      </c>
      <c r="BP161" s="64">
        <f>Results!F176</f>
        <v/>
      </c>
      <c r="BS161" s="64" t="n">
        <v>166</v>
      </c>
      <c r="BT161" s="64">
        <f>Demand!AU179</f>
        <v/>
      </c>
      <c r="BU161" s="64">
        <f>Demand!AV179</f>
        <v/>
      </c>
      <c r="BV161" s="64">
        <f>Demand!AW179</f>
        <v/>
      </c>
      <c r="BY161" s="64" t="n">
        <v>166</v>
      </c>
      <c r="BZ161" s="64">
        <f>Retailers_Cap!N162</f>
        <v/>
      </c>
      <c r="CA161" s="64">
        <f>Retailers_Cap!O162</f>
        <v/>
      </c>
      <c r="CB161" s="64">
        <f>Retailers_Cap!P162</f>
        <v/>
      </c>
      <c r="CD161" s="64" t="n">
        <v>166</v>
      </c>
      <c r="CE161" s="64">
        <f>IF((BT161-BZ161)&gt;=0,"Dem","Folga")</f>
        <v/>
      </c>
      <c r="CF161" s="64">
        <f>IF((BU161-CA161)&gt;=0,"Dem","Folga")</f>
        <v/>
      </c>
      <c r="CG161" s="64">
        <f>IF((BV161-CB161)&gt;=0,"Dem","Folga")</f>
        <v/>
      </c>
    </row>
    <row r="162">
      <c r="M162" s="64">
        <f>TRUNC((_xlfn.NORM.INV((RAND()),$L$6,$L$7)),2)</f>
        <v/>
      </c>
      <c r="O162" s="64" t="n">
        <v>167</v>
      </c>
      <c r="P162" s="5" t="n">
        <v>204.23</v>
      </c>
      <c r="Q162" s="5" t="n">
        <v>207.87</v>
      </c>
      <c r="R162" s="5" t="n">
        <v>190.94</v>
      </c>
      <c r="W162" s="64">
        <f>TRUNC((_xlfn.NORM.INV((RAND()),$V$6,$V$7)),3)</f>
        <v/>
      </c>
      <c r="Y162" s="64" t="n">
        <v>167</v>
      </c>
      <c r="Z162" s="5" t="n">
        <v>6.824</v>
      </c>
      <c r="AA162" s="5" t="n">
        <v>6.652</v>
      </c>
      <c r="AB162" s="5" t="n">
        <v>6.807</v>
      </c>
      <c r="AG162" s="64">
        <f>TRUNC((_xlfn.NORM.INV((RAND()),$AF$6,$AF$7)),3)</f>
        <v/>
      </c>
      <c r="AI162" s="64" t="n">
        <v>167</v>
      </c>
      <c r="AJ162" s="5" t="n">
        <v>45.813</v>
      </c>
      <c r="AK162" s="5" t="n">
        <v>41.149</v>
      </c>
      <c r="AL162" s="5" t="n">
        <v>77.059</v>
      </c>
      <c r="AR162" s="64" t="n">
        <v>167</v>
      </c>
      <c r="AS162" s="5" t="n">
        <v>0</v>
      </c>
      <c r="AT162" s="5" t="n">
        <v>0</v>
      </c>
      <c r="AU162" s="5" t="n">
        <v>32.48748207471591</v>
      </c>
      <c r="AW162" s="64">
        <f>Z162/Demand!AU180</f>
        <v/>
      </c>
      <c r="AX162" s="64">
        <f>AA162/Demand!AV180</f>
        <v/>
      </c>
      <c r="AY162" s="64">
        <f>AB162/Demand!AW180</f>
        <v/>
      </c>
      <c r="BG162" s="64" t="n">
        <v>167</v>
      </c>
      <c r="BH162" s="64">
        <f>Results!$B$19+AJ162-Results!$D$21</f>
        <v/>
      </c>
      <c r="BI162" s="64">
        <f>Results!$B$19+AK162-Results!$D$21</f>
        <v/>
      </c>
      <c r="BJ162" s="64">
        <f>Results!$B$19+AL162-Results!$D$21</f>
        <v/>
      </c>
      <c r="BM162" s="64" t="n">
        <v>167</v>
      </c>
      <c r="BN162" s="64">
        <f>Results!D177</f>
        <v/>
      </c>
      <c r="BO162" s="64">
        <f>Results!E177</f>
        <v/>
      </c>
      <c r="BP162" s="64">
        <f>Results!F177</f>
        <v/>
      </c>
      <c r="BS162" s="64" t="n">
        <v>167</v>
      </c>
      <c r="BT162" s="64">
        <f>Demand!AU180</f>
        <v/>
      </c>
      <c r="BU162" s="64">
        <f>Demand!AV180</f>
        <v/>
      </c>
      <c r="BV162" s="64">
        <f>Demand!AW180</f>
        <v/>
      </c>
      <c r="BY162" s="64" t="n">
        <v>167</v>
      </c>
      <c r="BZ162" s="64">
        <f>Retailers_Cap!N163</f>
        <v/>
      </c>
      <c r="CA162" s="64">
        <f>Retailers_Cap!O163</f>
        <v/>
      </c>
      <c r="CB162" s="64">
        <f>Retailers_Cap!P163</f>
        <v/>
      </c>
      <c r="CD162" s="64" t="n">
        <v>167</v>
      </c>
      <c r="CE162" s="64">
        <f>IF((BT162-BZ162)&gt;=0,"Dem","Folga")</f>
        <v/>
      </c>
      <c r="CF162" s="64">
        <f>IF((BU162-CA162)&gt;=0,"Dem","Folga")</f>
        <v/>
      </c>
      <c r="CG162" s="64">
        <f>IF((BV162-CB162)&gt;=0,"Dem","Folga")</f>
        <v/>
      </c>
    </row>
    <row r="163">
      <c r="M163" s="64">
        <f>TRUNC((_xlfn.NORM.INV((RAND()),$L$6,$L$7)),2)</f>
        <v/>
      </c>
      <c r="O163" s="64" t="n">
        <v>168</v>
      </c>
      <c r="P163" s="5" t="n">
        <v>222.33</v>
      </c>
      <c r="Q163" s="5" t="n">
        <v>177.95</v>
      </c>
      <c r="R163" s="5" t="n">
        <v>259.13</v>
      </c>
      <c r="W163" s="64">
        <f>TRUNC((_xlfn.NORM.INV((RAND()),$V$6,$V$7)),3)</f>
        <v/>
      </c>
      <c r="Y163" s="64" t="n">
        <v>168</v>
      </c>
      <c r="Z163" s="5" t="n">
        <v>6.852</v>
      </c>
      <c r="AA163" s="5" t="n">
        <v>6.761</v>
      </c>
      <c r="AB163" s="5" t="n">
        <v>6.77</v>
      </c>
      <c r="AG163" s="64">
        <f>TRUNC((_xlfn.NORM.INV((RAND()),$AF$6,$AF$7)),3)</f>
        <v/>
      </c>
      <c r="AI163" s="64" t="n">
        <v>168</v>
      </c>
      <c r="AJ163" s="5" t="n">
        <v>74.404</v>
      </c>
      <c r="AK163" s="5" t="n">
        <v>58.803</v>
      </c>
      <c r="AL163" s="5" t="n">
        <v>49.815</v>
      </c>
      <c r="AR163" s="64" t="n">
        <v>168</v>
      </c>
      <c r="AS163" s="5" t="n">
        <v>0</v>
      </c>
      <c r="AT163" s="5" t="n">
        <v>0</v>
      </c>
      <c r="AU163" s="5" t="n">
        <v>5.782284132287267</v>
      </c>
      <c r="AW163" s="64">
        <f>Z163/Demand!AU181</f>
        <v/>
      </c>
      <c r="AX163" s="64">
        <f>AA163/Demand!AV181</f>
        <v/>
      </c>
      <c r="AY163" s="64">
        <f>AB163/Demand!AW181</f>
        <v/>
      </c>
      <c r="BG163" s="64" t="n">
        <v>168</v>
      </c>
      <c r="BH163" s="64">
        <f>Results!$B$19+AJ163-Results!$D$21</f>
        <v/>
      </c>
      <c r="BI163" s="64">
        <f>Results!$B$19+AK163-Results!$D$21</f>
        <v/>
      </c>
      <c r="BJ163" s="64">
        <f>Results!$B$19+AL163-Results!$D$21</f>
        <v/>
      </c>
      <c r="BM163" s="64" t="n">
        <v>168</v>
      </c>
      <c r="BN163" s="64">
        <f>Results!D178</f>
        <v/>
      </c>
      <c r="BO163" s="64">
        <f>Results!E178</f>
        <v/>
      </c>
      <c r="BP163" s="64">
        <f>Results!F178</f>
        <v/>
      </c>
      <c r="BS163" s="64" t="n">
        <v>168</v>
      </c>
      <c r="BT163" s="64">
        <f>Demand!AU181</f>
        <v/>
      </c>
      <c r="BU163" s="64">
        <f>Demand!AV181</f>
        <v/>
      </c>
      <c r="BV163" s="64">
        <f>Demand!AW181</f>
        <v/>
      </c>
      <c r="BY163" s="64" t="n">
        <v>168</v>
      </c>
      <c r="BZ163" s="64">
        <f>Retailers_Cap!N164</f>
        <v/>
      </c>
      <c r="CA163" s="64">
        <f>Retailers_Cap!O164</f>
        <v/>
      </c>
      <c r="CB163" s="64">
        <f>Retailers_Cap!P164</f>
        <v/>
      </c>
      <c r="CD163" s="64" t="n">
        <v>168</v>
      </c>
      <c r="CE163" s="64">
        <f>IF((BT163-BZ163)&gt;=0,"Dem","Folga")</f>
        <v/>
      </c>
      <c r="CF163" s="64">
        <f>IF((BU163-CA163)&gt;=0,"Dem","Folga")</f>
        <v/>
      </c>
      <c r="CG163" s="64">
        <f>IF((BV163-CB163)&gt;=0,"Dem","Folga")</f>
        <v/>
      </c>
    </row>
    <row r="164">
      <c r="M164" s="64">
        <f>TRUNC((_xlfn.NORM.INV((RAND()),$L$6,$L$7)),2)</f>
        <v/>
      </c>
      <c r="O164" s="64" t="n">
        <v>169</v>
      </c>
      <c r="P164" s="5" t="n">
        <v>195.64</v>
      </c>
      <c r="Q164" s="5" t="n">
        <v>205.93</v>
      </c>
      <c r="R164" s="5" t="n">
        <v>161.29</v>
      </c>
      <c r="W164" s="64">
        <f>TRUNC((_xlfn.NORM.INV((RAND()),$V$6,$V$7)),3)</f>
        <v/>
      </c>
      <c r="Y164" s="64" t="n">
        <v>169</v>
      </c>
      <c r="Z164" s="5" t="n">
        <v>6.795</v>
      </c>
      <c r="AA164" s="5" t="n">
        <v>6.717</v>
      </c>
      <c r="AB164" s="5" t="n">
        <v>6.647</v>
      </c>
      <c r="AG164" s="64">
        <f>TRUNC((_xlfn.NORM.INV((RAND()),$AF$6,$AF$7)),3)</f>
        <v/>
      </c>
      <c r="AI164" s="64" t="n">
        <v>169</v>
      </c>
      <c r="AJ164" s="5" t="n">
        <v>74.321</v>
      </c>
      <c r="AK164" s="5" t="n">
        <v>49.833</v>
      </c>
      <c r="AL164" s="5" t="n">
        <v>44.144</v>
      </c>
      <c r="AR164" s="64" t="n">
        <v>169</v>
      </c>
      <c r="AS164" s="5" t="n">
        <v>4.312706113365398</v>
      </c>
      <c r="AT164" s="5" t="n">
        <v>0</v>
      </c>
      <c r="AU164" s="5" t="n">
        <v>6.581260566466076</v>
      </c>
      <c r="AW164" s="64">
        <f>Z164/Demand!AU182</f>
        <v/>
      </c>
      <c r="AX164" s="64">
        <f>AA164/Demand!AV182</f>
        <v/>
      </c>
      <c r="AY164" s="64">
        <f>AB164/Demand!AW182</f>
        <v/>
      </c>
      <c r="BG164" s="64" t="n">
        <v>169</v>
      </c>
      <c r="BH164" s="64">
        <f>Results!$B$19+AJ164-Results!$D$21</f>
        <v/>
      </c>
      <c r="BI164" s="64">
        <f>Results!$B$19+AK164-Results!$D$21</f>
        <v/>
      </c>
      <c r="BJ164" s="64">
        <f>Results!$B$19+AL164-Results!$D$21</f>
        <v/>
      </c>
      <c r="BM164" s="64" t="n">
        <v>169</v>
      </c>
      <c r="BN164" s="64">
        <f>Results!D179</f>
        <v/>
      </c>
      <c r="BO164" s="64">
        <f>Results!E179</f>
        <v/>
      </c>
      <c r="BP164" s="64">
        <f>Results!F179</f>
        <v/>
      </c>
      <c r="BS164" s="64" t="n">
        <v>169</v>
      </c>
      <c r="BT164" s="64">
        <f>Demand!AU182</f>
        <v/>
      </c>
      <c r="BU164" s="64">
        <f>Demand!AV182</f>
        <v/>
      </c>
      <c r="BV164" s="64">
        <f>Demand!AW182</f>
        <v/>
      </c>
      <c r="BY164" s="64" t="n">
        <v>169</v>
      </c>
      <c r="BZ164" s="64">
        <f>Retailers_Cap!N165</f>
        <v/>
      </c>
      <c r="CA164" s="64">
        <f>Retailers_Cap!O165</f>
        <v/>
      </c>
      <c r="CB164" s="64">
        <f>Retailers_Cap!P165</f>
        <v/>
      </c>
      <c r="CD164" s="64" t="n">
        <v>169</v>
      </c>
      <c r="CE164" s="64">
        <f>IF((BT164-BZ164)&gt;=0,"Dem","Folga")</f>
        <v/>
      </c>
      <c r="CF164" s="64">
        <f>IF((BU164-CA164)&gt;=0,"Dem","Folga")</f>
        <v/>
      </c>
      <c r="CG164" s="64">
        <f>IF((BV164-CB164)&gt;=0,"Dem","Folga")</f>
        <v/>
      </c>
    </row>
    <row r="165">
      <c r="M165" s="64">
        <f>TRUNC((_xlfn.NORM.INV((RAND()),$L$6,$L$7)),2)</f>
        <v/>
      </c>
      <c r="O165" s="64" t="n">
        <v>170</v>
      </c>
      <c r="P165" s="5" t="n">
        <v>204.04</v>
      </c>
      <c r="Q165" s="5" t="n">
        <v>175.86</v>
      </c>
      <c r="R165" s="5" t="n">
        <v>214.45</v>
      </c>
      <c r="W165" s="64">
        <f>TRUNC((_xlfn.NORM.INV((RAND()),$V$6,$V$7)),3)</f>
        <v/>
      </c>
      <c r="Y165" s="64" t="n">
        <v>170</v>
      </c>
      <c r="Z165" s="5" t="n">
        <v>6.671</v>
      </c>
      <c r="AA165" s="5" t="n">
        <v>6.706</v>
      </c>
      <c r="AB165" s="5" t="n">
        <v>6.771</v>
      </c>
      <c r="AG165" s="64">
        <f>TRUNC((_xlfn.NORM.INV((RAND()),$AF$6,$AF$7)),3)</f>
        <v/>
      </c>
      <c r="AI165" s="64" t="n">
        <v>170</v>
      </c>
      <c r="AJ165" s="5" t="n">
        <v>60.961</v>
      </c>
      <c r="AK165" s="5" t="n">
        <v>62.96</v>
      </c>
      <c r="AL165" s="5" t="n">
        <v>80.188</v>
      </c>
      <c r="AR165" s="64" t="n">
        <v>170</v>
      </c>
      <c r="AS165" s="5" t="n">
        <v>0</v>
      </c>
      <c r="AT165" s="5" t="n">
        <v>0</v>
      </c>
      <c r="AU165" s="5" t="n">
        <v>25.48970582773454</v>
      </c>
      <c r="AW165" s="64">
        <f>Z165/Demand!AU183</f>
        <v/>
      </c>
      <c r="AX165" s="64">
        <f>AA165/Demand!AV183</f>
        <v/>
      </c>
      <c r="AY165" s="64">
        <f>AB165/Demand!AW183</f>
        <v/>
      </c>
      <c r="BG165" s="64" t="n">
        <v>170</v>
      </c>
      <c r="BH165" s="64">
        <f>Results!$B$19+AJ165-Results!$D$21</f>
        <v/>
      </c>
      <c r="BI165" s="64">
        <f>Results!$B$19+AK165-Results!$D$21</f>
        <v/>
      </c>
      <c r="BJ165" s="64">
        <f>Results!$B$19+AL165-Results!$D$21</f>
        <v/>
      </c>
      <c r="BM165" s="64" t="n">
        <v>170</v>
      </c>
      <c r="BN165" s="64">
        <f>Results!D180</f>
        <v/>
      </c>
      <c r="BO165" s="64">
        <f>Results!E180</f>
        <v/>
      </c>
      <c r="BP165" s="64">
        <f>Results!F180</f>
        <v/>
      </c>
      <c r="BS165" s="64" t="n">
        <v>170</v>
      </c>
      <c r="BT165" s="64">
        <f>Demand!AU183</f>
        <v/>
      </c>
      <c r="BU165" s="64">
        <f>Demand!AV183</f>
        <v/>
      </c>
      <c r="BV165" s="64">
        <f>Demand!AW183</f>
        <v/>
      </c>
      <c r="BY165" s="64" t="n">
        <v>170</v>
      </c>
      <c r="BZ165" s="64">
        <f>Retailers_Cap!N166</f>
        <v/>
      </c>
      <c r="CA165" s="64">
        <f>Retailers_Cap!O166</f>
        <v/>
      </c>
      <c r="CB165" s="64">
        <f>Retailers_Cap!P166</f>
        <v/>
      </c>
      <c r="CD165" s="64" t="n">
        <v>170</v>
      </c>
      <c r="CE165" s="64">
        <f>IF((BT165-BZ165)&gt;=0,"Dem","Folga")</f>
        <v/>
      </c>
      <c r="CF165" s="64">
        <f>IF((BU165-CA165)&gt;=0,"Dem","Folga")</f>
        <v/>
      </c>
      <c r="CG165" s="64">
        <f>IF((BV165-CB165)&gt;=0,"Dem","Folga")</f>
        <v/>
      </c>
    </row>
    <row r="166">
      <c r="M166" s="64">
        <f>TRUNC((_xlfn.NORM.INV((RAND()),$L$6,$L$7)),2)</f>
        <v/>
      </c>
      <c r="O166" s="64" t="n">
        <v>171</v>
      </c>
      <c r="P166" s="5" t="n">
        <v>100.93</v>
      </c>
      <c r="Q166" s="5" t="n">
        <v>233.23</v>
      </c>
      <c r="R166" s="5" t="n">
        <v>252.71</v>
      </c>
      <c r="W166" s="64">
        <f>TRUNC((_xlfn.NORM.INV((RAND()),$V$6,$V$7)),3)</f>
        <v/>
      </c>
      <c r="Y166" s="64" t="n">
        <v>171</v>
      </c>
      <c r="Z166" s="5" t="n">
        <v>6.68</v>
      </c>
      <c r="AA166" s="5" t="n">
        <v>6.774</v>
      </c>
      <c r="AB166" s="5" t="n">
        <v>6.8</v>
      </c>
      <c r="AG166" s="64">
        <f>TRUNC((_xlfn.NORM.INV((RAND()),$AF$6,$AF$7)),3)</f>
        <v/>
      </c>
      <c r="AI166" s="64" t="n">
        <v>171</v>
      </c>
      <c r="AJ166" s="5" t="n">
        <v>63.182</v>
      </c>
      <c r="AK166" s="5" t="n">
        <v>85.98399999999999</v>
      </c>
      <c r="AL166" s="5" t="n">
        <v>51.093</v>
      </c>
      <c r="AR166" s="64" t="n">
        <v>171</v>
      </c>
      <c r="AS166" s="5" t="n">
        <v>20.87174061255839</v>
      </c>
      <c r="AT166" s="5" t="n">
        <v>9.861613900718954</v>
      </c>
      <c r="AU166" s="5" t="n">
        <v>0</v>
      </c>
      <c r="AW166" s="64">
        <f>Z166/Demand!AU184</f>
        <v/>
      </c>
      <c r="AX166" s="64">
        <f>AA166/Demand!AV184</f>
        <v/>
      </c>
      <c r="AY166" s="64">
        <f>AB166/Demand!AW184</f>
        <v/>
      </c>
      <c r="BG166" s="64" t="n">
        <v>171</v>
      </c>
      <c r="BH166" s="64">
        <f>Results!$B$19+AJ166-Results!$D$21</f>
        <v/>
      </c>
      <c r="BI166" s="64">
        <f>Results!$B$19+AK166-Results!$D$21</f>
        <v/>
      </c>
      <c r="BJ166" s="64">
        <f>Results!$B$19+AL166-Results!$D$21</f>
        <v/>
      </c>
      <c r="BM166" s="64" t="n">
        <v>171</v>
      </c>
      <c r="BN166" s="64">
        <f>Results!D181</f>
        <v/>
      </c>
      <c r="BO166" s="64">
        <f>Results!E181</f>
        <v/>
      </c>
      <c r="BP166" s="64">
        <f>Results!F181</f>
        <v/>
      </c>
      <c r="BS166" s="64" t="n">
        <v>171</v>
      </c>
      <c r="BT166" s="64">
        <f>Demand!AU184</f>
        <v/>
      </c>
      <c r="BU166" s="64">
        <f>Demand!AV184</f>
        <v/>
      </c>
      <c r="BV166" s="64">
        <f>Demand!AW184</f>
        <v/>
      </c>
      <c r="BY166" s="64" t="n">
        <v>171</v>
      </c>
      <c r="BZ166" s="64">
        <f>Retailers_Cap!N167</f>
        <v/>
      </c>
      <c r="CA166" s="64">
        <f>Retailers_Cap!O167</f>
        <v/>
      </c>
      <c r="CB166" s="64">
        <f>Retailers_Cap!P167</f>
        <v/>
      </c>
      <c r="CD166" s="64" t="n">
        <v>171</v>
      </c>
      <c r="CE166" s="64">
        <f>IF((BT166-BZ166)&gt;=0,"Dem","Folga")</f>
        <v/>
      </c>
      <c r="CF166" s="64">
        <f>IF((BU166-CA166)&gt;=0,"Dem","Folga")</f>
        <v/>
      </c>
      <c r="CG166" s="64">
        <f>IF((BV166-CB166)&gt;=0,"Dem","Folga")</f>
        <v/>
      </c>
    </row>
    <row r="167">
      <c r="M167" s="64">
        <f>TRUNC((_xlfn.NORM.INV((RAND()),$L$6,$L$7)),2)</f>
        <v/>
      </c>
      <c r="O167" s="64" t="n">
        <v>172</v>
      </c>
      <c r="P167" s="5" t="n">
        <v>250.45</v>
      </c>
      <c r="Q167" s="5" t="n">
        <v>279.38</v>
      </c>
      <c r="R167" s="5" t="n">
        <v>291.7</v>
      </c>
      <c r="W167" s="64">
        <f>TRUNC((_xlfn.NORM.INV((RAND()),$V$6,$V$7)),3)</f>
        <v/>
      </c>
      <c r="Y167" s="64" t="n">
        <v>172</v>
      </c>
      <c r="Z167" s="5" t="n">
        <v>6.681</v>
      </c>
      <c r="AA167" s="5" t="n">
        <v>6.728</v>
      </c>
      <c r="AB167" s="5" t="n">
        <v>6.781</v>
      </c>
      <c r="AG167" s="64">
        <f>TRUNC((_xlfn.NORM.INV((RAND()),$AF$6,$AF$7)),3)</f>
        <v/>
      </c>
      <c r="AI167" s="64" t="n">
        <v>172</v>
      </c>
      <c r="AJ167" s="5" t="n">
        <v>66.661</v>
      </c>
      <c r="AK167" s="5" t="n">
        <v>46.471</v>
      </c>
      <c r="AL167" s="5" t="n">
        <v>78.14700000000001</v>
      </c>
      <c r="AR167" s="64" t="n">
        <v>172</v>
      </c>
      <c r="AS167" s="5" t="n">
        <v>0</v>
      </c>
      <c r="AT167" s="5" t="n">
        <v>12.37579520487525</v>
      </c>
      <c r="AU167" s="5" t="n">
        <v>0</v>
      </c>
      <c r="AW167" s="64">
        <f>Z167/Demand!AU185</f>
        <v/>
      </c>
      <c r="AX167" s="64">
        <f>AA167/Demand!AV185</f>
        <v/>
      </c>
      <c r="AY167" s="64">
        <f>AB167/Demand!AW185</f>
        <v/>
      </c>
      <c r="BG167" s="64" t="n">
        <v>172</v>
      </c>
      <c r="BH167" s="64">
        <f>Results!$B$19+AJ167-Results!$D$21</f>
        <v/>
      </c>
      <c r="BI167" s="64">
        <f>Results!$B$19+AK167-Results!$D$21</f>
        <v/>
      </c>
      <c r="BJ167" s="64">
        <f>Results!$B$19+AL167-Results!$D$21</f>
        <v/>
      </c>
      <c r="BM167" s="64" t="n">
        <v>172</v>
      </c>
      <c r="BN167" s="64">
        <f>Results!D182</f>
        <v/>
      </c>
      <c r="BO167" s="64">
        <f>Results!E182</f>
        <v/>
      </c>
      <c r="BP167" s="64">
        <f>Results!F182</f>
        <v/>
      </c>
      <c r="BS167" s="64" t="n">
        <v>172</v>
      </c>
      <c r="BT167" s="64">
        <f>Demand!AU185</f>
        <v/>
      </c>
      <c r="BU167" s="64">
        <f>Demand!AV185</f>
        <v/>
      </c>
      <c r="BV167" s="64">
        <f>Demand!AW185</f>
        <v/>
      </c>
      <c r="BY167" s="64" t="n">
        <v>172</v>
      </c>
      <c r="BZ167" s="64">
        <f>Retailers_Cap!N168</f>
        <v/>
      </c>
      <c r="CA167" s="64">
        <f>Retailers_Cap!O168</f>
        <v/>
      </c>
      <c r="CB167" s="64">
        <f>Retailers_Cap!P168</f>
        <v/>
      </c>
      <c r="CD167" s="64" t="n">
        <v>172</v>
      </c>
      <c r="CE167" s="64">
        <f>IF((BT167-BZ167)&gt;=0,"Dem","Folga")</f>
        <v/>
      </c>
      <c r="CF167" s="64">
        <f>IF((BU167-CA167)&gt;=0,"Dem","Folga")</f>
        <v/>
      </c>
      <c r="CG167" s="64">
        <f>IF((BV167-CB167)&gt;=0,"Dem","Folga")</f>
        <v/>
      </c>
    </row>
    <row r="168">
      <c r="M168" s="64">
        <f>TRUNC((_xlfn.NORM.INV((RAND()),$L$6,$L$7)),2)</f>
        <v/>
      </c>
      <c r="O168" s="64" t="n">
        <v>173</v>
      </c>
      <c r="P168" s="5" t="n">
        <v>175.92</v>
      </c>
      <c r="Q168" s="5" t="n">
        <v>226.63</v>
      </c>
      <c r="R168" s="5" t="n">
        <v>194.9</v>
      </c>
      <c r="W168" s="64">
        <f>TRUNC((_xlfn.NORM.INV((RAND()),$V$6,$V$7)),3)</f>
        <v/>
      </c>
      <c r="Y168" s="64" t="n">
        <v>173</v>
      </c>
      <c r="Z168" s="5" t="n">
        <v>6.823</v>
      </c>
      <c r="AA168" s="5" t="n">
        <v>6.737</v>
      </c>
      <c r="AB168" s="5" t="n">
        <v>6.844</v>
      </c>
      <c r="AG168" s="64">
        <f>TRUNC((_xlfn.NORM.INV((RAND()),$AF$6,$AF$7)),3)</f>
        <v/>
      </c>
      <c r="AI168" s="64" t="n">
        <v>173</v>
      </c>
      <c r="AJ168" s="5" t="n">
        <v>55.997</v>
      </c>
      <c r="AK168" s="5" t="n">
        <v>62.861</v>
      </c>
      <c r="AL168" s="5" t="n">
        <v>94.697</v>
      </c>
      <c r="AR168" s="64" t="n">
        <v>173</v>
      </c>
      <c r="AS168" s="5" t="n">
        <v>4.271704600128125</v>
      </c>
      <c r="AT168" s="5" t="n">
        <v>0</v>
      </c>
      <c r="AU168" s="5" t="n">
        <v>0</v>
      </c>
      <c r="AW168" s="64">
        <f>Z168/Demand!AU186</f>
        <v/>
      </c>
      <c r="AX168" s="64">
        <f>AA168/Demand!AV186</f>
        <v/>
      </c>
      <c r="AY168" s="64">
        <f>AB168/Demand!AW186</f>
        <v/>
      </c>
      <c r="BG168" s="64" t="n">
        <v>173</v>
      </c>
      <c r="BH168" s="64">
        <f>Results!$B$19+AJ168-Results!$D$21</f>
        <v/>
      </c>
      <c r="BI168" s="64">
        <f>Results!$B$19+AK168-Results!$D$21</f>
        <v/>
      </c>
      <c r="BJ168" s="64">
        <f>Results!$B$19+AL168-Results!$D$21</f>
        <v/>
      </c>
      <c r="BM168" s="64" t="n">
        <v>173</v>
      </c>
      <c r="BN168" s="64">
        <f>Results!D183</f>
        <v/>
      </c>
      <c r="BO168" s="64">
        <f>Results!E183</f>
        <v/>
      </c>
      <c r="BP168" s="64">
        <f>Results!F183</f>
        <v/>
      </c>
      <c r="BS168" s="64" t="n">
        <v>173</v>
      </c>
      <c r="BT168" s="64">
        <f>Demand!AU186</f>
        <v/>
      </c>
      <c r="BU168" s="64">
        <f>Demand!AV186</f>
        <v/>
      </c>
      <c r="BV168" s="64">
        <f>Demand!AW186</f>
        <v/>
      </c>
      <c r="BY168" s="64" t="n">
        <v>173</v>
      </c>
      <c r="BZ168" s="64">
        <f>Retailers_Cap!N169</f>
        <v/>
      </c>
      <c r="CA168" s="64">
        <f>Retailers_Cap!O169</f>
        <v/>
      </c>
      <c r="CB168" s="64">
        <f>Retailers_Cap!P169</f>
        <v/>
      </c>
      <c r="CD168" s="64" t="n">
        <v>173</v>
      </c>
      <c r="CE168" s="64">
        <f>IF((BT168-BZ168)&gt;=0,"Dem","Folga")</f>
        <v/>
      </c>
      <c r="CF168" s="64">
        <f>IF((BU168-CA168)&gt;=0,"Dem","Folga")</f>
        <v/>
      </c>
      <c r="CG168" s="64">
        <f>IF((BV168-CB168)&gt;=0,"Dem","Folga")</f>
        <v/>
      </c>
    </row>
    <row r="169">
      <c r="M169" s="64">
        <f>TRUNC((_xlfn.NORM.INV((RAND()),$L$6,$L$7)),2)</f>
        <v/>
      </c>
      <c r="O169" s="64" t="n">
        <v>174</v>
      </c>
      <c r="P169" s="5" t="n">
        <v>250.3</v>
      </c>
      <c r="Q169" s="5" t="n">
        <v>277.04</v>
      </c>
      <c r="R169" s="5" t="n">
        <v>222.81</v>
      </c>
      <c r="W169" s="64">
        <f>TRUNC((_xlfn.NORM.INV((RAND()),$V$6,$V$7)),3)</f>
        <v/>
      </c>
      <c r="Y169" s="64" t="n">
        <v>174</v>
      </c>
      <c r="Z169" s="5" t="n">
        <v>6.744</v>
      </c>
      <c r="AA169" s="5" t="n">
        <v>6.753</v>
      </c>
      <c r="AB169" s="5" t="n">
        <v>6.771</v>
      </c>
      <c r="AG169" s="64">
        <f>TRUNC((_xlfn.NORM.INV((RAND()),$AF$6,$AF$7)),3)</f>
        <v/>
      </c>
      <c r="AI169" s="64" t="n">
        <v>174</v>
      </c>
      <c r="AJ169" s="5" t="n">
        <v>62.222</v>
      </c>
      <c r="AK169" s="5" t="n">
        <v>53.686</v>
      </c>
      <c r="AL169" s="5" t="n">
        <v>67.50700000000001</v>
      </c>
      <c r="AR169" s="64" t="n">
        <v>174</v>
      </c>
      <c r="AS169" s="5" t="n">
        <v>0</v>
      </c>
      <c r="AT169" s="5" t="n">
        <v>0</v>
      </c>
      <c r="AU169" s="5" t="n">
        <v>0</v>
      </c>
      <c r="AW169" s="64">
        <f>Z169/Demand!AU187</f>
        <v/>
      </c>
      <c r="AX169" s="64">
        <f>AA169/Demand!AV187</f>
        <v/>
      </c>
      <c r="AY169" s="64">
        <f>AB169/Demand!AW187</f>
        <v/>
      </c>
      <c r="BG169" s="64" t="n">
        <v>174</v>
      </c>
      <c r="BH169" s="64">
        <f>Results!$B$19+AJ169-Results!$D$21</f>
        <v/>
      </c>
      <c r="BI169" s="64">
        <f>Results!$B$19+AK169-Results!$D$21</f>
        <v/>
      </c>
      <c r="BJ169" s="64">
        <f>Results!$B$19+AL169-Results!$D$21</f>
        <v/>
      </c>
      <c r="BM169" s="64" t="n">
        <v>174</v>
      </c>
      <c r="BN169" s="64">
        <f>Results!D184</f>
        <v/>
      </c>
      <c r="BO169" s="64">
        <f>Results!E184</f>
        <v/>
      </c>
      <c r="BP169" s="64">
        <f>Results!F184</f>
        <v/>
      </c>
      <c r="BS169" s="64" t="n">
        <v>174</v>
      </c>
      <c r="BT169" s="64">
        <f>Demand!AU187</f>
        <v/>
      </c>
      <c r="BU169" s="64">
        <f>Demand!AV187</f>
        <v/>
      </c>
      <c r="BV169" s="64">
        <f>Demand!AW187</f>
        <v/>
      </c>
      <c r="BY169" s="64" t="n">
        <v>174</v>
      </c>
      <c r="BZ169" s="64">
        <f>Retailers_Cap!N170</f>
        <v/>
      </c>
      <c r="CA169" s="64">
        <f>Retailers_Cap!O170</f>
        <v/>
      </c>
      <c r="CB169" s="64">
        <f>Retailers_Cap!P170</f>
        <v/>
      </c>
      <c r="CD169" s="64" t="n">
        <v>174</v>
      </c>
      <c r="CE169" s="64">
        <f>IF((BT169-BZ169)&gt;=0,"Dem","Folga")</f>
        <v/>
      </c>
      <c r="CF169" s="64">
        <f>IF((BU169-CA169)&gt;=0,"Dem","Folga")</f>
        <v/>
      </c>
      <c r="CG169" s="64">
        <f>IF((BV169-CB169)&gt;=0,"Dem","Folga")</f>
        <v/>
      </c>
    </row>
    <row r="170">
      <c r="M170" s="64">
        <f>TRUNC((_xlfn.NORM.INV((RAND()),$L$6,$L$7)),2)</f>
        <v/>
      </c>
      <c r="O170" s="64" t="n">
        <v>175</v>
      </c>
      <c r="P170" s="5" t="n">
        <v>192.49</v>
      </c>
      <c r="Q170" s="5" t="n">
        <v>203.63</v>
      </c>
      <c r="R170" s="5" t="n">
        <v>231.48</v>
      </c>
      <c r="W170" s="64">
        <f>TRUNC((_xlfn.NORM.INV((RAND()),$V$6,$V$7)),3)</f>
        <v/>
      </c>
      <c r="Y170" s="64" t="n">
        <v>175</v>
      </c>
      <c r="Z170" s="5" t="n">
        <v>6.659</v>
      </c>
      <c r="AA170" s="5" t="n">
        <v>6.836</v>
      </c>
      <c r="AB170" s="5" t="n">
        <v>6.747</v>
      </c>
      <c r="AG170" s="64">
        <f>TRUNC((_xlfn.NORM.INV((RAND()),$AF$6,$AF$7)),3)</f>
        <v/>
      </c>
      <c r="AI170" s="64" t="n">
        <v>175</v>
      </c>
      <c r="AJ170" s="5" t="n">
        <v>51.259</v>
      </c>
      <c r="AK170" s="5" t="n">
        <v>47.085</v>
      </c>
      <c r="AL170" s="5" t="n">
        <v>74.723</v>
      </c>
      <c r="AR170" s="64" t="n">
        <v>175</v>
      </c>
      <c r="AS170" s="5" t="n">
        <v>0</v>
      </c>
      <c r="AT170" s="5" t="n">
        <v>0</v>
      </c>
      <c r="AU170" s="5" t="n">
        <v>0</v>
      </c>
      <c r="AW170" s="64">
        <f>Z170/Demand!AU188</f>
        <v/>
      </c>
      <c r="AX170" s="64">
        <f>AA170/Demand!AV188</f>
        <v/>
      </c>
      <c r="AY170" s="64">
        <f>AB170/Demand!AW188</f>
        <v/>
      </c>
      <c r="BG170" s="64" t="n">
        <v>175</v>
      </c>
      <c r="BH170" s="64">
        <f>Results!$B$19+AJ170-Results!$D$21</f>
        <v/>
      </c>
      <c r="BI170" s="64">
        <f>Results!$B$19+AK170-Results!$D$21</f>
        <v/>
      </c>
      <c r="BJ170" s="64">
        <f>Results!$B$19+AL170-Results!$D$21</f>
        <v/>
      </c>
      <c r="BM170" s="64" t="n">
        <v>175</v>
      </c>
      <c r="BN170" s="64">
        <f>Results!D185</f>
        <v/>
      </c>
      <c r="BO170" s="64">
        <f>Results!E185</f>
        <v/>
      </c>
      <c r="BP170" s="64">
        <f>Results!F185</f>
        <v/>
      </c>
      <c r="BS170" s="64" t="n">
        <v>175</v>
      </c>
      <c r="BT170" s="64">
        <f>Demand!AU188</f>
        <v/>
      </c>
      <c r="BU170" s="64">
        <f>Demand!AV188</f>
        <v/>
      </c>
      <c r="BV170" s="64">
        <f>Demand!AW188</f>
        <v/>
      </c>
      <c r="BY170" s="64" t="n">
        <v>175</v>
      </c>
      <c r="BZ170" s="64">
        <f>Retailers_Cap!N171</f>
        <v/>
      </c>
      <c r="CA170" s="64">
        <f>Retailers_Cap!O171</f>
        <v/>
      </c>
      <c r="CB170" s="64">
        <f>Retailers_Cap!P171</f>
        <v/>
      </c>
      <c r="CD170" s="64" t="n">
        <v>175</v>
      </c>
      <c r="CE170" s="64">
        <f>IF((BT170-BZ170)&gt;=0,"Dem","Folga")</f>
        <v/>
      </c>
      <c r="CF170" s="64">
        <f>IF((BU170-CA170)&gt;=0,"Dem","Folga")</f>
        <v/>
      </c>
      <c r="CG170" s="64">
        <f>IF((BV170-CB170)&gt;=0,"Dem","Folga")</f>
        <v/>
      </c>
    </row>
    <row r="171">
      <c r="M171" s="64">
        <f>TRUNC((_xlfn.NORM.INV((RAND()),$L$6,$L$7)),2)</f>
        <v/>
      </c>
      <c r="O171" s="64" t="n">
        <v>176</v>
      </c>
      <c r="P171" s="5" t="n">
        <v>226.73</v>
      </c>
      <c r="Q171" s="5" t="n">
        <v>168.66</v>
      </c>
      <c r="R171" s="5" t="n">
        <v>241.61</v>
      </c>
      <c r="W171" s="64">
        <f>TRUNC((_xlfn.NORM.INV((RAND()),$V$6,$V$7)),3)</f>
        <v/>
      </c>
      <c r="Y171" s="64" t="n">
        <v>176</v>
      </c>
      <c r="Z171" s="5" t="n">
        <v>6.68</v>
      </c>
      <c r="AA171" s="5" t="n">
        <v>6.782</v>
      </c>
      <c r="AB171" s="5" t="n">
        <v>6.803</v>
      </c>
      <c r="AG171" s="64">
        <f>TRUNC((_xlfn.NORM.INV((RAND()),$AF$6,$AF$7)),3)</f>
        <v/>
      </c>
      <c r="AI171" s="64" t="n">
        <v>176</v>
      </c>
      <c r="AJ171" s="5" t="n">
        <v>76.328</v>
      </c>
      <c r="AK171" s="5" t="n">
        <v>59.529</v>
      </c>
      <c r="AL171" s="5" t="n">
        <v>78.256</v>
      </c>
      <c r="AR171" s="64" t="n">
        <v>176</v>
      </c>
      <c r="AS171" s="5" t="n">
        <v>19.88787224722858</v>
      </c>
      <c r="AT171" s="5" t="n">
        <v>34.75334513803566</v>
      </c>
      <c r="AU171" s="5" t="n">
        <v>5.823296301799129</v>
      </c>
      <c r="AW171" s="64">
        <f>Z171/Demand!AU189</f>
        <v/>
      </c>
      <c r="AX171" s="64">
        <f>AA171/Demand!AV189</f>
        <v/>
      </c>
      <c r="AY171" s="64">
        <f>AB171/Demand!AW189</f>
        <v/>
      </c>
      <c r="BG171" s="64" t="n">
        <v>176</v>
      </c>
      <c r="BH171" s="64">
        <f>Results!$B$19+AJ171-Results!$D$21</f>
        <v/>
      </c>
      <c r="BI171" s="64">
        <f>Results!$B$19+AK171-Results!$D$21</f>
        <v/>
      </c>
      <c r="BJ171" s="64">
        <f>Results!$B$19+AL171-Results!$D$21</f>
        <v/>
      </c>
      <c r="BM171" s="64" t="n">
        <v>176</v>
      </c>
      <c r="BN171" s="64">
        <f>Results!D186</f>
        <v/>
      </c>
      <c r="BO171" s="64">
        <f>Results!E186</f>
        <v/>
      </c>
      <c r="BP171" s="64">
        <f>Results!F186</f>
        <v/>
      </c>
      <c r="BS171" s="64" t="n">
        <v>176</v>
      </c>
      <c r="BT171" s="64">
        <f>Demand!AU189</f>
        <v/>
      </c>
      <c r="BU171" s="64">
        <f>Demand!AV189</f>
        <v/>
      </c>
      <c r="BV171" s="64">
        <f>Demand!AW189</f>
        <v/>
      </c>
      <c r="BY171" s="64" t="n">
        <v>176</v>
      </c>
      <c r="BZ171" s="64">
        <f>Retailers_Cap!N172</f>
        <v/>
      </c>
      <c r="CA171" s="64">
        <f>Retailers_Cap!O172</f>
        <v/>
      </c>
      <c r="CB171" s="64">
        <f>Retailers_Cap!P172</f>
        <v/>
      </c>
      <c r="CD171" s="64" t="n">
        <v>176</v>
      </c>
      <c r="CE171" s="64">
        <f>IF((BT171-BZ171)&gt;=0,"Dem","Folga")</f>
        <v/>
      </c>
      <c r="CF171" s="64">
        <f>IF((BU171-CA171)&gt;=0,"Dem","Folga")</f>
        <v/>
      </c>
      <c r="CG171" s="64">
        <f>IF((BV171-CB171)&gt;=0,"Dem","Folga")</f>
        <v/>
      </c>
    </row>
    <row r="172">
      <c r="M172" s="64">
        <f>TRUNC((_xlfn.NORM.INV((RAND()),$L$6,$L$7)),2)</f>
        <v/>
      </c>
      <c r="O172" s="64" t="n">
        <v>177</v>
      </c>
      <c r="P172" s="5" t="n">
        <v>115.99</v>
      </c>
      <c r="Q172" s="5" t="n">
        <v>195.08</v>
      </c>
      <c r="R172" s="5" t="n">
        <v>262.31</v>
      </c>
      <c r="W172" s="64">
        <f>TRUNC((_xlfn.NORM.INV((RAND()),$V$6,$V$7)),3)</f>
        <v/>
      </c>
      <c r="Y172" s="64" t="n">
        <v>177</v>
      </c>
      <c r="Z172" s="5" t="n">
        <v>6.573</v>
      </c>
      <c r="AA172" s="5" t="n">
        <v>6.749</v>
      </c>
      <c r="AB172" s="5" t="n">
        <v>6.771</v>
      </c>
      <c r="AG172" s="64">
        <f>TRUNC((_xlfn.NORM.INV((RAND()),$AF$6,$AF$7)),3)</f>
        <v/>
      </c>
      <c r="AI172" s="64" t="n">
        <v>177</v>
      </c>
      <c r="AJ172" s="5" t="n">
        <v>61.991</v>
      </c>
      <c r="AK172" s="5" t="n">
        <v>50.447</v>
      </c>
      <c r="AL172" s="5" t="n">
        <v>44.912</v>
      </c>
      <c r="AR172" s="64" t="n">
        <v>177</v>
      </c>
      <c r="AS172" s="5" t="n">
        <v>0</v>
      </c>
      <c r="AT172" s="5" t="n">
        <v>13.91290540893562</v>
      </c>
      <c r="AU172" s="5" t="n">
        <v>0</v>
      </c>
      <c r="AW172" s="64">
        <f>Z172/Demand!AU190</f>
        <v/>
      </c>
      <c r="AX172" s="64">
        <f>AA172/Demand!AV190</f>
        <v/>
      </c>
      <c r="AY172" s="64">
        <f>AB172/Demand!AW190</f>
        <v/>
      </c>
      <c r="BG172" s="64" t="n">
        <v>177</v>
      </c>
      <c r="BH172" s="64">
        <f>Results!$B$19+AJ172-Results!$D$21</f>
        <v/>
      </c>
      <c r="BI172" s="64">
        <f>Results!$B$19+AK172-Results!$D$21</f>
        <v/>
      </c>
      <c r="BJ172" s="64">
        <f>Results!$B$19+AL172-Results!$D$21</f>
        <v/>
      </c>
      <c r="BM172" s="64" t="n">
        <v>177</v>
      </c>
      <c r="BN172" s="64">
        <f>Results!D187</f>
        <v/>
      </c>
      <c r="BO172" s="64">
        <f>Results!E187</f>
        <v/>
      </c>
      <c r="BP172" s="64">
        <f>Results!F187</f>
        <v/>
      </c>
      <c r="BS172" s="64" t="n">
        <v>177</v>
      </c>
      <c r="BT172" s="64">
        <f>Demand!AU190</f>
        <v/>
      </c>
      <c r="BU172" s="64">
        <f>Demand!AV190</f>
        <v/>
      </c>
      <c r="BV172" s="64">
        <f>Demand!AW190</f>
        <v/>
      </c>
      <c r="BY172" s="64" t="n">
        <v>177</v>
      </c>
      <c r="BZ172" s="64">
        <f>Retailers_Cap!N173</f>
        <v/>
      </c>
      <c r="CA172" s="64">
        <f>Retailers_Cap!O173</f>
        <v/>
      </c>
      <c r="CB172" s="64">
        <f>Retailers_Cap!P173</f>
        <v/>
      </c>
      <c r="CD172" s="64" t="n">
        <v>177</v>
      </c>
      <c r="CE172" s="64">
        <f>IF((BT172-BZ172)&gt;=0,"Dem","Folga")</f>
        <v/>
      </c>
      <c r="CF172" s="64">
        <f>IF((BU172-CA172)&gt;=0,"Dem","Folga")</f>
        <v/>
      </c>
      <c r="CG172" s="64">
        <f>IF((BV172-CB172)&gt;=0,"Dem","Folga")</f>
        <v/>
      </c>
    </row>
    <row r="173">
      <c r="M173" s="64">
        <f>TRUNC((_xlfn.NORM.INV((RAND()),$L$6,$L$7)),2)</f>
        <v/>
      </c>
      <c r="O173" s="64" t="n">
        <v>178</v>
      </c>
      <c r="P173" s="5" t="n">
        <v>191.21</v>
      </c>
      <c r="Q173" s="5" t="n">
        <v>176.51</v>
      </c>
      <c r="R173" s="5" t="n">
        <v>263.96</v>
      </c>
      <c r="W173" s="64">
        <f>TRUNC((_xlfn.NORM.INV((RAND()),$V$6,$V$7)),3)</f>
        <v/>
      </c>
      <c r="Y173" s="64" t="n">
        <v>178</v>
      </c>
      <c r="Z173" s="5" t="n">
        <v>6.73</v>
      </c>
      <c r="AA173" s="5" t="n">
        <v>6.787</v>
      </c>
      <c r="AB173" s="5" t="n">
        <v>6.833</v>
      </c>
      <c r="AG173" s="64">
        <f>TRUNC((_xlfn.NORM.INV((RAND()),$AF$6,$AF$7)),3)</f>
        <v/>
      </c>
      <c r="AI173" s="64" t="n">
        <v>178</v>
      </c>
      <c r="AJ173" s="5" t="n">
        <v>70.702</v>
      </c>
      <c r="AK173" s="5" t="n">
        <v>62.289</v>
      </c>
      <c r="AL173" s="5" t="n">
        <v>57.974</v>
      </c>
      <c r="AR173" s="64" t="n">
        <v>178</v>
      </c>
      <c r="AS173" s="5" t="n">
        <v>0</v>
      </c>
      <c r="AT173" s="5" t="n">
        <v>3.355676903101748</v>
      </c>
      <c r="AU173" s="5" t="n">
        <v>4.022358003209589</v>
      </c>
      <c r="AW173" s="64">
        <f>Z173/Demand!AU191</f>
        <v/>
      </c>
      <c r="AX173" s="64">
        <f>AA173/Demand!AV191</f>
        <v/>
      </c>
      <c r="AY173" s="64">
        <f>AB173/Demand!AW191</f>
        <v/>
      </c>
      <c r="BG173" s="64" t="n">
        <v>178</v>
      </c>
      <c r="BH173" s="64">
        <f>Results!$B$19+AJ173-Results!$D$21</f>
        <v/>
      </c>
      <c r="BI173" s="64">
        <f>Results!$B$19+AK173-Results!$D$21</f>
        <v/>
      </c>
      <c r="BJ173" s="64">
        <f>Results!$B$19+AL173-Results!$D$21</f>
        <v/>
      </c>
      <c r="BM173" s="64" t="n">
        <v>178</v>
      </c>
      <c r="BN173" s="64">
        <f>Results!D188</f>
        <v/>
      </c>
      <c r="BO173" s="64">
        <f>Results!E188</f>
        <v/>
      </c>
      <c r="BP173" s="64">
        <f>Results!F188</f>
        <v/>
      </c>
      <c r="BS173" s="64" t="n">
        <v>178</v>
      </c>
      <c r="BT173" s="64">
        <f>Demand!AU191</f>
        <v/>
      </c>
      <c r="BU173" s="64">
        <f>Demand!AV191</f>
        <v/>
      </c>
      <c r="BV173" s="64">
        <f>Demand!AW191</f>
        <v/>
      </c>
      <c r="BY173" s="64" t="n">
        <v>178</v>
      </c>
      <c r="BZ173" s="64">
        <f>Retailers_Cap!N174</f>
        <v/>
      </c>
      <c r="CA173" s="64">
        <f>Retailers_Cap!O174</f>
        <v/>
      </c>
      <c r="CB173" s="64">
        <f>Retailers_Cap!P174</f>
        <v/>
      </c>
      <c r="CD173" s="64" t="n">
        <v>178</v>
      </c>
      <c r="CE173" s="64">
        <f>IF((BT173-BZ173)&gt;=0,"Dem","Folga")</f>
        <v/>
      </c>
      <c r="CF173" s="64">
        <f>IF((BU173-CA173)&gt;=0,"Dem","Folga")</f>
        <v/>
      </c>
      <c r="CG173" s="64">
        <f>IF((BV173-CB173)&gt;=0,"Dem","Folga")</f>
        <v/>
      </c>
    </row>
    <row r="174">
      <c r="M174" s="64">
        <f>TRUNC((_xlfn.NORM.INV((RAND()),$L$6,$L$7)),2)</f>
        <v/>
      </c>
      <c r="O174" s="64" t="n">
        <v>179</v>
      </c>
      <c r="P174" s="5" t="n">
        <v>257.32</v>
      </c>
      <c r="Q174" s="5" t="n">
        <v>127.66</v>
      </c>
      <c r="R174" s="5" t="n">
        <v>172.49</v>
      </c>
      <c r="W174" s="64">
        <f>TRUNC((_xlfn.NORM.INV((RAND()),$V$6,$V$7)),3)</f>
        <v/>
      </c>
      <c r="Y174" s="64" t="n">
        <v>179</v>
      </c>
      <c r="Z174" s="5" t="n">
        <v>6.893</v>
      </c>
      <c r="AA174" s="5" t="n">
        <v>6.792</v>
      </c>
      <c r="AB174" s="5" t="n">
        <v>6.648</v>
      </c>
      <c r="AG174" s="64">
        <f>TRUNC((_xlfn.NORM.INV((RAND()),$AF$6,$AF$7)),3)</f>
        <v/>
      </c>
      <c r="AI174" s="64" t="n">
        <v>179</v>
      </c>
      <c r="AJ174" s="5" t="n">
        <v>49.258</v>
      </c>
      <c r="AK174" s="5" t="n">
        <v>86.279</v>
      </c>
      <c r="AL174" s="5" t="n">
        <v>81.41200000000001</v>
      </c>
      <c r="AR174" s="64" t="n">
        <v>179</v>
      </c>
      <c r="AS174" s="5" t="n">
        <v>0</v>
      </c>
      <c r="AT174" s="5" t="n">
        <v>0</v>
      </c>
      <c r="AU174" s="5" t="n">
        <v>0</v>
      </c>
      <c r="AW174" s="64">
        <f>Z174/Demand!AU192</f>
        <v/>
      </c>
      <c r="AX174" s="64">
        <f>AA174/Demand!AV192</f>
        <v/>
      </c>
      <c r="AY174" s="64">
        <f>AB174/Demand!AW192</f>
        <v/>
      </c>
      <c r="BG174" s="64" t="n">
        <v>179</v>
      </c>
      <c r="BH174" s="64">
        <f>Results!$B$19+AJ174-Results!$D$21</f>
        <v/>
      </c>
      <c r="BI174" s="64">
        <f>Results!$B$19+AK174-Results!$D$21</f>
        <v/>
      </c>
      <c r="BJ174" s="64">
        <f>Results!$B$19+AL174-Results!$D$21</f>
        <v/>
      </c>
      <c r="BM174" s="64" t="n">
        <v>179</v>
      </c>
      <c r="BN174" s="64">
        <f>Results!D189</f>
        <v/>
      </c>
      <c r="BO174" s="64">
        <f>Results!E189</f>
        <v/>
      </c>
      <c r="BP174" s="64">
        <f>Results!F189</f>
        <v/>
      </c>
      <c r="BS174" s="64" t="n">
        <v>179</v>
      </c>
      <c r="BT174" s="64">
        <f>Demand!AU192</f>
        <v/>
      </c>
      <c r="BU174" s="64">
        <f>Demand!AV192</f>
        <v/>
      </c>
      <c r="BV174" s="64">
        <f>Demand!AW192</f>
        <v/>
      </c>
      <c r="BY174" s="64" t="n">
        <v>179</v>
      </c>
      <c r="BZ174" s="64">
        <f>Retailers_Cap!N175</f>
        <v/>
      </c>
      <c r="CA174" s="64">
        <f>Retailers_Cap!O175</f>
        <v/>
      </c>
      <c r="CB174" s="64">
        <f>Retailers_Cap!P175</f>
        <v/>
      </c>
      <c r="CD174" s="64" t="n">
        <v>179</v>
      </c>
      <c r="CE174" s="64">
        <f>IF((BT174-BZ174)&gt;=0,"Dem","Folga")</f>
        <v/>
      </c>
      <c r="CF174" s="64">
        <f>IF((BU174-CA174)&gt;=0,"Dem","Folga")</f>
        <v/>
      </c>
      <c r="CG174" s="64">
        <f>IF((BV174-CB174)&gt;=0,"Dem","Folga")</f>
        <v/>
      </c>
    </row>
    <row r="175">
      <c r="M175" s="64">
        <f>TRUNC((_xlfn.NORM.INV((RAND()),$L$6,$L$7)),2)</f>
        <v/>
      </c>
      <c r="O175" s="64" t="n">
        <v>180</v>
      </c>
      <c r="P175" s="5" t="n">
        <v>188.68</v>
      </c>
      <c r="Q175" s="5" t="n">
        <v>209.57</v>
      </c>
      <c r="R175" s="5" t="n">
        <v>165.19</v>
      </c>
      <c r="W175" s="64">
        <f>TRUNC((_xlfn.NORM.INV((RAND()),$V$6,$V$7)),3)</f>
        <v/>
      </c>
      <c r="Y175" s="64" t="n">
        <v>180</v>
      </c>
      <c r="Z175" s="5" t="n">
        <v>6.711</v>
      </c>
      <c r="AA175" s="5" t="n">
        <v>6.713</v>
      </c>
      <c r="AB175" s="5" t="n">
        <v>6.78</v>
      </c>
      <c r="AG175" s="64">
        <f>TRUNC((_xlfn.NORM.INV((RAND()),$AF$6,$AF$7)),3)</f>
        <v/>
      </c>
      <c r="AI175" s="64" t="n">
        <v>180</v>
      </c>
      <c r="AJ175" s="5" t="n">
        <v>54.315</v>
      </c>
      <c r="AK175" s="5" t="n">
        <v>69.72799999999999</v>
      </c>
      <c r="AL175" s="5" t="n">
        <v>66.7</v>
      </c>
      <c r="AR175" s="64" t="n">
        <v>180</v>
      </c>
      <c r="AS175" s="5" t="n">
        <v>0</v>
      </c>
      <c r="AT175" s="5" t="n">
        <v>10.8400311324065</v>
      </c>
      <c r="AU175" s="5" t="n">
        <v>6.722390536916445</v>
      </c>
      <c r="AW175" s="64">
        <f>Z175/Demand!AU193</f>
        <v/>
      </c>
      <c r="AX175" s="64">
        <f>AA175/Demand!AV193</f>
        <v/>
      </c>
      <c r="AY175" s="64">
        <f>AB175/Demand!AW193</f>
        <v/>
      </c>
      <c r="BG175" s="64" t="n">
        <v>180</v>
      </c>
      <c r="BH175" s="64">
        <f>Results!$B$19+AJ175-Results!$D$21</f>
        <v/>
      </c>
      <c r="BI175" s="64">
        <f>Results!$B$19+AK175-Results!$D$21</f>
        <v/>
      </c>
      <c r="BJ175" s="64">
        <f>Results!$B$19+AL175-Results!$D$21</f>
        <v/>
      </c>
      <c r="BM175" s="64" t="n">
        <v>180</v>
      </c>
      <c r="BN175" s="64">
        <f>Results!D190</f>
        <v/>
      </c>
      <c r="BO175" s="64">
        <f>Results!E190</f>
        <v/>
      </c>
      <c r="BP175" s="64">
        <f>Results!F190</f>
        <v/>
      </c>
      <c r="BS175" s="64" t="n">
        <v>180</v>
      </c>
      <c r="BT175" s="64">
        <f>Demand!AU193</f>
        <v/>
      </c>
      <c r="BU175" s="64">
        <f>Demand!AV193</f>
        <v/>
      </c>
      <c r="BV175" s="64">
        <f>Demand!AW193</f>
        <v/>
      </c>
      <c r="BY175" s="64" t="n">
        <v>180</v>
      </c>
      <c r="BZ175" s="64">
        <f>Retailers_Cap!N176</f>
        <v/>
      </c>
      <c r="CA175" s="64">
        <f>Retailers_Cap!O176</f>
        <v/>
      </c>
      <c r="CB175" s="64">
        <f>Retailers_Cap!P176</f>
        <v/>
      </c>
      <c r="CD175" s="64" t="n">
        <v>180</v>
      </c>
      <c r="CE175" s="64">
        <f>IF((BT175-BZ175)&gt;=0,"Dem","Folga")</f>
        <v/>
      </c>
      <c r="CF175" s="64">
        <f>IF((BU175-CA175)&gt;=0,"Dem","Folga")</f>
        <v/>
      </c>
      <c r="CG175" s="64">
        <f>IF((BV175-CB175)&gt;=0,"Dem","Folga")</f>
        <v/>
      </c>
    </row>
    <row r="176">
      <c r="M176" s="64">
        <f>TRUNC((_xlfn.NORM.INV((RAND()),$L$6,$L$7)),2)</f>
        <v/>
      </c>
      <c r="O176" s="64" t="n">
        <v>181</v>
      </c>
      <c r="P176" s="5" t="n">
        <v>183.72</v>
      </c>
      <c r="Q176" s="5" t="n">
        <v>217.51</v>
      </c>
      <c r="R176" s="5" t="n">
        <v>157.5</v>
      </c>
      <c r="W176" s="64">
        <f>TRUNC((_xlfn.NORM.INV((RAND()),$V$6,$V$7)),3)</f>
        <v/>
      </c>
      <c r="Y176" s="64" t="n">
        <v>181</v>
      </c>
      <c r="Z176" s="5" t="n">
        <v>6.701</v>
      </c>
      <c r="AA176" s="5" t="n">
        <v>6.753</v>
      </c>
      <c r="AB176" s="5" t="n">
        <v>6.813</v>
      </c>
      <c r="AG176" s="64">
        <f>TRUNC((_xlfn.NORM.INV((RAND()),$AF$6,$AF$7)),3)</f>
        <v/>
      </c>
      <c r="AI176" s="64" t="n">
        <v>181</v>
      </c>
      <c r="AJ176" s="5" t="n">
        <v>56.533</v>
      </c>
      <c r="AK176" s="5" t="n">
        <v>65.581</v>
      </c>
      <c r="AL176" s="5" t="n">
        <v>66.003</v>
      </c>
      <c r="AR176" s="64" t="n">
        <v>181</v>
      </c>
      <c r="AS176" s="5" t="n">
        <v>0</v>
      </c>
      <c r="AT176" s="5" t="n">
        <v>0</v>
      </c>
      <c r="AU176" s="5" t="n">
        <v>0</v>
      </c>
      <c r="AW176" s="64">
        <f>Z176/Demand!AU194</f>
        <v/>
      </c>
      <c r="AX176" s="64">
        <f>AA176/Demand!AV194</f>
        <v/>
      </c>
      <c r="AY176" s="64">
        <f>AB176/Demand!AW194</f>
        <v/>
      </c>
      <c r="BG176" s="64" t="n">
        <v>181</v>
      </c>
      <c r="BH176" s="64">
        <f>Results!$B$19+AJ176-Results!$D$21</f>
        <v/>
      </c>
      <c r="BI176" s="64">
        <f>Results!$B$19+AK176-Results!$D$21</f>
        <v/>
      </c>
      <c r="BJ176" s="64">
        <f>Results!$B$19+AL176-Results!$D$21</f>
        <v/>
      </c>
      <c r="BM176" s="64" t="n">
        <v>181</v>
      </c>
      <c r="BN176" s="64">
        <f>Results!D191</f>
        <v/>
      </c>
      <c r="BO176" s="64">
        <f>Results!E191</f>
        <v/>
      </c>
      <c r="BP176" s="64">
        <f>Results!F191</f>
        <v/>
      </c>
      <c r="BS176" s="64" t="n">
        <v>181</v>
      </c>
      <c r="BT176" s="64">
        <f>Demand!AU194</f>
        <v/>
      </c>
      <c r="BU176" s="64">
        <f>Demand!AV194</f>
        <v/>
      </c>
      <c r="BV176" s="64">
        <f>Demand!AW194</f>
        <v/>
      </c>
      <c r="BY176" s="64" t="n">
        <v>181</v>
      </c>
      <c r="BZ176" s="64">
        <f>Retailers_Cap!N177</f>
        <v/>
      </c>
      <c r="CA176" s="64">
        <f>Retailers_Cap!O177</f>
        <v/>
      </c>
      <c r="CB176" s="64">
        <f>Retailers_Cap!P177</f>
        <v/>
      </c>
      <c r="CD176" s="64" t="n">
        <v>181</v>
      </c>
      <c r="CE176" s="64">
        <f>IF((BT176-BZ176)&gt;=0,"Dem","Folga")</f>
        <v/>
      </c>
      <c r="CF176" s="64">
        <f>IF((BU176-CA176)&gt;=0,"Dem","Folga")</f>
        <v/>
      </c>
      <c r="CG176" s="64">
        <f>IF((BV176-CB176)&gt;=0,"Dem","Folga")</f>
        <v/>
      </c>
    </row>
    <row r="177">
      <c r="M177" s="64">
        <f>TRUNC((_xlfn.NORM.INV((RAND()),$L$6,$L$7)),2)</f>
        <v/>
      </c>
      <c r="O177" s="64" t="n">
        <v>182</v>
      </c>
      <c r="P177" s="5" t="n">
        <v>157.19</v>
      </c>
      <c r="Q177" s="5" t="n">
        <v>212.79</v>
      </c>
      <c r="R177" s="5" t="n">
        <v>261.24</v>
      </c>
      <c r="W177" s="64">
        <f>TRUNC((_xlfn.NORM.INV((RAND()),$V$6,$V$7)),3)</f>
        <v/>
      </c>
      <c r="Y177" s="64" t="n">
        <v>182</v>
      </c>
      <c r="Z177" s="5" t="n">
        <v>6.825</v>
      </c>
      <c r="AA177" s="5" t="n">
        <v>6.807</v>
      </c>
      <c r="AB177" s="5" t="n">
        <v>6.846</v>
      </c>
      <c r="AG177" s="64">
        <f>TRUNC((_xlfn.NORM.INV((RAND()),$AF$6,$AF$7)),3)</f>
        <v/>
      </c>
      <c r="AI177" s="64" t="n">
        <v>182</v>
      </c>
      <c r="AJ177" s="5" t="n">
        <v>56.555</v>
      </c>
      <c r="AK177" s="5" t="n">
        <v>63.908</v>
      </c>
      <c r="AL177" s="5" t="n">
        <v>69.252</v>
      </c>
      <c r="AR177" s="64" t="n">
        <v>182</v>
      </c>
      <c r="AS177" s="5" t="n">
        <v>0</v>
      </c>
      <c r="AT177" s="5" t="n">
        <v>0</v>
      </c>
      <c r="AU177" s="5" t="n">
        <v>6.65218934901434</v>
      </c>
      <c r="AW177" s="64">
        <f>Z177/Demand!AU195</f>
        <v/>
      </c>
      <c r="AX177" s="64">
        <f>AA177/Demand!AV195</f>
        <v/>
      </c>
      <c r="AY177" s="64">
        <f>AB177/Demand!AW195</f>
        <v/>
      </c>
      <c r="BG177" s="64" t="n">
        <v>182</v>
      </c>
      <c r="BH177" s="64">
        <f>Results!$B$19+AJ177-Results!$D$21</f>
        <v/>
      </c>
      <c r="BI177" s="64">
        <f>Results!$B$19+AK177-Results!$D$21</f>
        <v/>
      </c>
      <c r="BJ177" s="64">
        <f>Results!$B$19+AL177-Results!$D$21</f>
        <v/>
      </c>
      <c r="BM177" s="64" t="n">
        <v>182</v>
      </c>
      <c r="BN177" s="64">
        <f>Results!D192</f>
        <v/>
      </c>
      <c r="BO177" s="64">
        <f>Results!E192</f>
        <v/>
      </c>
      <c r="BP177" s="64">
        <f>Results!F192</f>
        <v/>
      </c>
      <c r="BS177" s="64" t="n">
        <v>182</v>
      </c>
      <c r="BT177" s="64">
        <f>Demand!AU195</f>
        <v/>
      </c>
      <c r="BU177" s="64">
        <f>Demand!AV195</f>
        <v/>
      </c>
      <c r="BV177" s="64">
        <f>Demand!AW195</f>
        <v/>
      </c>
      <c r="BY177" s="64" t="n">
        <v>182</v>
      </c>
      <c r="BZ177" s="64">
        <f>Retailers_Cap!N178</f>
        <v/>
      </c>
      <c r="CA177" s="64">
        <f>Retailers_Cap!O178</f>
        <v/>
      </c>
      <c r="CB177" s="64">
        <f>Retailers_Cap!P178</f>
        <v/>
      </c>
      <c r="CD177" s="64" t="n">
        <v>182</v>
      </c>
      <c r="CE177" s="64">
        <f>IF((BT177-BZ177)&gt;=0,"Dem","Folga")</f>
        <v/>
      </c>
      <c r="CF177" s="64">
        <f>IF((BU177-CA177)&gt;=0,"Dem","Folga")</f>
        <v/>
      </c>
      <c r="CG177" s="64">
        <f>IF((BV177-CB177)&gt;=0,"Dem","Folga")</f>
        <v/>
      </c>
    </row>
    <row r="178">
      <c r="M178" s="64">
        <f>TRUNC((_xlfn.NORM.INV((RAND()),$L$6,$L$7)),2)</f>
        <v/>
      </c>
      <c r="O178" s="64" t="n">
        <v>183</v>
      </c>
      <c r="P178" s="5" t="n">
        <v>211.47</v>
      </c>
      <c r="Q178" s="5" t="n">
        <v>239.67</v>
      </c>
      <c r="R178" s="5" t="n">
        <v>138.07</v>
      </c>
      <c r="W178" s="64">
        <f>TRUNC((_xlfn.NORM.INV((RAND()),$V$6,$V$7)),3)</f>
        <v/>
      </c>
      <c r="Y178" s="64" t="n">
        <v>183</v>
      </c>
      <c r="Z178" s="5" t="n">
        <v>6.751</v>
      </c>
      <c r="AA178" s="5" t="n">
        <v>6.766</v>
      </c>
      <c r="AB178" s="5" t="n">
        <v>6.799</v>
      </c>
      <c r="AG178" s="64">
        <f>TRUNC((_xlfn.NORM.INV((RAND()),$AF$6,$AF$7)),3)</f>
        <v/>
      </c>
      <c r="AI178" s="64" t="n">
        <v>183</v>
      </c>
      <c r="AJ178" s="5" t="n">
        <v>67.679</v>
      </c>
      <c r="AK178" s="5" t="n">
        <v>31.107</v>
      </c>
      <c r="AL178" s="5" t="n">
        <v>59.942</v>
      </c>
      <c r="AR178" s="64" t="n">
        <v>183</v>
      </c>
      <c r="AS178" s="5" t="n">
        <v>14.10395758063191</v>
      </c>
      <c r="AT178" s="5" t="n">
        <v>1.219648718848611</v>
      </c>
      <c r="AU178" s="5" t="n">
        <v>0</v>
      </c>
      <c r="AW178" s="64">
        <f>Z178/Demand!AU196</f>
        <v/>
      </c>
      <c r="AX178" s="64">
        <f>AA178/Demand!AV196</f>
        <v/>
      </c>
      <c r="AY178" s="64">
        <f>AB178/Demand!AW196</f>
        <v/>
      </c>
      <c r="BG178" s="64" t="n">
        <v>183</v>
      </c>
      <c r="BH178" s="64">
        <f>Results!$B$19+AJ178-Results!$D$21</f>
        <v/>
      </c>
      <c r="BI178" s="64">
        <f>Results!$B$19+AK178-Results!$D$21</f>
        <v/>
      </c>
      <c r="BJ178" s="64">
        <f>Results!$B$19+AL178-Results!$D$21</f>
        <v/>
      </c>
      <c r="BM178" s="64" t="n">
        <v>183</v>
      </c>
      <c r="BN178" s="64">
        <f>Results!D193</f>
        <v/>
      </c>
      <c r="BO178" s="64">
        <f>Results!E193</f>
        <v/>
      </c>
      <c r="BP178" s="64">
        <f>Results!F193</f>
        <v/>
      </c>
      <c r="BS178" s="64" t="n">
        <v>183</v>
      </c>
      <c r="BT178" s="64">
        <f>Demand!AU196</f>
        <v/>
      </c>
      <c r="BU178" s="64">
        <f>Demand!AV196</f>
        <v/>
      </c>
      <c r="BV178" s="64">
        <f>Demand!AW196</f>
        <v/>
      </c>
      <c r="BY178" s="64" t="n">
        <v>183</v>
      </c>
      <c r="BZ178" s="64">
        <f>Retailers_Cap!N179</f>
        <v/>
      </c>
      <c r="CA178" s="64">
        <f>Retailers_Cap!O179</f>
        <v/>
      </c>
      <c r="CB178" s="64">
        <f>Retailers_Cap!P179</f>
        <v/>
      </c>
      <c r="CD178" s="64" t="n">
        <v>183</v>
      </c>
      <c r="CE178" s="64">
        <f>IF((BT178-BZ178)&gt;=0,"Dem","Folga")</f>
        <v/>
      </c>
      <c r="CF178" s="64">
        <f>IF((BU178-CA178)&gt;=0,"Dem","Folga")</f>
        <v/>
      </c>
      <c r="CG178" s="64">
        <f>IF((BV178-CB178)&gt;=0,"Dem","Folga")</f>
        <v/>
      </c>
    </row>
    <row r="179">
      <c r="M179" s="64">
        <f>TRUNC((_xlfn.NORM.INV((RAND()),$L$6,$L$7)),2)</f>
        <v/>
      </c>
      <c r="O179" s="64" t="n">
        <v>184</v>
      </c>
      <c r="P179" s="5" t="n">
        <v>244.13</v>
      </c>
      <c r="Q179" s="5" t="n">
        <v>259.07</v>
      </c>
      <c r="R179" s="5" t="n">
        <v>224.91</v>
      </c>
      <c r="W179" s="64">
        <f>TRUNC((_xlfn.NORM.INV((RAND()),$V$6,$V$7)),3)</f>
        <v/>
      </c>
      <c r="Y179" s="64" t="n">
        <v>184</v>
      </c>
      <c r="Z179" s="5" t="n">
        <v>6.766</v>
      </c>
      <c r="AA179" s="5" t="n">
        <v>6.772</v>
      </c>
      <c r="AB179" s="5" t="n">
        <v>6.764</v>
      </c>
      <c r="AG179" s="64">
        <f>TRUNC((_xlfn.NORM.INV((RAND()),$AF$6,$AF$7)),3)</f>
        <v/>
      </c>
      <c r="AI179" s="64" t="n">
        <v>184</v>
      </c>
      <c r="AJ179" s="5" t="n">
        <v>59.455</v>
      </c>
      <c r="AK179" s="5" t="n">
        <v>56.377</v>
      </c>
      <c r="AL179" s="5" t="n">
        <v>66.08799999999999</v>
      </c>
      <c r="AR179" s="64" t="n">
        <v>184</v>
      </c>
      <c r="AS179" s="5" t="n">
        <v>14.26480993572664</v>
      </c>
      <c r="AT179" s="5" t="n">
        <v>16.45537405630727</v>
      </c>
      <c r="AU179" s="5" t="n">
        <v>16.43738712672332</v>
      </c>
      <c r="AW179" s="64">
        <f>Z179/Demand!AU197</f>
        <v/>
      </c>
      <c r="AX179" s="64">
        <f>AA179/Demand!AV197</f>
        <v/>
      </c>
      <c r="AY179" s="64">
        <f>AB179/Demand!AW197</f>
        <v/>
      </c>
      <c r="BG179" s="64" t="n">
        <v>184</v>
      </c>
      <c r="BH179" s="64">
        <f>Results!$B$19+AJ179-Results!$D$21</f>
        <v/>
      </c>
      <c r="BI179" s="64">
        <f>Results!$B$19+AK179-Results!$D$21</f>
        <v/>
      </c>
      <c r="BJ179" s="64">
        <f>Results!$B$19+AL179-Results!$D$21</f>
        <v/>
      </c>
      <c r="BM179" s="64" t="n">
        <v>184</v>
      </c>
      <c r="BN179" s="64">
        <f>Results!D194</f>
        <v/>
      </c>
      <c r="BO179" s="64">
        <f>Results!E194</f>
        <v/>
      </c>
      <c r="BP179" s="64">
        <f>Results!F194</f>
        <v/>
      </c>
      <c r="BS179" s="64" t="n">
        <v>184</v>
      </c>
      <c r="BT179" s="64">
        <f>Demand!AU197</f>
        <v/>
      </c>
      <c r="BU179" s="64">
        <f>Demand!AV197</f>
        <v/>
      </c>
      <c r="BV179" s="64">
        <f>Demand!AW197</f>
        <v/>
      </c>
      <c r="BY179" s="64" t="n">
        <v>184</v>
      </c>
      <c r="BZ179" s="64">
        <f>Retailers_Cap!N180</f>
        <v/>
      </c>
      <c r="CA179" s="64">
        <f>Retailers_Cap!O180</f>
        <v/>
      </c>
      <c r="CB179" s="64">
        <f>Retailers_Cap!P180</f>
        <v/>
      </c>
      <c r="CD179" s="64" t="n">
        <v>184</v>
      </c>
      <c r="CE179" s="64">
        <f>IF((BT179-BZ179)&gt;=0,"Dem","Folga")</f>
        <v/>
      </c>
      <c r="CF179" s="64">
        <f>IF((BU179-CA179)&gt;=0,"Dem","Folga")</f>
        <v/>
      </c>
      <c r="CG179" s="64">
        <f>IF((BV179-CB179)&gt;=0,"Dem","Folga")</f>
        <v/>
      </c>
    </row>
    <row r="180">
      <c r="M180" s="64">
        <f>TRUNC((_xlfn.NORM.INV((RAND()),$L$6,$L$7)),2)</f>
        <v/>
      </c>
      <c r="O180" s="64" t="n">
        <v>185</v>
      </c>
      <c r="P180" s="5" t="n">
        <v>186.24</v>
      </c>
      <c r="Q180" s="5" t="n">
        <v>190.14</v>
      </c>
      <c r="R180" s="5" t="n">
        <v>183.24</v>
      </c>
      <c r="W180" s="64">
        <f>TRUNC((_xlfn.NORM.INV((RAND()),$V$6,$V$7)),3)</f>
        <v/>
      </c>
      <c r="Y180" s="64" t="n">
        <v>185</v>
      </c>
      <c r="Z180" s="5" t="n">
        <v>6.733</v>
      </c>
      <c r="AA180" s="5" t="n">
        <v>6.747</v>
      </c>
      <c r="AB180" s="5" t="n">
        <v>6.74</v>
      </c>
      <c r="AG180" s="64">
        <f>TRUNC((_xlfn.NORM.INV((RAND()),$AF$6,$AF$7)),3)</f>
        <v/>
      </c>
      <c r="AI180" s="64" t="n">
        <v>185</v>
      </c>
      <c r="AJ180" s="5" t="n">
        <v>58.842</v>
      </c>
      <c r="AK180" s="5" t="n">
        <v>39.305</v>
      </c>
      <c r="AL180" s="5" t="n">
        <v>56.79</v>
      </c>
      <c r="AR180" s="64" t="n">
        <v>185</v>
      </c>
      <c r="AS180" s="5" t="n">
        <v>18.30551636403404</v>
      </c>
      <c r="AT180" s="5" t="n">
        <v>0</v>
      </c>
      <c r="AU180" s="5" t="n">
        <v>0</v>
      </c>
      <c r="AW180" s="64">
        <f>Z180/Demand!AU198</f>
        <v/>
      </c>
      <c r="AX180" s="64">
        <f>AA180/Demand!AV198</f>
        <v/>
      </c>
      <c r="AY180" s="64">
        <f>AB180/Demand!AW198</f>
        <v/>
      </c>
      <c r="BG180" s="64" t="n">
        <v>185</v>
      </c>
      <c r="BH180" s="64">
        <f>Results!$B$19+AJ180-Results!$D$21</f>
        <v/>
      </c>
      <c r="BI180" s="64">
        <f>Results!$B$19+AK180-Results!$D$21</f>
        <v/>
      </c>
      <c r="BJ180" s="64">
        <f>Results!$B$19+AL180-Results!$D$21</f>
        <v/>
      </c>
      <c r="BM180" s="64" t="n">
        <v>185</v>
      </c>
      <c r="BN180" s="64">
        <f>Results!D195</f>
        <v/>
      </c>
      <c r="BO180" s="64">
        <f>Results!E195</f>
        <v/>
      </c>
      <c r="BP180" s="64">
        <f>Results!F195</f>
        <v/>
      </c>
      <c r="BS180" s="64" t="n">
        <v>185</v>
      </c>
      <c r="BT180" s="64">
        <f>Demand!AU198</f>
        <v/>
      </c>
      <c r="BU180" s="64">
        <f>Demand!AV198</f>
        <v/>
      </c>
      <c r="BV180" s="64">
        <f>Demand!AW198</f>
        <v/>
      </c>
      <c r="BY180" s="64" t="n">
        <v>185</v>
      </c>
      <c r="BZ180" s="64">
        <f>Retailers_Cap!N181</f>
        <v/>
      </c>
      <c r="CA180" s="64">
        <f>Retailers_Cap!O181</f>
        <v/>
      </c>
      <c r="CB180" s="64">
        <f>Retailers_Cap!P181</f>
        <v/>
      </c>
      <c r="CD180" s="64" t="n">
        <v>185</v>
      </c>
      <c r="CE180" s="64">
        <f>IF((BT180-BZ180)&gt;=0,"Dem","Folga")</f>
        <v/>
      </c>
      <c r="CF180" s="64">
        <f>IF((BU180-CA180)&gt;=0,"Dem","Folga")</f>
        <v/>
      </c>
      <c r="CG180" s="64">
        <f>IF((BV180-CB180)&gt;=0,"Dem","Folga")</f>
        <v/>
      </c>
    </row>
    <row r="181">
      <c r="M181" s="64">
        <f>TRUNC((_xlfn.NORM.INV((RAND()),$L$6,$L$7)),2)</f>
        <v/>
      </c>
      <c r="O181" s="64" t="n">
        <v>186</v>
      </c>
      <c r="P181" s="5" t="n">
        <v>263.82</v>
      </c>
      <c r="Q181" s="5" t="n">
        <v>221.51</v>
      </c>
      <c r="R181" s="5" t="n">
        <v>276.74</v>
      </c>
      <c r="W181" s="64">
        <f>TRUNC((_xlfn.NORM.INV((RAND()),$V$6,$V$7)),3)</f>
        <v/>
      </c>
      <c r="Y181" s="64" t="n">
        <v>186</v>
      </c>
      <c r="Z181" s="5" t="n">
        <v>6.782</v>
      </c>
      <c r="AA181" s="5" t="n">
        <v>6.734</v>
      </c>
      <c r="AB181" s="5" t="n">
        <v>6.746</v>
      </c>
      <c r="AG181" s="64">
        <f>TRUNC((_xlfn.NORM.INV((RAND()),$AF$6,$AF$7)),3)</f>
        <v/>
      </c>
      <c r="AI181" s="64" t="n">
        <v>186</v>
      </c>
      <c r="AJ181" s="5" t="n">
        <v>45.586</v>
      </c>
      <c r="AK181" s="5" t="n">
        <v>68.288</v>
      </c>
      <c r="AL181" s="5" t="n">
        <v>71.79600000000001</v>
      </c>
      <c r="AR181" s="64" t="n">
        <v>186</v>
      </c>
      <c r="AS181" s="5" t="n">
        <v>0</v>
      </c>
      <c r="AT181" s="5" t="n">
        <v>13.1360466479249</v>
      </c>
      <c r="AU181" s="5" t="n">
        <v>0</v>
      </c>
      <c r="AW181" s="64">
        <f>Z181/Demand!AU199</f>
        <v/>
      </c>
      <c r="AX181" s="64">
        <f>AA181/Demand!AV199</f>
        <v/>
      </c>
      <c r="AY181" s="64">
        <f>AB181/Demand!AW199</f>
        <v/>
      </c>
      <c r="BG181" s="64" t="n">
        <v>186</v>
      </c>
      <c r="BH181" s="64">
        <f>Results!$B$19+AJ181-Results!$D$21</f>
        <v/>
      </c>
      <c r="BI181" s="64">
        <f>Results!$B$19+AK181-Results!$D$21</f>
        <v/>
      </c>
      <c r="BJ181" s="64">
        <f>Results!$B$19+AL181-Results!$D$21</f>
        <v/>
      </c>
      <c r="BM181" s="64" t="n">
        <v>186</v>
      </c>
      <c r="BN181" s="64">
        <f>Results!D196</f>
        <v/>
      </c>
      <c r="BO181" s="64">
        <f>Results!E196</f>
        <v/>
      </c>
      <c r="BP181" s="64">
        <f>Results!F196</f>
        <v/>
      </c>
      <c r="BS181" s="64" t="n">
        <v>186</v>
      </c>
      <c r="BT181" s="64">
        <f>Demand!AU199</f>
        <v/>
      </c>
      <c r="BU181" s="64">
        <f>Demand!AV199</f>
        <v/>
      </c>
      <c r="BV181" s="64">
        <f>Demand!AW199</f>
        <v/>
      </c>
      <c r="BY181" s="64" t="n">
        <v>186</v>
      </c>
      <c r="BZ181" s="64">
        <f>Retailers_Cap!N182</f>
        <v/>
      </c>
      <c r="CA181" s="64">
        <f>Retailers_Cap!O182</f>
        <v/>
      </c>
      <c r="CB181" s="64">
        <f>Retailers_Cap!P182</f>
        <v/>
      </c>
      <c r="CD181" s="64" t="n">
        <v>186</v>
      </c>
      <c r="CE181" s="64">
        <f>IF((BT181-BZ181)&gt;=0,"Dem","Folga")</f>
        <v/>
      </c>
      <c r="CF181" s="64">
        <f>IF((BU181-CA181)&gt;=0,"Dem","Folga")</f>
        <v/>
      </c>
      <c r="CG181" s="64">
        <f>IF((BV181-CB181)&gt;=0,"Dem","Folga")</f>
        <v/>
      </c>
    </row>
    <row r="182">
      <c r="M182" s="64">
        <f>TRUNC((_xlfn.NORM.INV((RAND()),$L$6,$L$7)),2)</f>
        <v/>
      </c>
      <c r="O182" s="64" t="n">
        <v>187</v>
      </c>
      <c r="P182" s="5" t="n">
        <v>218.55</v>
      </c>
      <c r="Q182" s="5" t="n">
        <v>192.99</v>
      </c>
      <c r="R182" s="5" t="n">
        <v>211.31</v>
      </c>
      <c r="W182" s="64">
        <f>TRUNC((_xlfn.NORM.INV((RAND()),$V$6,$V$7)),3)</f>
        <v/>
      </c>
      <c r="Y182" s="64" t="n">
        <v>187</v>
      </c>
      <c r="Z182" s="5" t="n">
        <v>6.826</v>
      </c>
      <c r="AA182" s="5" t="n">
        <v>6.707</v>
      </c>
      <c r="AB182" s="5" t="n">
        <v>6.737</v>
      </c>
      <c r="AG182" s="64">
        <f>TRUNC((_xlfn.NORM.INV((RAND()),$AF$6,$AF$7)),3)</f>
        <v/>
      </c>
      <c r="AI182" s="64" t="n">
        <v>187</v>
      </c>
      <c r="AJ182" s="5" t="n">
        <v>65.64400000000001</v>
      </c>
      <c r="AK182" s="5" t="n">
        <v>71.682</v>
      </c>
      <c r="AL182" s="5" t="n">
        <v>49.387</v>
      </c>
      <c r="AR182" s="64" t="n">
        <v>187</v>
      </c>
      <c r="AS182" s="5" t="n">
        <v>22.5209168287253</v>
      </c>
      <c r="AT182" s="5" t="n">
        <v>0</v>
      </c>
      <c r="AU182" s="5" t="n">
        <v>0</v>
      </c>
      <c r="AW182" s="64">
        <f>Z182/Demand!AU200</f>
        <v/>
      </c>
      <c r="AX182" s="64">
        <f>AA182/Demand!AV200</f>
        <v/>
      </c>
      <c r="AY182" s="64">
        <f>AB182/Demand!AW200</f>
        <v/>
      </c>
      <c r="BG182" s="64" t="n">
        <v>187</v>
      </c>
      <c r="BH182" s="64">
        <f>Results!$B$19+AJ182-Results!$D$21</f>
        <v/>
      </c>
      <c r="BI182" s="64">
        <f>Results!$B$19+AK182-Results!$D$21</f>
        <v/>
      </c>
      <c r="BJ182" s="64">
        <f>Results!$B$19+AL182-Results!$D$21</f>
        <v/>
      </c>
      <c r="BM182" s="64" t="n">
        <v>187</v>
      </c>
      <c r="BN182" s="64">
        <f>Results!D197</f>
        <v/>
      </c>
      <c r="BO182" s="64">
        <f>Results!E197</f>
        <v/>
      </c>
      <c r="BP182" s="64">
        <f>Results!F197</f>
        <v/>
      </c>
      <c r="BS182" s="64" t="n">
        <v>187</v>
      </c>
      <c r="BT182" s="64">
        <f>Demand!AU200</f>
        <v/>
      </c>
      <c r="BU182" s="64">
        <f>Demand!AV200</f>
        <v/>
      </c>
      <c r="BV182" s="64">
        <f>Demand!AW200</f>
        <v/>
      </c>
      <c r="BY182" s="64" t="n">
        <v>187</v>
      </c>
      <c r="BZ182" s="64">
        <f>Retailers_Cap!N183</f>
        <v/>
      </c>
      <c r="CA182" s="64">
        <f>Retailers_Cap!O183</f>
        <v/>
      </c>
      <c r="CB182" s="64">
        <f>Retailers_Cap!P183</f>
        <v/>
      </c>
      <c r="CD182" s="64" t="n">
        <v>187</v>
      </c>
      <c r="CE182" s="64">
        <f>IF((BT182-BZ182)&gt;=0,"Dem","Folga")</f>
        <v/>
      </c>
      <c r="CF182" s="64">
        <f>IF((BU182-CA182)&gt;=0,"Dem","Folga")</f>
        <v/>
      </c>
      <c r="CG182" s="64">
        <f>IF((BV182-CB182)&gt;=0,"Dem","Folga")</f>
        <v/>
      </c>
    </row>
    <row r="183">
      <c r="M183" s="64">
        <f>TRUNC((_xlfn.NORM.INV((RAND()),$L$6,$L$7)),2)</f>
        <v/>
      </c>
      <c r="O183" s="64" t="n">
        <v>188</v>
      </c>
      <c r="P183" s="5" t="n">
        <v>214.89</v>
      </c>
      <c r="Q183" s="5" t="n">
        <v>188.91</v>
      </c>
      <c r="R183" s="5" t="n">
        <v>186.15</v>
      </c>
      <c r="W183" s="64">
        <f>TRUNC((_xlfn.NORM.INV((RAND()),$V$6,$V$7)),3)</f>
        <v/>
      </c>
      <c r="Y183" s="64" t="n">
        <v>188</v>
      </c>
      <c r="Z183" s="5" t="n">
        <v>6.831</v>
      </c>
      <c r="AA183" s="5" t="n">
        <v>6.71</v>
      </c>
      <c r="AB183" s="5" t="n">
        <v>6.642</v>
      </c>
      <c r="AG183" s="64">
        <f>TRUNC((_xlfn.NORM.INV((RAND()),$AF$6,$AF$7)),3)</f>
        <v/>
      </c>
      <c r="AI183" s="64" t="n">
        <v>188</v>
      </c>
      <c r="AJ183" s="5" t="n">
        <v>43.098</v>
      </c>
      <c r="AK183" s="5" t="n">
        <v>69.706</v>
      </c>
      <c r="AL183" s="5" t="n">
        <v>62.839</v>
      </c>
      <c r="AR183" s="64" t="n">
        <v>188</v>
      </c>
      <c r="AS183" s="5" t="n">
        <v>0</v>
      </c>
      <c r="AT183" s="5" t="n">
        <v>11.23357967341014</v>
      </c>
      <c r="AU183" s="5" t="n">
        <v>13.60194621451315</v>
      </c>
      <c r="AW183" s="64">
        <f>Z183/Demand!AU201</f>
        <v/>
      </c>
      <c r="AX183" s="64">
        <f>AA183/Demand!AV201</f>
        <v/>
      </c>
      <c r="AY183" s="64">
        <f>AB183/Demand!AW201</f>
        <v/>
      </c>
      <c r="BG183" s="64" t="n">
        <v>188</v>
      </c>
      <c r="BH183" s="64">
        <f>Results!$B$19+AJ183-Results!$D$21</f>
        <v/>
      </c>
      <c r="BI183" s="64">
        <f>Results!$B$19+AK183-Results!$D$21</f>
        <v/>
      </c>
      <c r="BJ183" s="64">
        <f>Results!$B$19+AL183-Results!$D$21</f>
        <v/>
      </c>
      <c r="BM183" s="64" t="n">
        <v>188</v>
      </c>
      <c r="BN183" s="64">
        <f>Results!D198</f>
        <v/>
      </c>
      <c r="BO183" s="64">
        <f>Results!E198</f>
        <v/>
      </c>
      <c r="BP183" s="64">
        <f>Results!F198</f>
        <v/>
      </c>
      <c r="BS183" s="64" t="n">
        <v>188</v>
      </c>
      <c r="BT183" s="64">
        <f>Demand!AU201</f>
        <v/>
      </c>
      <c r="BU183" s="64">
        <f>Demand!AV201</f>
        <v/>
      </c>
      <c r="BV183" s="64">
        <f>Demand!AW201</f>
        <v/>
      </c>
      <c r="BY183" s="64" t="n">
        <v>188</v>
      </c>
      <c r="BZ183" s="64">
        <f>Retailers_Cap!N184</f>
        <v/>
      </c>
      <c r="CA183" s="64">
        <f>Retailers_Cap!O184</f>
        <v/>
      </c>
      <c r="CB183" s="64">
        <f>Retailers_Cap!P184</f>
        <v/>
      </c>
      <c r="CD183" s="64" t="n">
        <v>188</v>
      </c>
      <c r="CE183" s="64">
        <f>IF((BT183-BZ183)&gt;=0,"Dem","Folga")</f>
        <v/>
      </c>
      <c r="CF183" s="64">
        <f>IF((BU183-CA183)&gt;=0,"Dem","Folga")</f>
        <v/>
      </c>
      <c r="CG183" s="64">
        <f>IF((BV183-CB183)&gt;=0,"Dem","Folga")</f>
        <v/>
      </c>
    </row>
    <row r="184">
      <c r="M184" s="64">
        <f>TRUNC((_xlfn.NORM.INV((RAND()),$L$6,$L$7)),2)</f>
        <v/>
      </c>
      <c r="O184" s="64" t="n">
        <v>189</v>
      </c>
      <c r="P184" s="5" t="n">
        <v>158.9</v>
      </c>
      <c r="Q184" s="5" t="n">
        <v>231.36</v>
      </c>
      <c r="R184" s="5" t="n">
        <v>196.91</v>
      </c>
      <c r="W184" s="64">
        <f>TRUNC((_xlfn.NORM.INV((RAND()),$V$6,$V$7)),3)</f>
        <v/>
      </c>
      <c r="Y184" s="64" t="n">
        <v>189</v>
      </c>
      <c r="Z184" s="5" t="n">
        <v>6.701</v>
      </c>
      <c r="AA184" s="5" t="n">
        <v>6.649</v>
      </c>
      <c r="AB184" s="5" t="n">
        <v>6.689</v>
      </c>
      <c r="AG184" s="64">
        <f>TRUNC((_xlfn.NORM.INV((RAND()),$AF$6,$AF$7)),3)</f>
        <v/>
      </c>
      <c r="AI184" s="64" t="n">
        <v>189</v>
      </c>
      <c r="AJ184" s="5" t="n">
        <v>56.564</v>
      </c>
      <c r="AK184" s="5" t="n">
        <v>62.17</v>
      </c>
      <c r="AL184" s="5" t="n">
        <v>57.854</v>
      </c>
      <c r="AR184" s="64" t="n">
        <v>189</v>
      </c>
      <c r="AS184" s="5" t="n">
        <v>0</v>
      </c>
      <c r="AT184" s="5" t="n">
        <v>0</v>
      </c>
      <c r="AU184" s="5" t="n">
        <v>0</v>
      </c>
      <c r="AW184" s="64">
        <f>Z184/Demand!AU202</f>
        <v/>
      </c>
      <c r="AX184" s="64">
        <f>AA184/Demand!AV202</f>
        <v/>
      </c>
      <c r="AY184" s="64">
        <f>AB184/Demand!AW202</f>
        <v/>
      </c>
      <c r="BG184" s="64" t="n">
        <v>189</v>
      </c>
      <c r="BH184" s="64">
        <f>Results!$B$19+AJ184-Results!$D$21</f>
        <v/>
      </c>
      <c r="BI184" s="64">
        <f>Results!$B$19+AK184-Results!$D$21</f>
        <v/>
      </c>
      <c r="BJ184" s="64">
        <f>Results!$B$19+AL184-Results!$D$21</f>
        <v/>
      </c>
      <c r="BM184" s="64" t="n">
        <v>189</v>
      </c>
      <c r="BN184" s="64">
        <f>Results!D199</f>
        <v/>
      </c>
      <c r="BO184" s="64">
        <f>Results!E199</f>
        <v/>
      </c>
      <c r="BP184" s="64">
        <f>Results!F199</f>
        <v/>
      </c>
      <c r="BS184" s="64" t="n">
        <v>189</v>
      </c>
      <c r="BT184" s="64">
        <f>Demand!AU202</f>
        <v/>
      </c>
      <c r="BU184" s="64">
        <f>Demand!AV202</f>
        <v/>
      </c>
      <c r="BV184" s="64">
        <f>Demand!AW202</f>
        <v/>
      </c>
      <c r="BY184" s="64" t="n">
        <v>189</v>
      </c>
      <c r="BZ184" s="64">
        <f>Retailers_Cap!N185</f>
        <v/>
      </c>
      <c r="CA184" s="64">
        <f>Retailers_Cap!O185</f>
        <v/>
      </c>
      <c r="CB184" s="64">
        <f>Retailers_Cap!P185</f>
        <v/>
      </c>
      <c r="CD184" s="64" t="n">
        <v>189</v>
      </c>
      <c r="CE184" s="64">
        <f>IF((BT184-BZ184)&gt;=0,"Dem","Folga")</f>
        <v/>
      </c>
      <c r="CF184" s="64">
        <f>IF((BU184-CA184)&gt;=0,"Dem","Folga")</f>
        <v/>
      </c>
      <c r="CG184" s="64">
        <f>IF((BV184-CB184)&gt;=0,"Dem","Folga")</f>
        <v/>
      </c>
    </row>
    <row r="185">
      <c r="M185" s="64">
        <f>TRUNC((_xlfn.NORM.INV((RAND()),$L$6,$L$7)),2)</f>
        <v/>
      </c>
      <c r="O185" s="64" t="n">
        <v>190</v>
      </c>
      <c r="P185" s="5" t="n">
        <v>167.74</v>
      </c>
      <c r="Q185" s="5" t="n">
        <v>279.19</v>
      </c>
      <c r="R185" s="5" t="n">
        <v>175.59</v>
      </c>
      <c r="W185" s="64">
        <f>TRUNC((_xlfn.NORM.INV((RAND()),$V$6,$V$7)),3)</f>
        <v/>
      </c>
      <c r="Y185" s="64" t="n">
        <v>190</v>
      </c>
      <c r="Z185" s="5" t="n">
        <v>6.643</v>
      </c>
      <c r="AA185" s="5" t="n">
        <v>6.882</v>
      </c>
      <c r="AB185" s="5" t="n">
        <v>6.623</v>
      </c>
      <c r="AG185" s="64">
        <f>TRUNC((_xlfn.NORM.INV((RAND()),$AF$6,$AF$7)),3)</f>
        <v/>
      </c>
      <c r="AI185" s="64" t="n">
        <v>190</v>
      </c>
      <c r="AJ185" s="5" t="n">
        <v>39.428</v>
      </c>
      <c r="AK185" s="5" t="n">
        <v>66.18899999999999</v>
      </c>
      <c r="AL185" s="5" t="n">
        <v>60.83</v>
      </c>
      <c r="AR185" s="64" t="n">
        <v>190</v>
      </c>
      <c r="AS185" s="5" t="n">
        <v>0</v>
      </c>
      <c r="AT185" s="5" t="n">
        <v>8.422812530024137</v>
      </c>
      <c r="AU185" s="5" t="n">
        <v>0</v>
      </c>
      <c r="AW185" s="64">
        <f>Z185/Demand!AU203</f>
        <v/>
      </c>
      <c r="AX185" s="64">
        <f>AA185/Demand!AV203</f>
        <v/>
      </c>
      <c r="AY185" s="64">
        <f>AB185/Demand!AW203</f>
        <v/>
      </c>
      <c r="BG185" s="64" t="n">
        <v>190</v>
      </c>
      <c r="BH185" s="64">
        <f>Results!$B$19+AJ185-Results!$D$21</f>
        <v/>
      </c>
      <c r="BI185" s="64">
        <f>Results!$B$19+AK185-Results!$D$21</f>
        <v/>
      </c>
      <c r="BJ185" s="64">
        <f>Results!$B$19+AL185-Results!$D$21</f>
        <v/>
      </c>
      <c r="BM185" s="64" t="n">
        <v>190</v>
      </c>
      <c r="BN185" s="64">
        <f>Results!D200</f>
        <v/>
      </c>
      <c r="BO185" s="64">
        <f>Results!E200</f>
        <v/>
      </c>
      <c r="BP185" s="64">
        <f>Results!F200</f>
        <v/>
      </c>
      <c r="BS185" s="64" t="n">
        <v>190</v>
      </c>
      <c r="BT185" s="64">
        <f>Demand!AU203</f>
        <v/>
      </c>
      <c r="BU185" s="64">
        <f>Demand!AV203</f>
        <v/>
      </c>
      <c r="BV185" s="64">
        <f>Demand!AW203</f>
        <v/>
      </c>
      <c r="BY185" s="64" t="n">
        <v>190</v>
      </c>
      <c r="BZ185" s="64">
        <f>Retailers_Cap!N186</f>
        <v/>
      </c>
      <c r="CA185" s="64">
        <f>Retailers_Cap!O186</f>
        <v/>
      </c>
      <c r="CB185" s="64">
        <f>Retailers_Cap!P186</f>
        <v/>
      </c>
      <c r="CD185" s="64" t="n">
        <v>190</v>
      </c>
      <c r="CE185" s="64">
        <f>IF((BT185-BZ185)&gt;=0,"Dem","Folga")</f>
        <v/>
      </c>
      <c r="CF185" s="64">
        <f>IF((BU185-CA185)&gt;=0,"Dem","Folga")</f>
        <v/>
      </c>
      <c r="CG185" s="64">
        <f>IF((BV185-CB185)&gt;=0,"Dem","Folga")</f>
        <v/>
      </c>
    </row>
    <row r="186">
      <c r="M186" s="64">
        <f>TRUNC((_xlfn.NORM.INV((RAND()),$L$6,$L$7)),2)</f>
        <v/>
      </c>
      <c r="O186" s="64" t="n">
        <v>191</v>
      </c>
      <c r="P186" s="5" t="n">
        <v>204.63</v>
      </c>
      <c r="Q186" s="5" t="n">
        <v>215.51</v>
      </c>
      <c r="R186" s="5" t="n">
        <v>182.77</v>
      </c>
      <c r="W186" s="64">
        <f>TRUNC((_xlfn.NORM.INV((RAND()),$V$6,$V$7)),3)</f>
        <v/>
      </c>
      <c r="Y186" s="64" t="n">
        <v>191</v>
      </c>
      <c r="Z186" s="5" t="n">
        <v>6.779</v>
      </c>
      <c r="AA186" s="5" t="n">
        <v>6.914</v>
      </c>
      <c r="AB186" s="5" t="n">
        <v>6.742</v>
      </c>
      <c r="AG186" s="64">
        <f>TRUNC((_xlfn.NORM.INV((RAND()),$AF$6,$AF$7)),3)</f>
        <v/>
      </c>
      <c r="AI186" s="64" t="n">
        <v>191</v>
      </c>
      <c r="AJ186" s="5" t="n">
        <v>67.929</v>
      </c>
      <c r="AK186" s="5" t="n">
        <v>58.746</v>
      </c>
      <c r="AL186" s="5" t="n">
        <v>67.633</v>
      </c>
      <c r="AR186" s="64" t="n">
        <v>191</v>
      </c>
      <c r="AS186" s="5" t="n">
        <v>5.926870880067319</v>
      </c>
      <c r="AT186" s="5" t="n">
        <v>10.7703727206162</v>
      </c>
      <c r="AU186" s="5" t="n">
        <v>29.49427979438891</v>
      </c>
      <c r="AW186" s="64">
        <f>Z186/Demand!AU204</f>
        <v/>
      </c>
      <c r="AX186" s="64">
        <f>AA186/Demand!AV204</f>
        <v/>
      </c>
      <c r="AY186" s="64">
        <f>AB186/Demand!AW204</f>
        <v/>
      </c>
      <c r="BG186" s="64" t="n">
        <v>191</v>
      </c>
      <c r="BH186" s="64">
        <f>Results!$B$19+AJ186-Results!$D$21</f>
        <v/>
      </c>
      <c r="BI186" s="64">
        <f>Results!$B$19+AK186-Results!$D$21</f>
        <v/>
      </c>
      <c r="BJ186" s="64">
        <f>Results!$B$19+AL186-Results!$D$21</f>
        <v/>
      </c>
      <c r="BM186" s="64" t="n">
        <v>191</v>
      </c>
      <c r="BN186" s="64">
        <f>Results!D201</f>
        <v/>
      </c>
      <c r="BO186" s="64">
        <f>Results!E201</f>
        <v/>
      </c>
      <c r="BP186" s="64">
        <f>Results!F201</f>
        <v/>
      </c>
      <c r="BS186" s="64" t="n">
        <v>191</v>
      </c>
      <c r="BT186" s="64">
        <f>Demand!AU204</f>
        <v/>
      </c>
      <c r="BU186" s="64">
        <f>Demand!AV204</f>
        <v/>
      </c>
      <c r="BV186" s="64">
        <f>Demand!AW204</f>
        <v/>
      </c>
      <c r="BY186" s="64" t="n">
        <v>191</v>
      </c>
      <c r="BZ186" s="64">
        <f>Retailers_Cap!N187</f>
        <v/>
      </c>
      <c r="CA186" s="64">
        <f>Retailers_Cap!O187</f>
        <v/>
      </c>
      <c r="CB186" s="64">
        <f>Retailers_Cap!P187</f>
        <v/>
      </c>
      <c r="CD186" s="64" t="n">
        <v>191</v>
      </c>
      <c r="CE186" s="64">
        <f>IF((BT186-BZ186)&gt;=0,"Dem","Folga")</f>
        <v/>
      </c>
      <c r="CF186" s="64">
        <f>IF((BU186-CA186)&gt;=0,"Dem","Folga")</f>
        <v/>
      </c>
      <c r="CG186" s="64">
        <f>IF((BV186-CB186)&gt;=0,"Dem","Folga")</f>
        <v/>
      </c>
    </row>
    <row r="187">
      <c r="M187" s="64">
        <f>TRUNC((_xlfn.NORM.INV((RAND()),$L$6,$L$7)),2)</f>
        <v/>
      </c>
      <c r="O187" s="64" t="n">
        <v>192</v>
      </c>
      <c r="P187" s="5" t="n">
        <v>216.81</v>
      </c>
      <c r="Q187" s="5" t="n">
        <v>189.88</v>
      </c>
      <c r="R187" s="5" t="n">
        <v>246.45</v>
      </c>
      <c r="W187" s="64">
        <f>TRUNC((_xlfn.NORM.INV((RAND()),$V$6,$V$7)),3)</f>
        <v/>
      </c>
      <c r="Y187" s="64" t="n">
        <v>192</v>
      </c>
      <c r="Z187" s="5" t="n">
        <v>6.782</v>
      </c>
      <c r="AA187" s="5" t="n">
        <v>6.755</v>
      </c>
      <c r="AB187" s="5" t="n">
        <v>6.743</v>
      </c>
      <c r="AG187" s="64">
        <f>TRUNC((_xlfn.NORM.INV((RAND()),$AF$6,$AF$7)),3)</f>
        <v/>
      </c>
      <c r="AI187" s="64" t="n">
        <v>192</v>
      </c>
      <c r="AJ187" s="5" t="n">
        <v>71.443</v>
      </c>
      <c r="AK187" s="5" t="n">
        <v>54.613</v>
      </c>
      <c r="AL187" s="5" t="n">
        <v>60.529</v>
      </c>
      <c r="AR187" s="64" t="n">
        <v>192</v>
      </c>
      <c r="AS187" s="5" t="n">
        <v>0</v>
      </c>
      <c r="AT187" s="5" t="n">
        <v>0</v>
      </c>
      <c r="AU187" s="5" t="n">
        <v>0</v>
      </c>
      <c r="AW187" s="64">
        <f>Z187/Demand!AU205</f>
        <v/>
      </c>
      <c r="AX187" s="64">
        <f>AA187/Demand!AV205</f>
        <v/>
      </c>
      <c r="AY187" s="64">
        <f>AB187/Demand!AW205</f>
        <v/>
      </c>
      <c r="BG187" s="64" t="n">
        <v>192</v>
      </c>
      <c r="BH187" s="64">
        <f>Results!$B$19+AJ187-Results!$D$21</f>
        <v/>
      </c>
      <c r="BI187" s="64">
        <f>Results!$B$19+AK187-Results!$D$21</f>
        <v/>
      </c>
      <c r="BJ187" s="64">
        <f>Results!$B$19+AL187-Results!$D$21</f>
        <v/>
      </c>
      <c r="BM187" s="64" t="n">
        <v>192</v>
      </c>
      <c r="BN187" s="64">
        <f>Results!D202</f>
        <v/>
      </c>
      <c r="BO187" s="64">
        <f>Results!E202</f>
        <v/>
      </c>
      <c r="BP187" s="64">
        <f>Results!F202</f>
        <v/>
      </c>
      <c r="BS187" s="64" t="n">
        <v>192</v>
      </c>
      <c r="BT187" s="64">
        <f>Demand!AU205</f>
        <v/>
      </c>
      <c r="BU187" s="64">
        <f>Demand!AV205</f>
        <v/>
      </c>
      <c r="BV187" s="64">
        <f>Demand!AW205</f>
        <v/>
      </c>
      <c r="BY187" s="64" t="n">
        <v>192</v>
      </c>
      <c r="BZ187" s="64">
        <f>Retailers_Cap!N188</f>
        <v/>
      </c>
      <c r="CA187" s="64">
        <f>Retailers_Cap!O188</f>
        <v/>
      </c>
      <c r="CB187" s="64">
        <f>Retailers_Cap!P188</f>
        <v/>
      </c>
      <c r="CD187" s="64" t="n">
        <v>192</v>
      </c>
      <c r="CE187" s="64">
        <f>IF((BT187-BZ187)&gt;=0,"Dem","Folga")</f>
        <v/>
      </c>
      <c r="CF187" s="64">
        <f>IF((BU187-CA187)&gt;=0,"Dem","Folga")</f>
        <v/>
      </c>
      <c r="CG187" s="64">
        <f>IF((BV187-CB187)&gt;=0,"Dem","Folga")</f>
        <v/>
      </c>
    </row>
    <row r="188">
      <c r="M188" s="64">
        <f>TRUNC((_xlfn.NORM.INV((RAND()),$L$6,$L$7)),2)</f>
        <v/>
      </c>
      <c r="O188" s="64" t="n">
        <v>193</v>
      </c>
      <c r="P188" s="5" t="n">
        <v>210.8</v>
      </c>
      <c r="Q188" s="5" t="n">
        <v>230.55</v>
      </c>
      <c r="R188" s="5" t="n">
        <v>223.31</v>
      </c>
      <c r="W188" s="64">
        <f>TRUNC((_xlfn.NORM.INV((RAND()),$V$6,$V$7)),3)</f>
        <v/>
      </c>
      <c r="Y188" s="64" t="n">
        <v>193</v>
      </c>
      <c r="Z188" s="5" t="n">
        <v>6.679</v>
      </c>
      <c r="AA188" s="5" t="n">
        <v>6.758</v>
      </c>
      <c r="AB188" s="5" t="n">
        <v>6.837</v>
      </c>
      <c r="AG188" s="64">
        <f>TRUNC((_xlfn.NORM.INV((RAND()),$AF$6,$AF$7)),3)</f>
        <v/>
      </c>
      <c r="AI188" s="64" t="n">
        <v>193</v>
      </c>
      <c r="AJ188" s="5" t="n">
        <v>39.353</v>
      </c>
      <c r="AK188" s="5" t="n">
        <v>32.532</v>
      </c>
      <c r="AL188" s="5" t="n">
        <v>67.015</v>
      </c>
      <c r="AR188" s="64" t="n">
        <v>193</v>
      </c>
      <c r="AS188" s="5" t="n">
        <v>3.717624034548149</v>
      </c>
      <c r="AT188" s="5" t="n">
        <v>15.23520480537321</v>
      </c>
      <c r="AU188" s="5" t="n">
        <v>4.593363981305</v>
      </c>
      <c r="AW188" s="64">
        <f>Z188/Demand!AU206</f>
        <v/>
      </c>
      <c r="AX188" s="64">
        <f>AA188/Demand!AV206</f>
        <v/>
      </c>
      <c r="AY188" s="64">
        <f>AB188/Demand!AW206</f>
        <v/>
      </c>
      <c r="BG188" s="64" t="n">
        <v>193</v>
      </c>
      <c r="BH188" s="64">
        <f>Results!$B$19+AJ188-Results!$D$21</f>
        <v/>
      </c>
      <c r="BI188" s="64">
        <f>Results!$B$19+AK188-Results!$D$21</f>
        <v/>
      </c>
      <c r="BJ188" s="64">
        <f>Results!$B$19+AL188-Results!$D$21</f>
        <v/>
      </c>
      <c r="BM188" s="64" t="n">
        <v>193</v>
      </c>
      <c r="BN188" s="64">
        <f>Results!D203</f>
        <v/>
      </c>
      <c r="BO188" s="64">
        <f>Results!E203</f>
        <v/>
      </c>
      <c r="BP188" s="64">
        <f>Results!F203</f>
        <v/>
      </c>
      <c r="BS188" s="64" t="n">
        <v>193</v>
      </c>
      <c r="BT188" s="64">
        <f>Demand!AU206</f>
        <v/>
      </c>
      <c r="BU188" s="64">
        <f>Demand!AV206</f>
        <v/>
      </c>
      <c r="BV188" s="64">
        <f>Demand!AW206</f>
        <v/>
      </c>
      <c r="BY188" s="64" t="n">
        <v>193</v>
      </c>
      <c r="BZ188" s="64">
        <f>Retailers_Cap!N189</f>
        <v/>
      </c>
      <c r="CA188" s="64">
        <f>Retailers_Cap!O189</f>
        <v/>
      </c>
      <c r="CB188" s="64">
        <f>Retailers_Cap!P189</f>
        <v/>
      </c>
      <c r="CD188" s="64" t="n">
        <v>193</v>
      </c>
      <c r="CE188" s="64">
        <f>IF((BT188-BZ188)&gt;=0,"Dem","Folga")</f>
        <v/>
      </c>
      <c r="CF188" s="64">
        <f>IF((BU188-CA188)&gt;=0,"Dem","Folga")</f>
        <v/>
      </c>
      <c r="CG188" s="64">
        <f>IF((BV188-CB188)&gt;=0,"Dem","Folga")</f>
        <v/>
      </c>
    </row>
    <row r="189">
      <c r="M189" s="64">
        <f>TRUNC((_xlfn.NORM.INV((RAND()),$L$6,$L$7)),2)</f>
        <v/>
      </c>
      <c r="O189" s="64" t="n">
        <v>194</v>
      </c>
      <c r="P189" s="5" t="n">
        <v>220.64</v>
      </c>
      <c r="Q189" s="5" t="n">
        <v>237.93</v>
      </c>
      <c r="R189" s="5" t="n">
        <v>145.59</v>
      </c>
      <c r="W189" s="64">
        <f>TRUNC((_xlfn.NORM.INV((RAND()),$V$6,$V$7)),3)</f>
        <v/>
      </c>
      <c r="Y189" s="64" t="n">
        <v>194</v>
      </c>
      <c r="Z189" s="5" t="n">
        <v>6.808</v>
      </c>
      <c r="AA189" s="5" t="n">
        <v>6.703</v>
      </c>
      <c r="AB189" s="5" t="n">
        <v>6.756</v>
      </c>
      <c r="AG189" s="64">
        <f>TRUNC((_xlfn.NORM.INV((RAND()),$AF$6,$AF$7)),3)</f>
        <v/>
      </c>
      <c r="AI189" s="64" t="n">
        <v>194</v>
      </c>
      <c r="AJ189" s="5" t="n">
        <v>62.43</v>
      </c>
      <c r="AK189" s="5" t="n">
        <v>37.211</v>
      </c>
      <c r="AL189" s="5" t="n">
        <v>64.06399999999999</v>
      </c>
      <c r="AR189" s="64" t="n">
        <v>194</v>
      </c>
      <c r="AS189" s="5" t="n">
        <v>6.833017495794357</v>
      </c>
      <c r="AT189" s="5" t="n">
        <v>0</v>
      </c>
      <c r="AU189" s="5" t="n">
        <v>34.78662801399079</v>
      </c>
      <c r="AW189" s="64">
        <f>Z189/Demand!AU207</f>
        <v/>
      </c>
      <c r="AX189" s="64">
        <f>AA189/Demand!AV207</f>
        <v/>
      </c>
      <c r="AY189" s="64">
        <f>AB189/Demand!AW207</f>
        <v/>
      </c>
      <c r="BG189" s="64" t="n">
        <v>194</v>
      </c>
      <c r="BH189" s="64">
        <f>Results!$B$19+AJ189-Results!$D$21</f>
        <v/>
      </c>
      <c r="BI189" s="64">
        <f>Results!$B$19+AK189-Results!$D$21</f>
        <v/>
      </c>
      <c r="BJ189" s="64">
        <f>Results!$B$19+AL189-Results!$D$21</f>
        <v/>
      </c>
      <c r="BM189" s="64" t="n">
        <v>194</v>
      </c>
      <c r="BN189" s="64">
        <f>Results!D204</f>
        <v/>
      </c>
      <c r="BO189" s="64">
        <f>Results!E204</f>
        <v/>
      </c>
      <c r="BP189" s="64">
        <f>Results!F204</f>
        <v/>
      </c>
      <c r="BS189" s="64" t="n">
        <v>194</v>
      </c>
      <c r="BT189" s="64">
        <f>Demand!AU207</f>
        <v/>
      </c>
      <c r="BU189" s="64">
        <f>Demand!AV207</f>
        <v/>
      </c>
      <c r="BV189" s="64">
        <f>Demand!AW207</f>
        <v/>
      </c>
      <c r="BY189" s="64" t="n">
        <v>194</v>
      </c>
      <c r="BZ189" s="64">
        <f>Retailers_Cap!N190</f>
        <v/>
      </c>
      <c r="CA189" s="64">
        <f>Retailers_Cap!O190</f>
        <v/>
      </c>
      <c r="CB189" s="64">
        <f>Retailers_Cap!P190</f>
        <v/>
      </c>
      <c r="CD189" s="64" t="n">
        <v>194</v>
      </c>
      <c r="CE189" s="64">
        <f>IF((BT189-BZ189)&gt;=0,"Dem","Folga")</f>
        <v/>
      </c>
      <c r="CF189" s="64">
        <f>IF((BU189-CA189)&gt;=0,"Dem","Folga")</f>
        <v/>
      </c>
      <c r="CG189" s="64">
        <f>IF((BV189-CB189)&gt;=0,"Dem","Folga")</f>
        <v/>
      </c>
    </row>
    <row r="190">
      <c r="M190" s="64">
        <f>TRUNC((_xlfn.NORM.INV((RAND()),$L$6,$L$7)),2)</f>
        <v/>
      </c>
      <c r="O190" s="64" t="n">
        <v>195</v>
      </c>
      <c r="P190" s="5" t="n">
        <v>240.24</v>
      </c>
      <c r="Q190" s="5" t="n">
        <v>221.55</v>
      </c>
      <c r="R190" s="5" t="n">
        <v>177.35</v>
      </c>
      <c r="W190" s="64">
        <f>TRUNC((_xlfn.NORM.INV((RAND()),$V$6,$V$7)),3)</f>
        <v/>
      </c>
      <c r="Y190" s="64" t="n">
        <v>195</v>
      </c>
      <c r="Z190" s="5" t="n">
        <v>6.724</v>
      </c>
      <c r="AA190" s="5" t="n">
        <v>6.702</v>
      </c>
      <c r="AB190" s="5" t="n">
        <v>6.731</v>
      </c>
      <c r="AG190" s="64">
        <f>TRUNC((_xlfn.NORM.INV((RAND()),$AF$6,$AF$7)),3)</f>
        <v/>
      </c>
      <c r="AI190" s="64" t="n">
        <v>195</v>
      </c>
      <c r="AJ190" s="5" t="n">
        <v>71.324</v>
      </c>
      <c r="AK190" s="5" t="n">
        <v>66.39100000000001</v>
      </c>
      <c r="AL190" s="5" t="n">
        <v>59.448</v>
      </c>
      <c r="AR190" s="64" t="n">
        <v>195</v>
      </c>
      <c r="AS190" s="5" t="n">
        <v>14.35571909096622</v>
      </c>
      <c r="AT190" s="5" t="n">
        <v>0</v>
      </c>
      <c r="AU190" s="5" t="n">
        <v>0</v>
      </c>
      <c r="AW190" s="64">
        <f>Z190/Demand!AU208</f>
        <v/>
      </c>
      <c r="AX190" s="64">
        <f>AA190/Demand!AV208</f>
        <v/>
      </c>
      <c r="AY190" s="64">
        <f>AB190/Demand!AW208</f>
        <v/>
      </c>
      <c r="BG190" s="64" t="n">
        <v>195</v>
      </c>
      <c r="BH190" s="64">
        <f>Results!$B$19+AJ190-Results!$D$21</f>
        <v/>
      </c>
      <c r="BI190" s="64">
        <f>Results!$B$19+AK190-Results!$D$21</f>
        <v/>
      </c>
      <c r="BJ190" s="64">
        <f>Results!$B$19+AL190-Results!$D$21</f>
        <v/>
      </c>
      <c r="BM190" s="64" t="n">
        <v>195</v>
      </c>
      <c r="BN190" s="64">
        <f>Results!D205</f>
        <v/>
      </c>
      <c r="BO190" s="64">
        <f>Results!E205</f>
        <v/>
      </c>
      <c r="BP190" s="64">
        <f>Results!F205</f>
        <v/>
      </c>
      <c r="BS190" s="64" t="n">
        <v>195</v>
      </c>
      <c r="BT190" s="64">
        <f>Demand!AU208</f>
        <v/>
      </c>
      <c r="BU190" s="64">
        <f>Demand!AV208</f>
        <v/>
      </c>
      <c r="BV190" s="64">
        <f>Demand!AW208</f>
        <v/>
      </c>
      <c r="BY190" s="64" t="n">
        <v>195</v>
      </c>
      <c r="BZ190" s="64">
        <f>Retailers_Cap!N191</f>
        <v/>
      </c>
      <c r="CA190" s="64">
        <f>Retailers_Cap!O191</f>
        <v/>
      </c>
      <c r="CB190" s="64">
        <f>Retailers_Cap!P191</f>
        <v/>
      </c>
      <c r="CD190" s="64" t="n">
        <v>195</v>
      </c>
      <c r="CE190" s="64">
        <f>IF((BT190-BZ190)&gt;=0,"Dem","Folga")</f>
        <v/>
      </c>
      <c r="CF190" s="64">
        <f>IF((BU190-CA190)&gt;=0,"Dem","Folga")</f>
        <v/>
      </c>
      <c r="CG190" s="64">
        <f>IF((BV190-CB190)&gt;=0,"Dem","Folga")</f>
        <v/>
      </c>
    </row>
    <row r="191">
      <c r="M191" s="64">
        <f>TRUNC((_xlfn.NORM.INV((RAND()),$L$6,$L$7)),2)</f>
        <v/>
      </c>
      <c r="O191" s="64" t="n">
        <v>196</v>
      </c>
      <c r="P191" s="5" t="n">
        <v>181.53</v>
      </c>
      <c r="Q191" s="5" t="n">
        <v>120.32</v>
      </c>
      <c r="R191" s="5" t="n">
        <v>156.08</v>
      </c>
      <c r="W191" s="64">
        <f>TRUNC((_xlfn.NORM.INV((RAND()),$V$6,$V$7)),3)</f>
        <v/>
      </c>
      <c r="Y191" s="64" t="n">
        <v>196</v>
      </c>
      <c r="Z191" s="5" t="n">
        <v>6.76</v>
      </c>
      <c r="AA191" s="5" t="n">
        <v>6.768</v>
      </c>
      <c r="AB191" s="5" t="n">
        <v>6.798</v>
      </c>
      <c r="AG191" s="64">
        <f>TRUNC((_xlfn.NORM.INV((RAND()),$AF$6,$AF$7)),3)</f>
        <v/>
      </c>
      <c r="AI191" s="64" t="n">
        <v>196</v>
      </c>
      <c r="AJ191" s="5" t="n">
        <v>66.685</v>
      </c>
      <c r="AK191" s="5" t="n">
        <v>44.804</v>
      </c>
      <c r="AL191" s="5" t="n">
        <v>58.699</v>
      </c>
      <c r="AR191" s="64" t="n">
        <v>196</v>
      </c>
      <c r="AS191" s="5" t="n">
        <v>0</v>
      </c>
      <c r="AT191" s="5" t="n">
        <v>0</v>
      </c>
      <c r="AU191" s="5" t="n">
        <v>0</v>
      </c>
      <c r="AW191" s="64">
        <f>Z191/Demand!AU209</f>
        <v/>
      </c>
      <c r="AX191" s="64">
        <f>AA191/Demand!AV209</f>
        <v/>
      </c>
      <c r="AY191" s="64">
        <f>AB191/Demand!AW209</f>
        <v/>
      </c>
      <c r="BG191" s="64" t="n">
        <v>196</v>
      </c>
      <c r="BH191" s="64">
        <f>Results!$B$19+AJ191-Results!$D$21</f>
        <v/>
      </c>
      <c r="BI191" s="64">
        <f>Results!$B$19+AK191-Results!$D$21</f>
        <v/>
      </c>
      <c r="BJ191" s="64">
        <f>Results!$B$19+AL191-Results!$D$21</f>
        <v/>
      </c>
      <c r="BM191" s="64" t="n">
        <v>196</v>
      </c>
      <c r="BN191" s="64">
        <f>Results!D206</f>
        <v/>
      </c>
      <c r="BO191" s="64">
        <f>Results!E206</f>
        <v/>
      </c>
      <c r="BP191" s="64">
        <f>Results!F206</f>
        <v/>
      </c>
      <c r="BS191" s="64" t="n">
        <v>196</v>
      </c>
      <c r="BT191" s="64">
        <f>Demand!AU209</f>
        <v/>
      </c>
      <c r="BU191" s="64">
        <f>Demand!AV209</f>
        <v/>
      </c>
      <c r="BV191" s="64">
        <f>Demand!AW209</f>
        <v/>
      </c>
      <c r="BY191" s="64" t="n">
        <v>196</v>
      </c>
      <c r="BZ191" s="64">
        <f>Retailers_Cap!N192</f>
        <v/>
      </c>
      <c r="CA191" s="64">
        <f>Retailers_Cap!O192</f>
        <v/>
      </c>
      <c r="CB191" s="64">
        <f>Retailers_Cap!P192</f>
        <v/>
      </c>
      <c r="CD191" s="64" t="n">
        <v>196</v>
      </c>
      <c r="CE191" s="64">
        <f>IF((BT191-BZ191)&gt;=0,"Dem","Folga")</f>
        <v/>
      </c>
      <c r="CF191" s="64">
        <f>IF((BU191-CA191)&gt;=0,"Dem","Folga")</f>
        <v/>
      </c>
      <c r="CG191" s="64">
        <f>IF((BV191-CB191)&gt;=0,"Dem","Folga")</f>
        <v/>
      </c>
    </row>
    <row r="192">
      <c r="M192" s="64">
        <f>TRUNC((_xlfn.NORM.INV((RAND()),$L$6,$L$7)),2)</f>
        <v/>
      </c>
      <c r="O192" s="64" t="n">
        <v>197</v>
      </c>
      <c r="P192" s="5" t="n">
        <v>251.35</v>
      </c>
      <c r="Q192" s="5" t="n">
        <v>136.78</v>
      </c>
      <c r="R192" s="5" t="n">
        <v>239.64</v>
      </c>
      <c r="W192" s="64">
        <f>TRUNC((_xlfn.NORM.INV((RAND()),$V$6,$V$7)),3)</f>
        <v/>
      </c>
      <c r="Y192" s="64" t="n">
        <v>197</v>
      </c>
      <c r="Z192" s="5" t="n">
        <v>6.784</v>
      </c>
      <c r="AA192" s="5" t="n">
        <v>6.737</v>
      </c>
      <c r="AB192" s="5" t="n">
        <v>6.752</v>
      </c>
      <c r="AG192" s="64">
        <f>TRUNC((_xlfn.NORM.INV((RAND()),$AF$6,$AF$7)),3)</f>
        <v/>
      </c>
      <c r="AI192" s="64" t="n">
        <v>197</v>
      </c>
      <c r="AJ192" s="5" t="n">
        <v>76.777</v>
      </c>
      <c r="AK192" s="5" t="n">
        <v>46.92</v>
      </c>
      <c r="AL192" s="5" t="n">
        <v>37.603</v>
      </c>
      <c r="AR192" s="64" t="n">
        <v>197</v>
      </c>
      <c r="AS192" s="5" t="n">
        <v>10.018616869753</v>
      </c>
      <c r="AT192" s="5" t="n">
        <v>7.221338474902933</v>
      </c>
      <c r="AU192" s="5" t="n">
        <v>0</v>
      </c>
      <c r="AW192" s="64">
        <f>Z192/Demand!AU210</f>
        <v/>
      </c>
      <c r="AX192" s="64">
        <f>AA192/Demand!AV210</f>
        <v/>
      </c>
      <c r="AY192" s="64">
        <f>AB192/Demand!AW210</f>
        <v/>
      </c>
      <c r="BG192" s="64" t="n">
        <v>197</v>
      </c>
      <c r="BH192" s="64">
        <f>Results!$B$19+AJ192-Results!$D$21</f>
        <v/>
      </c>
      <c r="BI192" s="64">
        <f>Results!$B$19+AK192-Results!$D$21</f>
        <v/>
      </c>
      <c r="BJ192" s="64">
        <f>Results!$B$19+AL192-Results!$D$21</f>
        <v/>
      </c>
      <c r="BM192" s="64" t="n">
        <v>197</v>
      </c>
      <c r="BN192" s="64">
        <f>Results!D207</f>
        <v/>
      </c>
      <c r="BO192" s="64">
        <f>Results!E207</f>
        <v/>
      </c>
      <c r="BP192" s="64">
        <f>Results!F207</f>
        <v/>
      </c>
      <c r="BS192" s="64" t="n">
        <v>197</v>
      </c>
      <c r="BT192" s="64">
        <f>Demand!AU210</f>
        <v/>
      </c>
      <c r="BU192" s="64">
        <f>Demand!AV210</f>
        <v/>
      </c>
      <c r="BV192" s="64">
        <f>Demand!AW210</f>
        <v/>
      </c>
      <c r="BY192" s="64" t="n">
        <v>197</v>
      </c>
      <c r="BZ192" s="64">
        <f>Retailers_Cap!N193</f>
        <v/>
      </c>
      <c r="CA192" s="64">
        <f>Retailers_Cap!O193</f>
        <v/>
      </c>
      <c r="CB192" s="64">
        <f>Retailers_Cap!P193</f>
        <v/>
      </c>
      <c r="CD192" s="64" t="n">
        <v>197</v>
      </c>
      <c r="CE192" s="64">
        <f>IF((BT192-BZ192)&gt;=0,"Dem","Folga")</f>
        <v/>
      </c>
      <c r="CF192" s="64">
        <f>IF((BU192-CA192)&gt;=0,"Dem","Folga")</f>
        <v/>
      </c>
      <c r="CG192" s="64">
        <f>IF((BV192-CB192)&gt;=0,"Dem","Folga")</f>
        <v/>
      </c>
    </row>
    <row r="193">
      <c r="M193" s="64">
        <f>TRUNC((_xlfn.NORM.INV((RAND()),$L$6,$L$7)),2)</f>
        <v/>
      </c>
      <c r="O193" s="64" t="n">
        <v>198</v>
      </c>
      <c r="P193" s="5" t="n">
        <v>255.36</v>
      </c>
      <c r="Q193" s="5" t="n">
        <v>241.79</v>
      </c>
      <c r="R193" s="5" t="n">
        <v>211.88</v>
      </c>
      <c r="W193" s="64">
        <f>TRUNC((_xlfn.NORM.INV((RAND()),$V$6,$V$7)),3)</f>
        <v/>
      </c>
      <c r="Y193" s="64" t="n">
        <v>198</v>
      </c>
      <c r="Z193" s="5" t="n">
        <v>6.679</v>
      </c>
      <c r="AA193" s="5" t="n">
        <v>6.763</v>
      </c>
      <c r="AB193" s="5" t="n">
        <v>6.785</v>
      </c>
      <c r="AG193" s="64">
        <f>TRUNC((_xlfn.NORM.INV((RAND()),$AF$6,$AF$7)),3)</f>
        <v/>
      </c>
      <c r="AI193" s="64" t="n">
        <v>198</v>
      </c>
      <c r="AJ193" s="5" t="n">
        <v>67.12</v>
      </c>
      <c r="AK193" s="5" t="n">
        <v>55.253</v>
      </c>
      <c r="AL193" s="5" t="n">
        <v>76.435</v>
      </c>
      <c r="AR193" s="64" t="n">
        <v>198</v>
      </c>
      <c r="AS193" s="5" t="n">
        <v>0</v>
      </c>
      <c r="AT193" s="5" t="n">
        <v>0</v>
      </c>
      <c r="AU193" s="5" t="n">
        <v>0</v>
      </c>
      <c r="AW193" s="64">
        <f>Z193/Demand!AU211</f>
        <v/>
      </c>
      <c r="AX193" s="64">
        <f>AA193/Demand!AV211</f>
        <v/>
      </c>
      <c r="AY193" s="64">
        <f>AB193/Demand!AW211</f>
        <v/>
      </c>
      <c r="BG193" s="64" t="n">
        <v>198</v>
      </c>
      <c r="BH193" s="64">
        <f>Results!$B$19+AJ193-Results!$D$21</f>
        <v/>
      </c>
      <c r="BI193" s="64">
        <f>Results!$B$19+AK193-Results!$D$21</f>
        <v/>
      </c>
      <c r="BJ193" s="64">
        <f>Results!$B$19+AL193-Results!$D$21</f>
        <v/>
      </c>
      <c r="BM193" s="64" t="n">
        <v>198</v>
      </c>
      <c r="BN193" s="64">
        <f>Results!D208</f>
        <v/>
      </c>
      <c r="BO193" s="64">
        <f>Results!E208</f>
        <v/>
      </c>
      <c r="BP193" s="64">
        <f>Results!F208</f>
        <v/>
      </c>
      <c r="BS193" s="64" t="n">
        <v>198</v>
      </c>
      <c r="BT193" s="64">
        <f>Demand!AU211</f>
        <v/>
      </c>
      <c r="BU193" s="64">
        <f>Demand!AV211</f>
        <v/>
      </c>
      <c r="BV193" s="64">
        <f>Demand!AW211</f>
        <v/>
      </c>
      <c r="BY193" s="64" t="n">
        <v>198</v>
      </c>
      <c r="BZ193" s="64">
        <f>Retailers_Cap!N194</f>
        <v/>
      </c>
      <c r="CA193" s="64">
        <f>Retailers_Cap!O194</f>
        <v/>
      </c>
      <c r="CB193" s="64">
        <f>Retailers_Cap!P194</f>
        <v/>
      </c>
      <c r="CD193" s="64" t="n">
        <v>198</v>
      </c>
      <c r="CE193" s="64">
        <f>IF((BT193-BZ193)&gt;=0,"Dem","Folga")</f>
        <v/>
      </c>
      <c r="CF193" s="64">
        <f>IF((BU193-CA193)&gt;=0,"Dem","Folga")</f>
        <v/>
      </c>
      <c r="CG193" s="64">
        <f>IF((BV193-CB193)&gt;=0,"Dem","Folga")</f>
        <v/>
      </c>
    </row>
    <row r="194">
      <c r="M194" s="64">
        <f>TRUNC((_xlfn.NORM.INV((RAND()),$L$6,$L$7)),2)</f>
        <v/>
      </c>
      <c r="O194" s="64" t="n">
        <v>199</v>
      </c>
      <c r="P194" s="5" t="n">
        <v>222.74</v>
      </c>
      <c r="Q194" s="5" t="n">
        <v>152.98</v>
      </c>
      <c r="R194" s="5" t="n">
        <v>224.48</v>
      </c>
      <c r="W194" s="64">
        <f>TRUNC((_xlfn.NORM.INV((RAND()),$V$6,$V$7)),3)</f>
        <v/>
      </c>
      <c r="Y194" s="64" t="n">
        <v>199</v>
      </c>
      <c r="Z194" s="5" t="n">
        <v>6.75</v>
      </c>
      <c r="AA194" s="5" t="n">
        <v>6.711</v>
      </c>
      <c r="AB194" s="5" t="n">
        <v>6.77</v>
      </c>
      <c r="AG194" s="64">
        <f>TRUNC((_xlfn.NORM.INV((RAND()),$AF$6,$AF$7)),3)</f>
        <v/>
      </c>
      <c r="AI194" s="64" t="n">
        <v>199</v>
      </c>
      <c r="AJ194" s="5" t="n">
        <v>60.404</v>
      </c>
      <c r="AK194" s="5" t="n">
        <v>41.633</v>
      </c>
      <c r="AL194" s="5" t="n">
        <v>44.725</v>
      </c>
      <c r="AR194" s="64" t="n">
        <v>199</v>
      </c>
      <c r="AS194" s="5" t="n">
        <v>0</v>
      </c>
      <c r="AT194" s="5" t="n">
        <v>4.522300032599455</v>
      </c>
      <c r="AU194" s="5" t="n">
        <v>14.77840397734045</v>
      </c>
      <c r="AW194" s="64">
        <f>Z194/Demand!AU212</f>
        <v/>
      </c>
      <c r="AX194" s="64">
        <f>AA194/Demand!AV212</f>
        <v/>
      </c>
      <c r="AY194" s="64">
        <f>AB194/Demand!AW212</f>
        <v/>
      </c>
      <c r="BG194" s="64" t="n">
        <v>199</v>
      </c>
      <c r="BH194" s="64">
        <f>Results!$B$19+AJ194-Results!$D$21</f>
        <v/>
      </c>
      <c r="BI194" s="64">
        <f>Results!$B$19+AK194-Results!$D$21</f>
        <v/>
      </c>
      <c r="BJ194" s="64">
        <f>Results!$B$19+AL194-Results!$D$21</f>
        <v/>
      </c>
      <c r="BM194" s="64" t="n">
        <v>199</v>
      </c>
      <c r="BN194" s="64">
        <f>Results!D209</f>
        <v/>
      </c>
      <c r="BO194" s="64">
        <f>Results!E209</f>
        <v/>
      </c>
      <c r="BP194" s="64">
        <f>Results!F209</f>
        <v/>
      </c>
      <c r="BS194" s="64" t="n">
        <v>199</v>
      </c>
      <c r="BT194" s="64">
        <f>Demand!AU212</f>
        <v/>
      </c>
      <c r="BU194" s="64">
        <f>Demand!AV212</f>
        <v/>
      </c>
      <c r="BV194" s="64">
        <f>Demand!AW212</f>
        <v/>
      </c>
      <c r="BY194" s="64" t="n">
        <v>199</v>
      </c>
      <c r="BZ194" s="64">
        <f>Retailers_Cap!N195</f>
        <v/>
      </c>
      <c r="CA194" s="64">
        <f>Retailers_Cap!O195</f>
        <v/>
      </c>
      <c r="CB194" s="64">
        <f>Retailers_Cap!P195</f>
        <v/>
      </c>
      <c r="CD194" s="64" t="n">
        <v>199</v>
      </c>
      <c r="CE194" s="64">
        <f>IF((BT194-BZ194)&gt;=0,"Dem","Folga")</f>
        <v/>
      </c>
      <c r="CF194" s="64">
        <f>IF((BU194-CA194)&gt;=0,"Dem","Folga")</f>
        <v/>
      </c>
      <c r="CG194" s="64">
        <f>IF((BV194-CB194)&gt;=0,"Dem","Folga")</f>
        <v/>
      </c>
    </row>
    <row r="195">
      <c r="M195" s="64">
        <f>TRUNC((_xlfn.NORM.INV((RAND()),$L$6,$L$7)),2)</f>
        <v/>
      </c>
      <c r="O195" s="64" t="n">
        <v>200</v>
      </c>
      <c r="P195" s="5" t="n">
        <v>152.83</v>
      </c>
      <c r="Q195" s="5" t="n">
        <v>127.42</v>
      </c>
      <c r="R195" s="5" t="n">
        <v>222.46</v>
      </c>
      <c r="W195" s="64">
        <f>TRUNC((_xlfn.NORM.INV((RAND()),$V$6,$V$7)),3)</f>
        <v/>
      </c>
      <c r="Y195" s="64" t="n">
        <v>200</v>
      </c>
      <c r="Z195" s="5" t="n">
        <v>6.719</v>
      </c>
      <c r="AA195" s="5" t="n">
        <v>6.724</v>
      </c>
      <c r="AB195" s="5" t="n">
        <v>6.803</v>
      </c>
      <c r="AG195" s="64">
        <f>TRUNC((_xlfn.NORM.INV((RAND()),$AF$6,$AF$7)),3)</f>
        <v/>
      </c>
      <c r="AI195" s="64" t="n">
        <v>200</v>
      </c>
      <c r="AJ195" s="5" t="n">
        <v>58.3</v>
      </c>
      <c r="AK195" s="5" t="n">
        <v>59.975</v>
      </c>
      <c r="AL195" s="5" t="n">
        <v>66.089</v>
      </c>
      <c r="AR195" s="64" t="n">
        <v>200</v>
      </c>
      <c r="AS195" s="5" t="n">
        <v>25.30428740316539</v>
      </c>
      <c r="AT195" s="5" t="n">
        <v>12.44225973284506</v>
      </c>
      <c r="AU195" s="5" t="n">
        <v>0</v>
      </c>
      <c r="AW195" s="64">
        <f>Z195/Demand!AU213</f>
        <v/>
      </c>
      <c r="AX195" s="64">
        <f>AA195/Demand!AV213</f>
        <v/>
      </c>
      <c r="AY195" s="64">
        <f>AB195/Demand!AW213</f>
        <v/>
      </c>
      <c r="BG195" s="64" t="n">
        <v>200</v>
      </c>
      <c r="BH195" s="64">
        <f>Results!$B$19+AJ195-Results!$D$21</f>
        <v/>
      </c>
      <c r="BI195" s="64">
        <f>Results!$B$19+AK195-Results!$D$21</f>
        <v/>
      </c>
      <c r="BJ195" s="64">
        <f>Results!$B$19+AL195-Results!$D$21</f>
        <v/>
      </c>
      <c r="BM195" s="64" t="n">
        <v>200</v>
      </c>
      <c r="BN195" s="64">
        <f>Results!D210</f>
        <v/>
      </c>
      <c r="BO195" s="64">
        <f>Results!E210</f>
        <v/>
      </c>
      <c r="BP195" s="64">
        <f>Results!F210</f>
        <v/>
      </c>
      <c r="BS195" s="64" t="n">
        <v>200</v>
      </c>
      <c r="BT195" s="64">
        <f>Demand!AU213</f>
        <v/>
      </c>
      <c r="BU195" s="64">
        <f>Demand!AV213</f>
        <v/>
      </c>
      <c r="BV195" s="64">
        <f>Demand!AW213</f>
        <v/>
      </c>
      <c r="BY195" s="64" t="n">
        <v>200</v>
      </c>
      <c r="BZ195" s="64">
        <f>Retailers_Cap!N196</f>
        <v/>
      </c>
      <c r="CA195" s="64">
        <f>Retailers_Cap!O196</f>
        <v/>
      </c>
      <c r="CB195" s="64">
        <f>Retailers_Cap!P196</f>
        <v/>
      </c>
      <c r="CD195" s="64" t="n">
        <v>200</v>
      </c>
      <c r="CE195" s="64">
        <f>IF((BT195-BZ195)&gt;=0,"Dem","Folga")</f>
        <v/>
      </c>
      <c r="CF195" s="64">
        <f>IF((BU195-CA195)&gt;=0,"Dem","Folga")</f>
        <v/>
      </c>
      <c r="CG195" s="64">
        <f>IF((BV195-CB195)&gt;=0,"Dem","Folga")</f>
        <v/>
      </c>
    </row>
    <row r="196">
      <c r="BH196" s="64" t="inlineStr">
        <is>
          <t>*</t>
        </is>
      </c>
      <c r="BI196" s="64" t="inlineStr">
        <is>
          <t>*</t>
        </is>
      </c>
      <c r="BJ196" s="64" t="inlineStr">
        <is>
          <t>*</t>
        </is>
      </c>
      <c r="BK196" s="64" t="inlineStr">
        <is>
          <t>*</t>
        </is>
      </c>
      <c r="BL196" s="64" t="inlineStr">
        <is>
          <t>*</t>
        </is>
      </c>
      <c r="BM196" s="64" t="inlineStr">
        <is>
          <t>*</t>
        </is>
      </c>
      <c r="BN196" s="64" t="inlineStr">
        <is>
          <t>*</t>
        </is>
      </c>
      <c r="BO196" s="64" t="inlineStr">
        <is>
          <t>*</t>
        </is>
      </c>
      <c r="BP196" s="64" t="inlineStr">
        <is>
          <t>*</t>
        </is>
      </c>
      <c r="BQ196" s="64" t="inlineStr">
        <is>
          <t>*</t>
        </is>
      </c>
      <c r="BR196" s="64" t="inlineStr">
        <is>
          <t>*</t>
        </is>
      </c>
      <c r="BS196" s="64" t="inlineStr">
        <is>
          <t>*</t>
        </is>
      </c>
      <c r="BT196" s="64" t="inlineStr">
        <is>
          <t>*</t>
        </is>
      </c>
      <c r="BU196" s="64" t="inlineStr">
        <is>
          <t>*</t>
        </is>
      </c>
      <c r="BV196" s="64" t="inlineStr">
        <is>
          <t>*</t>
        </is>
      </c>
      <c r="BW196" s="64" t="inlineStr">
        <is>
          <t>*</t>
        </is>
      </c>
      <c r="BX196" s="64" t="inlineStr">
        <is>
          <t>*</t>
        </is>
      </c>
      <c r="BY196" s="64" t="inlineStr">
        <is>
          <t>*</t>
        </is>
      </c>
      <c r="BZ196" s="64" t="inlineStr">
        <is>
          <t>*</t>
        </is>
      </c>
      <c r="CA196" s="64" t="inlineStr">
        <is>
          <t>*</t>
        </is>
      </c>
      <c r="CB196" s="64" t="inlineStr">
        <is>
          <t>*</t>
        </is>
      </c>
      <c r="CC196" s="64" t="inlineStr">
        <is>
          <t>*</t>
        </is>
      </c>
      <c r="CD196" s="64" t="inlineStr">
        <is>
          <t>*</t>
        </is>
      </c>
      <c r="CE196" s="64" t="inlineStr">
        <is>
          <t>*</t>
        </is>
      </c>
      <c r="CF196" s="64" t="inlineStr">
        <is>
          <t>*</t>
        </is>
      </c>
      <c r="CG196" s="64" t="inlineStr">
        <is>
          <t>*</t>
        </is>
      </c>
      <c r="CH196" s="64" t="inlineStr">
        <is>
          <t>*</t>
        </is>
      </c>
      <c r="CI196" s="64" t="inlineStr">
        <is>
          <t>*</t>
        </is>
      </c>
      <c r="CJ196" s="64" t="inlineStr">
        <is>
          <t>*</t>
        </is>
      </c>
      <c r="CK196" s="64" t="inlineStr">
        <is>
          <t>*</t>
        </is>
      </c>
      <c r="CL196" s="64" t="inlineStr">
        <is>
          <t>*</t>
        </is>
      </c>
      <c r="CM196" s="64" t="inlineStr">
        <is>
          <t>*</t>
        </is>
      </c>
      <c r="CN196" s="64" t="inlineStr">
        <is>
          <t>*</t>
        </is>
      </c>
      <c r="CO196" s="64" t="inlineStr">
        <is>
          <t>*</t>
        </is>
      </c>
      <c r="CP196" s="64" t="inlineStr">
        <is>
          <t>*</t>
        </is>
      </c>
      <c r="CQ196" s="64" t="inlineStr">
        <is>
          <t>*</t>
        </is>
      </c>
      <c r="CR196" s="64" t="inlineStr">
        <is>
          <t>*</t>
        </is>
      </c>
      <c r="CS196" s="64" t="inlineStr">
        <is>
          <t>*</t>
        </is>
      </c>
    </row>
  </sheetData>
  <mergeCells count="4">
    <mergeCell ref="AF4:AG4"/>
    <mergeCell ref="V4:W4"/>
    <mergeCell ref="AO4:AP4"/>
    <mergeCell ref="L4:M4"/>
  </mergeCells>
  <pageMargins left="0.511811024" right="0.511811024" top="0.787401575" bottom="0.787401575" header="0.31496062" footer="0.31496062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62"/>
  <sheetViews>
    <sheetView zoomScale="90" zoomScaleNormal="90" workbookViewId="0">
      <selection activeCell="N34" sqref="N34"/>
    </sheetView>
  </sheetViews>
  <sheetFormatPr baseColWidth="8" defaultColWidth="8.88671875" defaultRowHeight="14.4"/>
  <cols>
    <col width="18.88671875" bestFit="1" customWidth="1" style="15" min="1" max="1"/>
    <col width="14.88671875" bestFit="1" customWidth="1" style="15" min="2" max="2"/>
    <col width="13.109375" customWidth="1" style="15" min="3" max="3"/>
    <col width="10.109375" customWidth="1" style="15" min="4" max="9"/>
    <col width="13.88671875" bestFit="1" customWidth="1" style="15" min="10" max="10"/>
    <col width="10.109375" customWidth="1" style="15" min="11" max="14"/>
    <col width="13.5546875" bestFit="1" customWidth="1" style="15" min="15" max="15"/>
    <col width="10.109375" customWidth="1" style="15" min="16" max="18"/>
    <col width="8.88671875" customWidth="1" style="15" min="19" max="21"/>
    <col width="15" customWidth="1" style="15" min="22" max="22"/>
    <col width="13.109375" customWidth="1" style="15" min="23" max="23"/>
    <col width="13.88671875" bestFit="1" customWidth="1" style="15" min="24" max="24"/>
    <col width="12.109375" customWidth="1" style="15" min="25" max="25"/>
    <col width="13.5546875" bestFit="1" customWidth="1" style="15" min="26" max="26"/>
    <col width="12.109375" customWidth="1" style="15" min="27" max="38"/>
    <col width="8.88671875" customWidth="1" style="15" min="39" max="16384"/>
  </cols>
  <sheetData>
    <row r="1">
      <c r="C1" s="63" t="inlineStr">
        <is>
          <t>Variância da capacidade</t>
        </is>
      </c>
    </row>
    <row r="2">
      <c r="C2" s="15" t="inlineStr">
        <is>
          <t>Capw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</row>
    <row r="3">
      <c r="C3" s="15" t="n">
        <v>1</v>
      </c>
      <c r="D3" s="15">
        <f>TRUNC(((D8*0.2)^2)/30,2)</f>
        <v/>
      </c>
      <c r="E3" s="15">
        <f>TRUNC(((E8*0.2)^2)/30,2)</f>
        <v/>
      </c>
      <c r="F3" s="15">
        <f>TRUNC(((F8*0.2)^2)/30,2)</f>
        <v/>
      </c>
      <c r="G3" s="15">
        <f>TRUNC(((G8*0.2)^2)/30,2)</f>
        <v/>
      </c>
      <c r="H3" s="15">
        <f>TRUNC(((H8*0.2)^2)/30,2)</f>
        <v/>
      </c>
      <c r="I3" s="15">
        <f>TRUNC(((I8*0.2)^2)/30,2)</f>
        <v/>
      </c>
      <c r="J3" s="15">
        <f>TRUNC(((J8*0.2)^2)/30,2)</f>
        <v/>
      </c>
      <c r="K3" s="15">
        <f>TRUNC(((K8*0.2)^2)/30,2)</f>
        <v/>
      </c>
      <c r="L3" s="15">
        <f>TRUNC(((L8*0.2)^2)/30,2)</f>
        <v/>
      </c>
      <c r="M3" s="15">
        <f>TRUNC(((M8*0.2)^2)/30,2)</f>
        <v/>
      </c>
      <c r="N3" s="15">
        <f>TRUNC(((N8*0.2)^2)/30,2)</f>
        <v/>
      </c>
      <c r="O3" s="15">
        <f>TRUNC(((O8*0.2)^2)/30,2)</f>
        <v/>
      </c>
      <c r="P3" s="15">
        <f>TRUNC(((P8*0.2)^2)/30,2)</f>
        <v/>
      </c>
      <c r="Q3" s="15">
        <f>TRUNC(((Q8*0.2)^2)/30,2)</f>
        <v/>
      </c>
      <c r="R3" s="15">
        <f>TRUNC(((R8*0.2)^2)/30,2)</f>
        <v/>
      </c>
    </row>
    <row r="4">
      <c r="C4" s="15" t="n">
        <v>2</v>
      </c>
      <c r="D4" s="15">
        <f>TRUNC(((D9*0.2)^2)/30,2)</f>
        <v/>
      </c>
      <c r="E4" s="15">
        <f>TRUNC(((E9*0.2)^2)/30,2)</f>
        <v/>
      </c>
      <c r="F4" s="15">
        <f>TRUNC(((F9*0.2)^2)/30,2)</f>
        <v/>
      </c>
      <c r="G4" s="15">
        <f>TRUNC(((G9*0.2)^2)/30,2)</f>
        <v/>
      </c>
      <c r="H4" s="15">
        <f>TRUNC(((H9*0.2)^2)/30,2)</f>
        <v/>
      </c>
      <c r="I4" s="15">
        <f>TRUNC(((I9*0.2)^2)/30,2)</f>
        <v/>
      </c>
      <c r="J4" s="15">
        <f>TRUNC(((J9*0.2)^2)/30,2)</f>
        <v/>
      </c>
      <c r="K4" s="15">
        <f>TRUNC(((K9*0.2)^2)/30,2)</f>
        <v/>
      </c>
      <c r="L4" s="15">
        <f>TRUNC(((L9*0.2)^2)/30,2)</f>
        <v/>
      </c>
      <c r="M4" s="15">
        <f>TRUNC(((M9*0.2)^2)/30,2)</f>
        <v/>
      </c>
      <c r="N4" s="15">
        <f>TRUNC(((N9*0.2)^2)/30,2)</f>
        <v/>
      </c>
      <c r="O4" s="15">
        <f>TRUNC(((O9*0.2)^2)/30,2)</f>
        <v/>
      </c>
      <c r="P4" s="15">
        <f>TRUNC(((P9*0.2)^2)/30,2)</f>
        <v/>
      </c>
      <c r="Q4" s="15">
        <f>TRUNC(((Q9*0.2)^2)/30,2)</f>
        <v/>
      </c>
      <c r="R4" s="15">
        <f>TRUNC(((R9*0.2)^2)/30,2)</f>
        <v/>
      </c>
    </row>
    <row r="5">
      <c r="C5" s="15" t="n">
        <v>3</v>
      </c>
      <c r="D5" s="15">
        <f>TRUNC(((D10*0.2)^2)/30,2)</f>
        <v/>
      </c>
      <c r="E5" s="15">
        <f>TRUNC(((E10*0.2)^2)/30,2)</f>
        <v/>
      </c>
      <c r="F5" s="15">
        <f>TRUNC(((F10*0.2)^2)/30,2)</f>
        <v/>
      </c>
      <c r="G5" s="15">
        <f>TRUNC(((G10*0.2)^2)/30,2)</f>
        <v/>
      </c>
      <c r="H5" s="15">
        <f>TRUNC(((H10*0.2)^2)/30,2)</f>
        <v/>
      </c>
      <c r="I5" s="15">
        <f>TRUNC(((I10*0.2)^2)/30,2)</f>
        <v/>
      </c>
      <c r="J5" s="15">
        <f>TRUNC(((J10*0.2)^2)/30,2)</f>
        <v/>
      </c>
      <c r="K5" s="15">
        <f>TRUNC(((K10*0.2)^2)/30,2)</f>
        <v/>
      </c>
      <c r="L5" s="15">
        <f>TRUNC(((L10*0.2)^2)/30,2)</f>
        <v/>
      </c>
      <c r="M5" s="15">
        <f>TRUNC(((M10*0.2)^2)/30,2)</f>
        <v/>
      </c>
      <c r="N5" s="15">
        <f>TRUNC(((N10*0.2)^2)/30,2)</f>
        <v/>
      </c>
      <c r="O5" s="15">
        <f>TRUNC(((O10*0.2)^2)/30,2)</f>
        <v/>
      </c>
      <c r="P5" s="15">
        <f>TRUNC(((P10*0.2)^2)/30,2)</f>
        <v/>
      </c>
      <c r="Q5" s="15">
        <f>TRUNC(((Q10*0.2)^2)/30,2)</f>
        <v/>
      </c>
      <c r="R5" s="15">
        <f>TRUNC(((R10*0.2)^2)/30,2)</f>
        <v/>
      </c>
    </row>
    <row r="7">
      <c r="A7" s="15" t="inlineStr">
        <is>
          <t>GERADOR DE DADOS</t>
        </is>
      </c>
      <c r="C7" s="15" t="inlineStr">
        <is>
          <t>Capw</t>
        </is>
      </c>
      <c r="D7" s="15" t="n">
        <v>1</v>
      </c>
      <c r="E7" s="15" t="n">
        <v>2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  <c r="N7" s="15" t="n">
        <v>11</v>
      </c>
      <c r="O7" s="15" t="n">
        <v>12</v>
      </c>
      <c r="P7" s="15" t="n">
        <v>13</v>
      </c>
      <c r="Q7" s="15" t="n">
        <v>14</v>
      </c>
      <c r="R7" s="15" t="n">
        <v>15</v>
      </c>
    </row>
    <row r="8">
      <c r="A8" s="39">
        <f>Demand!E5</f>
        <v/>
      </c>
      <c r="B8" s="39">
        <f>TRUNC((_xlfn.NORM.INV((RAND()),$A$8,$A$9)),2)</f>
        <v/>
      </c>
      <c r="C8" s="15" t="n">
        <v>1</v>
      </c>
      <c r="D8" s="40" t="n">
        <v>304.6</v>
      </c>
      <c r="E8" s="40" t="n">
        <v>336.22</v>
      </c>
      <c r="F8" s="40" t="n">
        <v>367.37</v>
      </c>
      <c r="G8" s="40" t="n">
        <v>330.6</v>
      </c>
      <c r="H8" s="40" t="n">
        <v>407.16</v>
      </c>
      <c r="I8" s="40" t="n">
        <v>209.81</v>
      </c>
      <c r="J8" s="40" t="n">
        <v>353.15</v>
      </c>
      <c r="K8" s="40" t="n">
        <v>325.44</v>
      </c>
      <c r="L8" s="40" t="n">
        <v>303.38</v>
      </c>
      <c r="M8" s="40" t="n">
        <v>363.91</v>
      </c>
      <c r="N8" s="40" t="n">
        <v>423.84</v>
      </c>
      <c r="O8" s="40" t="n">
        <v>250.7</v>
      </c>
      <c r="P8" s="40" t="n">
        <v>253.28</v>
      </c>
      <c r="Q8" s="40" t="n">
        <v>216.52</v>
      </c>
      <c r="R8" s="40" t="n">
        <v>388.77</v>
      </c>
    </row>
    <row r="9">
      <c r="A9" s="39">
        <f>A8*0.2</f>
        <v/>
      </c>
      <c r="B9" s="39">
        <f>TRUNC((_xlfn.NORM.INV((RAND()),$A$8,$A$9)),2)</f>
        <v/>
      </c>
      <c r="C9" s="15" t="n">
        <v>2</v>
      </c>
      <c r="D9" s="40" t="n">
        <v>288.68</v>
      </c>
      <c r="E9" s="40" t="n">
        <v>254.58</v>
      </c>
      <c r="F9" s="40" t="n">
        <v>333.83</v>
      </c>
      <c r="G9" s="40" t="n">
        <v>569.96</v>
      </c>
      <c r="H9" s="40" t="n">
        <v>363.61</v>
      </c>
      <c r="I9" s="40" t="n">
        <v>359.54</v>
      </c>
      <c r="J9" s="40" t="n">
        <v>304.66</v>
      </c>
      <c r="K9" s="40" t="n">
        <v>312.17</v>
      </c>
      <c r="L9" s="40" t="n">
        <v>379.11</v>
      </c>
      <c r="M9" s="40" t="n">
        <v>233.3</v>
      </c>
      <c r="N9" s="40" t="n">
        <v>387.92</v>
      </c>
      <c r="O9" s="40" t="n">
        <v>330.06</v>
      </c>
      <c r="P9" s="40" t="n">
        <v>266.36</v>
      </c>
      <c r="Q9" s="40" t="n">
        <v>408.27</v>
      </c>
      <c r="R9" s="40" t="n">
        <v>358.07</v>
      </c>
    </row>
    <row r="10">
      <c r="B10" s="39">
        <f>TRUNC((_xlfn.NORM.INV((RAND()),$A$8,$A$9)),2)</f>
        <v/>
      </c>
      <c r="C10" s="15" t="n">
        <v>3</v>
      </c>
      <c r="D10" s="40" t="n">
        <v>327.67</v>
      </c>
      <c r="E10" s="40" t="n">
        <v>359.24</v>
      </c>
      <c r="F10" s="40" t="n">
        <v>403.54</v>
      </c>
      <c r="G10" s="40" t="n">
        <v>415.74</v>
      </c>
      <c r="H10" s="40" t="n">
        <v>368.14</v>
      </c>
      <c r="I10" s="40" t="n">
        <v>306.54</v>
      </c>
      <c r="J10" s="40" t="n">
        <v>220.2</v>
      </c>
      <c r="K10" s="40" t="n">
        <v>408.05</v>
      </c>
      <c r="L10" s="40" t="n">
        <v>398.03</v>
      </c>
      <c r="M10" s="40" t="n">
        <v>305.5</v>
      </c>
      <c r="N10" s="40" t="n">
        <v>241.55</v>
      </c>
      <c r="O10" s="40" t="n">
        <v>315.53</v>
      </c>
      <c r="P10" s="40" t="n">
        <v>436.88</v>
      </c>
      <c r="Q10" s="40" t="n">
        <v>393.14</v>
      </c>
      <c r="R10" s="40" t="n">
        <v>327.17</v>
      </c>
    </row>
    <row r="12">
      <c r="C12" s="15" t="inlineStr">
        <is>
          <t>RunOutTimew</t>
        </is>
      </c>
      <c r="D12" s="15" t="n">
        <v>1</v>
      </c>
      <c r="E12" s="15" t="n">
        <v>2</v>
      </c>
      <c r="F12" s="15" t="n">
        <v>3</v>
      </c>
      <c r="G12" s="15" t="n">
        <v>4</v>
      </c>
      <c r="H12" s="15" t="n">
        <v>5</v>
      </c>
      <c r="I12" s="15" t="n">
        <v>6</v>
      </c>
      <c r="J12" s="15" t="n">
        <v>7</v>
      </c>
      <c r="K12" s="15" t="n">
        <v>8</v>
      </c>
      <c r="L12" s="15" t="n">
        <v>9</v>
      </c>
      <c r="M12" s="15" t="n">
        <v>10</v>
      </c>
      <c r="N12" s="15" t="n">
        <v>11</v>
      </c>
      <c r="O12" s="15" t="n">
        <v>12</v>
      </c>
      <c r="P12" s="15" t="n">
        <v>13</v>
      </c>
      <c r="Q12" s="15" t="n">
        <v>14</v>
      </c>
      <c r="R12" s="15" t="n">
        <v>15</v>
      </c>
    </row>
    <row r="13">
      <c r="C13" s="15" t="n">
        <v>1</v>
      </c>
      <c r="D13" s="41">
        <f>IF(Demand!AU5=Suppliers_Cap!D8,0,(Beginning_stock!AT5/(Demand!AU5-Suppliers_Cap!D8)))</f>
        <v/>
      </c>
      <c r="E13" s="41">
        <f>IF(Demand!AV5=Suppliers_Cap!E8,0,(Beginning_stock!AU5/(Demand!AV5-Suppliers_Cap!E8)))</f>
        <v/>
      </c>
      <c r="F13" s="41">
        <f>IF(Demand!AW5=Suppliers_Cap!F8,0,(Beginning_stock!AV5/(Demand!AW5-Suppliers_Cap!F8)))</f>
        <v/>
      </c>
      <c r="G13" s="41">
        <f>IF(Demand!AX5=Suppliers_Cap!G8,0,(Beginning_stock!AW5/(Demand!AX5-Suppliers_Cap!G8)))</f>
        <v/>
      </c>
      <c r="H13" s="41">
        <f>IF(Demand!AY5=Suppliers_Cap!H8,0,(Beginning_stock!AX5/(Demand!AY5-Suppliers_Cap!H8)))</f>
        <v/>
      </c>
      <c r="I13" s="41">
        <f>IF(Demand!AZ5=Suppliers_Cap!I8,0,(Beginning_stock!AY5/(Demand!AZ5-Suppliers_Cap!I8)))</f>
        <v/>
      </c>
      <c r="J13" s="41">
        <f>IF(Demand!BA5=Suppliers_Cap!J8,0,(Beginning_stock!AZ5/(Demand!BA5-Suppliers_Cap!J8)))</f>
        <v/>
      </c>
      <c r="K13" s="41">
        <f>IF(Demand!BB5=Suppliers_Cap!K8,0,(Beginning_stock!BA5/(Demand!BB5-Suppliers_Cap!K8)))</f>
        <v/>
      </c>
      <c r="L13" s="41">
        <f>IF(Demand!BC5=Suppliers_Cap!L8,0,(Beginning_stock!BB5/(Demand!BC5-Suppliers_Cap!L8)))</f>
        <v/>
      </c>
      <c r="M13" s="41">
        <f>IF(Demand!BD5=Suppliers_Cap!M8,0,(Beginning_stock!BC5/(Demand!BD5-Suppliers_Cap!M8)))</f>
        <v/>
      </c>
      <c r="N13" s="41">
        <f>IF(Demand!BE5=Suppliers_Cap!N8,0,(Beginning_stock!BD5/(Demand!BE5-Suppliers_Cap!N8)))</f>
        <v/>
      </c>
      <c r="O13" s="41">
        <f>IF(Demand!BF5=Suppliers_Cap!O8,0,(Beginning_stock!BE5/(Demand!BF5-Suppliers_Cap!O8)))</f>
        <v/>
      </c>
      <c r="P13" s="41">
        <f>IF(Demand!BG5=Suppliers_Cap!P8,0,(Beginning_stock!BF5/(Demand!BG5-Suppliers_Cap!P8)))</f>
        <v/>
      </c>
      <c r="Q13" s="41">
        <f>IF(Demand!BH5=Suppliers_Cap!Q8,0,(Beginning_stock!BG5/(Demand!BH5-Suppliers_Cap!Q8)))</f>
        <v/>
      </c>
      <c r="R13" s="41">
        <f>IF(Demand!BI5=Suppliers_Cap!R8,0,(Beginning_stock!BH5/(Demand!BI5-Suppliers_Cap!R8)))</f>
        <v/>
      </c>
    </row>
    <row r="14">
      <c r="C14" s="15" t="n">
        <v>2</v>
      </c>
      <c r="D14" s="41">
        <f>IF(Demand!AU6=Suppliers_Cap!D9,0,(Beginning_stock!AT6/(Demand!AU6-Suppliers_Cap!D9)))</f>
        <v/>
      </c>
      <c r="E14" s="41">
        <f>IF(Demand!AV6=Suppliers_Cap!E9,0,(Beginning_stock!AU6/(Demand!AV6-Suppliers_Cap!E9)))</f>
        <v/>
      </c>
      <c r="F14" s="41">
        <f>IF(Demand!AW6=Suppliers_Cap!F9,0,(Beginning_stock!AV6/(Demand!AW6-Suppliers_Cap!F9)))</f>
        <v/>
      </c>
      <c r="G14" s="41">
        <f>IF(Demand!AX6=Suppliers_Cap!G9,0,(Beginning_stock!AW6/(Demand!AX6-Suppliers_Cap!G9)))</f>
        <v/>
      </c>
      <c r="H14" s="41">
        <f>IF(Demand!AY6=Suppliers_Cap!H9,0,(Beginning_stock!AX6/(Demand!AY6-Suppliers_Cap!H9)))</f>
        <v/>
      </c>
      <c r="I14" s="41">
        <f>IF(Demand!AZ6=Suppliers_Cap!I9,0,(Beginning_stock!AY6/(Demand!AZ6-Suppliers_Cap!I9)))</f>
        <v/>
      </c>
      <c r="J14" s="41">
        <f>IF(Demand!BA6=Suppliers_Cap!J9,0,(Beginning_stock!AZ6/(Demand!BA6-Suppliers_Cap!J9)))</f>
        <v/>
      </c>
      <c r="K14" s="41">
        <f>IF(Demand!BB6=Suppliers_Cap!K9,0,(Beginning_stock!BA6/(Demand!BB6-Suppliers_Cap!K9)))</f>
        <v/>
      </c>
      <c r="L14" s="41">
        <f>IF(Demand!BC6=Suppliers_Cap!L9,0,(Beginning_stock!BB6/(Demand!BC6-Suppliers_Cap!L9)))</f>
        <v/>
      </c>
      <c r="M14" s="41">
        <f>IF(Demand!BD6=Suppliers_Cap!M9,0,(Beginning_stock!BC6/(Demand!BD6-Suppliers_Cap!M9)))</f>
        <v/>
      </c>
      <c r="N14" s="41">
        <f>IF(Demand!BE6=Suppliers_Cap!N9,0,(Beginning_stock!BD6/(Demand!BE6-Suppliers_Cap!N9)))</f>
        <v/>
      </c>
      <c r="O14" s="41">
        <f>IF(Demand!BF6=Suppliers_Cap!O9,0,(Beginning_stock!BE6/(Demand!BF6-Suppliers_Cap!O9)))</f>
        <v/>
      </c>
      <c r="P14" s="41">
        <f>IF(Demand!BG6=Suppliers_Cap!P9,0,(Beginning_stock!BF6/(Demand!BG6-Suppliers_Cap!P9)))</f>
        <v/>
      </c>
      <c r="Q14" s="41">
        <f>IF(Demand!BH6=Suppliers_Cap!Q9,0,(Beginning_stock!BG6/(Demand!BH6-Suppliers_Cap!Q9)))</f>
        <v/>
      </c>
      <c r="R14" s="41">
        <f>IF(Demand!BI6=Suppliers_Cap!R9,0,(Beginning_stock!BH6/(Demand!BI6-Suppliers_Cap!R9)))</f>
        <v/>
      </c>
    </row>
    <row r="15">
      <c r="C15" s="15" t="n">
        <v>3</v>
      </c>
      <c r="D15" s="41">
        <f>IF(Demand!AU7=Suppliers_Cap!D10,0,(Beginning_stock!AT7/(Demand!AU7-Suppliers_Cap!D10)))</f>
        <v/>
      </c>
      <c r="E15" s="41">
        <f>IF(Demand!AV7=Suppliers_Cap!E10,0,(Beginning_stock!AU7/(Demand!AV7-Suppliers_Cap!E10)))</f>
        <v/>
      </c>
      <c r="F15" s="41">
        <f>IF(Demand!AW7=Suppliers_Cap!F10,0,(Beginning_stock!AV7/(Demand!AW7-Suppliers_Cap!F10)))</f>
        <v/>
      </c>
      <c r="G15" s="41">
        <f>IF(Demand!AX7=Suppliers_Cap!G10,0,(Beginning_stock!AW7/(Demand!AX7-Suppliers_Cap!G10)))</f>
        <v/>
      </c>
      <c r="H15" s="41">
        <f>IF(Demand!AY7=Suppliers_Cap!H10,0,(Beginning_stock!AX7/(Demand!AY7-Suppliers_Cap!H10)))</f>
        <v/>
      </c>
      <c r="I15" s="41">
        <f>IF(Demand!AZ7=Suppliers_Cap!I10,0,(Beginning_stock!AY7/(Demand!AZ7-Suppliers_Cap!I10)))</f>
        <v/>
      </c>
      <c r="J15" s="41">
        <f>IF(Demand!BA7=Suppliers_Cap!J10,0,(Beginning_stock!AZ7/(Demand!BA7-Suppliers_Cap!J10)))</f>
        <v/>
      </c>
      <c r="K15" s="41">
        <f>IF(Demand!BB7=Suppliers_Cap!K10,0,(Beginning_stock!BA7/(Demand!BB7-Suppliers_Cap!K10)))</f>
        <v/>
      </c>
      <c r="L15" s="41">
        <f>IF(Demand!BC7=Suppliers_Cap!L10,0,(Beginning_stock!BB7/(Demand!BC7-Suppliers_Cap!L10)))</f>
        <v/>
      </c>
      <c r="M15" s="41">
        <f>IF(Demand!BD7=Suppliers_Cap!M10,0,(Beginning_stock!BC7/(Demand!BD7-Suppliers_Cap!M10)))</f>
        <v/>
      </c>
      <c r="N15" s="41">
        <f>IF(Demand!BE7=Suppliers_Cap!N10,0,(Beginning_stock!BD7/(Demand!BE7-Suppliers_Cap!N10)))</f>
        <v/>
      </c>
      <c r="O15" s="41">
        <f>IF(Demand!BF7=Suppliers_Cap!O10,0,(Beginning_stock!BE7/(Demand!BF7-Suppliers_Cap!O10)))</f>
        <v/>
      </c>
      <c r="P15" s="41">
        <f>IF(Demand!BG7=Suppliers_Cap!P10,0,(Beginning_stock!BF7/(Demand!BG7-Suppliers_Cap!P10)))</f>
        <v/>
      </c>
      <c r="Q15" s="41">
        <f>IF(Demand!BH7=Suppliers_Cap!Q10,0,(Beginning_stock!BG7/(Demand!BH7-Suppliers_Cap!Q10)))</f>
        <v/>
      </c>
      <c r="R15" s="41">
        <f>IF(Demand!BI7=Suppliers_Cap!R10,0,(Beginning_stock!BH7/(Demand!BI7-Suppliers_Cap!R10)))</f>
        <v/>
      </c>
    </row>
    <row r="17">
      <c r="C17" s="15" t="inlineStr">
        <is>
          <t>Stockout time</t>
        </is>
      </c>
    </row>
    <row r="18">
      <c r="D18" s="15" t="n">
        <v>1</v>
      </c>
      <c r="E18" s="15" t="n">
        <v>2</v>
      </c>
      <c r="F18" s="15" t="n">
        <v>3</v>
      </c>
      <c r="G18" s="15" t="n">
        <v>4</v>
      </c>
      <c r="H18" s="15" t="n">
        <v>5</v>
      </c>
      <c r="I18" s="15" t="n">
        <v>6</v>
      </c>
      <c r="J18" s="15" t="n">
        <v>7</v>
      </c>
      <c r="K18" s="15" t="n">
        <v>8</v>
      </c>
      <c r="L18" s="15" t="n">
        <v>9</v>
      </c>
      <c r="M18" s="15" t="n">
        <v>10</v>
      </c>
      <c r="N18" s="15" t="n">
        <v>11</v>
      </c>
      <c r="O18" s="15" t="n">
        <v>12</v>
      </c>
      <c r="P18" s="15" t="n">
        <v>13</v>
      </c>
      <c r="Q18" s="15" t="n">
        <v>14</v>
      </c>
      <c r="R18" s="15" t="n">
        <v>15</v>
      </c>
      <c r="T18" s="15" t="inlineStr">
        <is>
          <t>máximo</t>
        </is>
      </c>
      <c r="V18" s="15" t="inlineStr">
        <is>
          <t>máximo</t>
        </is>
      </c>
    </row>
    <row r="19">
      <c r="C19" s="15" t="n">
        <v>1</v>
      </c>
      <c r="D19" s="15">
        <f>IF(D13&gt;0,Suppliers!I22-D13,0)</f>
        <v/>
      </c>
      <c r="E19" s="15">
        <f>IF(E13&gt;0,Suppliers!J22-E13,0)</f>
        <v/>
      </c>
      <c r="F19" s="15">
        <f>IF(F13&gt;0,Suppliers!K22-F13,0)</f>
        <v/>
      </c>
      <c r="G19" s="15">
        <f>IF(G13&gt;0,Suppliers!L22-G13,0)</f>
        <v/>
      </c>
      <c r="H19" s="15">
        <f>IF(H13&gt;0,Suppliers!M22-H13,0)</f>
        <v/>
      </c>
      <c r="I19" s="15">
        <f>IF(I13&gt;0,Suppliers!N22-I13,0)</f>
        <v/>
      </c>
      <c r="J19" s="15">
        <f>IF(J13&gt;0,Suppliers!O22-J13,0)</f>
        <v/>
      </c>
      <c r="K19" s="15">
        <f>IF(K13&gt;0,Suppliers!P22-K13,0)</f>
        <v/>
      </c>
      <c r="L19" s="15">
        <f>IF(L13&gt;0,Suppliers!Q22-L13,0)</f>
        <v/>
      </c>
      <c r="M19" s="15">
        <f>IF(M13&gt;0,Suppliers!R22-M13,0)</f>
        <v/>
      </c>
      <c r="N19" s="15">
        <f>IF(N13&gt;0,Suppliers!S22-N13,0)</f>
        <v/>
      </c>
      <c r="O19" s="15">
        <f>IF(O13&gt;0,Suppliers!T22-O13,0)</f>
        <v/>
      </c>
      <c r="P19" s="15">
        <f>IF(P13&gt;0,Suppliers!U22-P13,0)</f>
        <v/>
      </c>
      <c r="Q19" s="15">
        <f>IF(Q13&gt;0,Suppliers!V22-Q13,0)</f>
        <v/>
      </c>
      <c r="R19" s="15">
        <f>IF(R13&gt;0,Suppliers!W22-R13,0)</f>
        <v/>
      </c>
      <c r="T19" s="15">
        <f>MAX(D19:R19)</f>
        <v/>
      </c>
      <c r="V19" s="15" t="n">
        <v>6.887941037957994</v>
      </c>
    </row>
    <row r="20">
      <c r="C20" s="15" t="n">
        <v>2</v>
      </c>
      <c r="D20" s="15">
        <f>IF(D14&gt;0,Suppliers!I23-D14,0)</f>
        <v/>
      </c>
      <c r="E20" s="15">
        <f>IF(E14&gt;0,Suppliers!J23-E14,0)</f>
        <v/>
      </c>
      <c r="F20" s="15">
        <f>IF(F14&gt;0,Suppliers!K23-F14,0)</f>
        <v/>
      </c>
      <c r="G20" s="15">
        <f>IF(G14&gt;0,Suppliers!L23-G14,0)</f>
        <v/>
      </c>
      <c r="H20" s="15">
        <f>IF(H14&gt;0,Suppliers!M23-H14,0)</f>
        <v/>
      </c>
      <c r="I20" s="15">
        <f>IF(I14&gt;0,Suppliers!N23-I14,0)</f>
        <v/>
      </c>
      <c r="J20" s="15">
        <f>IF(J14&gt;0,Suppliers!O23-J14,0)</f>
        <v/>
      </c>
      <c r="K20" s="15">
        <f>IF(K14&gt;0,Suppliers!P23-K14,0)</f>
        <v/>
      </c>
      <c r="L20" s="15">
        <f>IF(L14&gt;0,Suppliers!Q23-L14,0)</f>
        <v/>
      </c>
      <c r="M20" s="15">
        <f>IF(M14&gt;0,Suppliers!R23-M14,0)</f>
        <v/>
      </c>
      <c r="N20" s="15">
        <f>IF(N14&gt;0,Suppliers!S23-N14,0)</f>
        <v/>
      </c>
      <c r="O20" s="15">
        <f>IF(O14&gt;0,Suppliers!T23-O14,0)</f>
        <v/>
      </c>
      <c r="P20" s="15">
        <f>IF(P14&gt;0,Suppliers!U23-P14,0)</f>
        <v/>
      </c>
      <c r="Q20" s="15">
        <f>IF(Q14&gt;0,Suppliers!V23-Q14,0)</f>
        <v/>
      </c>
      <c r="R20" s="15">
        <f>IF(R14&gt;0,Suppliers!W23-R14,0)</f>
        <v/>
      </c>
      <c r="T20" s="15">
        <f>MAX(D20:R20)</f>
        <v/>
      </c>
      <c r="V20" s="15" t="n">
        <v>1.63121294165426</v>
      </c>
    </row>
    <row r="21">
      <c r="C21" s="15" t="n">
        <v>3</v>
      </c>
      <c r="D21" s="15">
        <f>IF(D15&gt;0,Suppliers!I24-D15,0)</f>
        <v/>
      </c>
      <c r="E21" s="15">
        <f>IF(E15&gt;0,Suppliers!J24-E15,0)</f>
        <v/>
      </c>
      <c r="F21" s="15">
        <f>IF(F15&gt;0,Suppliers!K24-F15,0)</f>
        <v/>
      </c>
      <c r="G21" s="15">
        <f>IF(G15&gt;0,Suppliers!L24-G15,0)</f>
        <v/>
      </c>
      <c r="H21" s="15">
        <f>IF(H15&gt;0,Suppliers!M24-H15,0)</f>
        <v/>
      </c>
      <c r="I21" s="15">
        <f>IF(I15&gt;0,Suppliers!N24-I15,0)</f>
        <v/>
      </c>
      <c r="J21" s="15">
        <f>IF(J15&gt;0,Suppliers!O24-J15,0)</f>
        <v/>
      </c>
      <c r="K21" s="15">
        <f>IF(K15&gt;0,Suppliers!P24-K15,0)</f>
        <v/>
      </c>
      <c r="L21" s="15">
        <f>IF(L15&gt;0,Suppliers!Q24-L15,0)</f>
        <v/>
      </c>
      <c r="M21" s="15">
        <f>IF(M15&gt;0,Suppliers!R24-M15,0)</f>
        <v/>
      </c>
      <c r="N21" s="15">
        <f>IF(N15&gt;0,Suppliers!S24-N15,0)</f>
        <v/>
      </c>
      <c r="O21" s="15">
        <f>IF(O15&gt;0,Suppliers!T24-O15,0)</f>
        <v/>
      </c>
      <c r="P21" s="15">
        <f>IF(P15&gt;0,Suppliers!U24-P15,0)</f>
        <v/>
      </c>
      <c r="Q21" s="15">
        <f>IF(Q15&gt;0,Suppliers!V24-Q15,0)</f>
        <v/>
      </c>
      <c r="R21" s="15">
        <f>IF(R15&gt;0,Suppliers!W24-R15,0)</f>
        <v/>
      </c>
      <c r="T21" s="15">
        <f>MAX(D21:R21)</f>
        <v/>
      </c>
      <c r="V21" s="15" t="n">
        <v>9.960484921350567</v>
      </c>
    </row>
    <row r="23">
      <c r="C23" s="63" t="inlineStr">
        <is>
          <t>Maximum stockout time per p</t>
        </is>
      </c>
    </row>
    <row r="24">
      <c r="D24" s="15" t="n">
        <v>1</v>
      </c>
      <c r="E24" s="15" t="n">
        <v>2</v>
      </c>
      <c r="F24" s="15" t="n">
        <v>3</v>
      </c>
      <c r="G24" s="15" t="n">
        <v>4</v>
      </c>
      <c r="H24" s="15" t="n">
        <v>5</v>
      </c>
      <c r="I24" s="15" t="n">
        <v>6</v>
      </c>
      <c r="J24" s="15" t="n">
        <v>7</v>
      </c>
      <c r="K24" s="15" t="n">
        <v>8</v>
      </c>
      <c r="L24" s="15" t="n">
        <v>9</v>
      </c>
      <c r="M24" s="15" t="n">
        <v>10</v>
      </c>
      <c r="N24" s="15" t="n">
        <v>11</v>
      </c>
      <c r="O24" s="15" t="n">
        <v>12</v>
      </c>
      <c r="P24" s="15" t="n">
        <v>13</v>
      </c>
      <c r="Q24" s="15" t="n">
        <v>14</v>
      </c>
      <c r="R24" s="15" t="n">
        <v>15</v>
      </c>
      <c r="T24" s="15" t="inlineStr">
        <is>
          <t>máximo</t>
        </is>
      </c>
      <c r="V24" s="15" t="inlineStr">
        <is>
          <t>máximo</t>
        </is>
      </c>
    </row>
    <row r="25">
      <c r="D25" s="15">
        <f>MAX(D19:D21)</f>
        <v/>
      </c>
      <c r="E25" s="15">
        <f>MAX(E19:E21)</f>
        <v/>
      </c>
      <c r="F25" s="15">
        <f>MAX(F19:F21)</f>
        <v/>
      </c>
      <c r="G25" s="15">
        <f>MAX(G19:G21)</f>
        <v/>
      </c>
      <c r="H25" s="15">
        <f>MAX(H19:H21)</f>
        <v/>
      </c>
      <c r="I25" s="15">
        <f>MAX(I19:I21)</f>
        <v/>
      </c>
      <c r="J25" s="15">
        <f>MAX(J19:J21)</f>
        <v/>
      </c>
      <c r="K25" s="15">
        <f>MAX(K19:K21)</f>
        <v/>
      </c>
      <c r="L25" s="15">
        <f>MAX(L19:L21)</f>
        <v/>
      </c>
      <c r="M25" s="15">
        <f>MAX(M19:M21)</f>
        <v/>
      </c>
      <c r="N25" s="15">
        <f>MAX(N19:N21)</f>
        <v/>
      </c>
      <c r="O25" s="15">
        <f>MAX(O19:O21)</f>
        <v/>
      </c>
      <c r="P25" s="15">
        <f>MAX(P19:P21)</f>
        <v/>
      </c>
      <c r="Q25" s="15">
        <f>MAX(Q19:Q21)</f>
        <v/>
      </c>
      <c r="R25" s="15">
        <f>MAX(R19:R21)</f>
        <v/>
      </c>
      <c r="T25" s="15">
        <f>MAX(D25:R25)</f>
        <v/>
      </c>
      <c r="V25" s="44" t="n">
        <v>15.14345622119816</v>
      </c>
    </row>
    <row r="27">
      <c r="C27" s="15" t="inlineStr">
        <is>
          <t>S0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</row>
    <row r="28">
      <c r="C28" s="15" t="n">
        <v>1</v>
      </c>
      <c r="D28" s="70">
        <f>IF(D19&lt;&gt;0,D19,0)</f>
        <v/>
      </c>
      <c r="E28" s="70">
        <f>IF(E19&lt;&gt;0,E19,0)</f>
        <v/>
      </c>
      <c r="F28" s="70">
        <f>IF(F19&lt;&gt;0,F19,0)</f>
        <v/>
      </c>
      <c r="G28" s="70">
        <f>IF(G19&lt;&gt;0,G19,0)</f>
        <v/>
      </c>
      <c r="H28" s="70">
        <f>IF(H19&lt;&gt;0,H19,0)</f>
        <v/>
      </c>
      <c r="I28" s="70">
        <f>IF(I19&lt;&gt;0,I19,0)</f>
        <v/>
      </c>
      <c r="J28" s="70">
        <f>IF(J19&lt;&gt;0,J19,0)</f>
        <v/>
      </c>
      <c r="K28" s="70">
        <f>IF(K19&lt;&gt;0,K19,0)</f>
        <v/>
      </c>
      <c r="L28" s="70">
        <f>IF(L19&lt;&gt;0,L19,0)</f>
        <v/>
      </c>
      <c r="M28" s="70">
        <f>IF(M19&lt;&gt;0,M19,0)</f>
        <v/>
      </c>
      <c r="N28" s="70">
        <f>IF(N19&lt;&gt;0,N19,0)</f>
        <v/>
      </c>
      <c r="O28" s="70">
        <f>IF(O19&lt;&gt;0,O19,0)</f>
        <v/>
      </c>
      <c r="P28" s="70">
        <f>IF(P19&lt;&gt;0,P19,0)</f>
        <v/>
      </c>
      <c r="Q28" s="70">
        <f>IF(Q19&lt;&gt;0,Q19,0)</f>
        <v/>
      </c>
      <c r="R28" s="70">
        <f>IF(R19&lt;&gt;0,R19,0)</f>
        <v/>
      </c>
    </row>
    <row r="29">
      <c r="C29" s="15" t="n">
        <v>2</v>
      </c>
      <c r="D29" s="70">
        <f>IF(D20&lt;&gt;0,D20,0)</f>
        <v/>
      </c>
      <c r="E29" s="70">
        <f>IF(E20&lt;&gt;0,E20,0)</f>
        <v/>
      </c>
      <c r="F29" s="70">
        <f>IF(F20&lt;&gt;0,F20,0)</f>
        <v/>
      </c>
      <c r="G29" s="70">
        <f>IF(G20&lt;&gt;0,G20,0)</f>
        <v/>
      </c>
      <c r="H29" s="70">
        <f>IF(H20&lt;&gt;0,H20,0)</f>
        <v/>
      </c>
      <c r="I29" s="70">
        <f>IF(I20&lt;&gt;0,I20,0)</f>
        <v/>
      </c>
      <c r="J29" s="70">
        <f>IF(J20&lt;&gt;0,J20,0)</f>
        <v/>
      </c>
      <c r="K29" s="70">
        <f>IF(K20&lt;&gt;0,K20,0)</f>
        <v/>
      </c>
      <c r="L29" s="70">
        <f>IF(L20&lt;&gt;0,L20,0)</f>
        <v/>
      </c>
      <c r="M29" s="70">
        <f>IF(M20&lt;&gt;0,M20,0)</f>
        <v/>
      </c>
      <c r="N29" s="70">
        <f>IF(N20&lt;&gt;0,N20,0)</f>
        <v/>
      </c>
      <c r="O29" s="70">
        <f>IF(O20&lt;&gt;0,O20,0)</f>
        <v/>
      </c>
      <c r="P29" s="70">
        <f>IF(P20&lt;&gt;0,P20,0)</f>
        <v/>
      </c>
      <c r="Q29" s="70">
        <f>IF(Q20&lt;&gt;0,Q20,0)</f>
        <v/>
      </c>
      <c r="R29" s="70">
        <f>IF(R20&lt;&gt;0,R20,0)</f>
        <v/>
      </c>
    </row>
    <row r="30">
      <c r="C30" s="15" t="n">
        <v>3</v>
      </c>
      <c r="D30" s="70">
        <f>IF(D21&lt;&gt;0,D21,0)</f>
        <v/>
      </c>
      <c r="E30" s="70">
        <f>IF(E21&lt;&gt;0,E21,0)</f>
        <v/>
      </c>
      <c r="F30" s="70">
        <f>IF(F21&lt;&gt;0,F21,0)</f>
        <v/>
      </c>
      <c r="G30" s="70">
        <f>IF(G21&lt;&gt;0,G21,0)</f>
        <v/>
      </c>
      <c r="H30" s="70">
        <f>IF(H21&lt;&gt;0,H21,0)</f>
        <v/>
      </c>
      <c r="I30" s="70">
        <f>IF(I21&lt;&gt;0,I21,0)</f>
        <v/>
      </c>
      <c r="J30" s="70">
        <f>IF(J21&lt;&gt;0,J21,0)</f>
        <v/>
      </c>
      <c r="K30" s="70">
        <f>IF(K21&lt;&gt;0,K21,0)</f>
        <v/>
      </c>
      <c r="L30" s="70">
        <f>IF(L21&lt;&gt;0,L21,0)</f>
        <v/>
      </c>
      <c r="M30" s="70">
        <f>IF(M21&lt;&gt;0,M21,0)</f>
        <v/>
      </c>
      <c r="N30" s="70">
        <f>IF(N21&lt;&gt;0,N21,0)</f>
        <v/>
      </c>
      <c r="O30" s="70">
        <f>IF(O21&lt;&gt;0,O21,0)</f>
        <v/>
      </c>
      <c r="P30" s="70">
        <f>IF(P21&lt;&gt;0,P21,0)</f>
        <v/>
      </c>
      <c r="Q30" s="70">
        <f>IF(Q21&lt;&gt;0,Q21,0)</f>
        <v/>
      </c>
      <c r="R30" s="70">
        <f>IF(R21&lt;&gt;0,R21,0)</f>
        <v/>
      </c>
    </row>
    <row r="32">
      <c r="C32" s="15" t="inlineStr">
        <is>
          <t>S0</t>
        </is>
      </c>
      <c r="D32" s="15" t="n">
        <v>1</v>
      </c>
      <c r="E32" s="15" t="n">
        <v>2</v>
      </c>
      <c r="F32" s="15" t="n">
        <v>3</v>
      </c>
      <c r="G32" s="15" t="n">
        <v>4</v>
      </c>
      <c r="H32" s="15" t="n">
        <v>5</v>
      </c>
      <c r="I32" s="15" t="n">
        <v>6</v>
      </c>
      <c r="J32" s="15" t="n">
        <v>7</v>
      </c>
      <c r="K32" s="15" t="n">
        <v>8</v>
      </c>
      <c r="L32" s="15" t="n">
        <v>9</v>
      </c>
      <c r="M32" s="15" t="n">
        <v>10</v>
      </c>
      <c r="N32" s="15" t="n">
        <v>11</v>
      </c>
      <c r="O32" s="15" t="n">
        <v>12</v>
      </c>
      <c r="P32" s="15" t="n">
        <v>13</v>
      </c>
      <c r="Q32" s="15" t="n">
        <v>14</v>
      </c>
      <c r="R32" s="15" t="n">
        <v>15</v>
      </c>
    </row>
    <row r="33">
      <c r="C33" s="15" t="n">
        <v>1</v>
      </c>
      <c r="D33" s="45" t="n">
        <v>0</v>
      </c>
      <c r="E33" s="45" t="n">
        <v>0</v>
      </c>
      <c r="F33" s="45" t="n">
        <v>0</v>
      </c>
      <c r="G33" s="45" t="n">
        <v>0</v>
      </c>
      <c r="H33" s="45" t="n">
        <v>-0.2635331905781637</v>
      </c>
      <c r="I33" s="45" t="n">
        <v>6.887941037957994</v>
      </c>
      <c r="J33" s="45" t="n">
        <v>0</v>
      </c>
      <c r="K33" s="45" t="n">
        <v>-1.741438677542767</v>
      </c>
      <c r="L33" s="45" t="n">
        <v>-4.375428063592381</v>
      </c>
      <c r="M33" s="45" t="n">
        <v>0</v>
      </c>
      <c r="N33" s="45" t="n">
        <v>-56.04966010733436</v>
      </c>
      <c r="O33" s="45" t="n">
        <v>0</v>
      </c>
      <c r="P33" s="45" t="n">
        <v>-7.063160453808745</v>
      </c>
      <c r="Q33" s="45" t="n">
        <v>6.422937662044865</v>
      </c>
      <c r="R33" s="45" t="n">
        <v>5.81591951394787</v>
      </c>
    </row>
    <row r="34">
      <c r="C34" s="15" t="n">
        <v>2</v>
      </c>
      <c r="D34" s="45" t="n">
        <v>-5.361609506190415</v>
      </c>
      <c r="E34" s="45" t="n">
        <v>-1.922419562419556</v>
      </c>
      <c r="F34" s="45" t="n">
        <v>0</v>
      </c>
      <c r="G34" s="45" t="n">
        <v>0</v>
      </c>
      <c r="H34" s="45" t="n">
        <v>-36.15456150182123</v>
      </c>
      <c r="I34" s="45" t="n">
        <v>-4.554898236092269</v>
      </c>
      <c r="J34" s="45" t="n">
        <v>-178.8290909090919</v>
      </c>
      <c r="K34" s="45" t="n">
        <v>0</v>
      </c>
      <c r="L34" s="45" t="n">
        <v>0</v>
      </c>
      <c r="M34" s="45" t="n">
        <v>-3.290545608346255</v>
      </c>
      <c r="N34" s="45" t="n">
        <v>0</v>
      </c>
      <c r="O34" s="45" t="n">
        <v>1.63121294165426</v>
      </c>
      <c r="P34" s="45" t="n">
        <v>-0.7280962445130896</v>
      </c>
      <c r="Q34" s="45" t="n">
        <v>-6.306323529411749</v>
      </c>
      <c r="R34" s="45" t="n">
        <v>-6.207751119274477</v>
      </c>
    </row>
    <row r="35">
      <c r="C35" s="15" t="n">
        <v>3</v>
      </c>
      <c r="D35" s="45" t="n">
        <v>9.325916106773198</v>
      </c>
      <c r="E35" s="45" t="n">
        <v>0</v>
      </c>
      <c r="F35" s="45" t="n">
        <v>0</v>
      </c>
      <c r="G35" s="45" t="n">
        <v>-1.296788395212003</v>
      </c>
      <c r="H35" s="45" t="n">
        <v>0</v>
      </c>
      <c r="I35" s="45" t="n">
        <v>9.960484921350567</v>
      </c>
      <c r="J35" s="45" t="n">
        <v>6.221065834344835</v>
      </c>
      <c r="K35" s="45" t="n">
        <v>0</v>
      </c>
      <c r="L35" s="45" t="n">
        <v>0</v>
      </c>
      <c r="M35" s="45" t="n">
        <v>0</v>
      </c>
      <c r="N35" s="45" t="n">
        <v>5.626190476190476</v>
      </c>
      <c r="O35" s="45" t="n">
        <v>-103.171719171917</v>
      </c>
      <c r="P35" s="45" t="n">
        <v>0</v>
      </c>
      <c r="Q35" s="45" t="n">
        <v>0</v>
      </c>
      <c r="R35" s="45" t="n">
        <v>-4.998174885612606</v>
      </c>
    </row>
    <row r="37">
      <c r="C37" s="63" t="inlineStr">
        <is>
          <t>GERADOR DE DADOS</t>
        </is>
      </c>
    </row>
    <row r="38">
      <c r="D38" s="15" t="n">
        <v>1</v>
      </c>
      <c r="E38" s="15" t="n">
        <v>2</v>
      </c>
      <c r="F38" s="15" t="n">
        <v>3</v>
      </c>
      <c r="G38" s="15" t="n">
        <v>4</v>
      </c>
      <c r="H38" s="15" t="n">
        <v>5</v>
      </c>
      <c r="I38" s="15" t="n">
        <v>6</v>
      </c>
      <c r="J38" s="15" t="n">
        <v>7</v>
      </c>
      <c r="K38" s="15" t="n">
        <v>8</v>
      </c>
      <c r="L38" s="15" t="n">
        <v>9</v>
      </c>
      <c r="M38" s="15" t="n">
        <v>10</v>
      </c>
      <c r="N38" s="15" t="n">
        <v>11</v>
      </c>
      <c r="O38" s="15" t="n">
        <v>12</v>
      </c>
      <c r="P38" s="15" t="n">
        <v>13</v>
      </c>
      <c r="Q38" s="15" t="n">
        <v>14</v>
      </c>
      <c r="R38" s="15" t="n">
        <v>15</v>
      </c>
    </row>
    <row r="39">
      <c r="C39" s="15" t="n">
        <v>1</v>
      </c>
      <c r="D39" s="42">
        <f>IF(D8&gt;Demand!AU5,0,ROUNDUP($B$43^0.5,0))</f>
        <v/>
      </c>
      <c r="E39" s="42">
        <f>IF(E8&gt;Demand!AV5,0,ROUNDUP($B$43^0.5,0))</f>
        <v/>
      </c>
      <c r="F39" s="42">
        <f>IF(F8&gt;Demand!AW5,0,ROUNDUP($B$43^0.5,0))</f>
        <v/>
      </c>
      <c r="G39" s="43">
        <f>IF(G8&gt;Demand!AX5,0,ROUNDUP($B$43^0.5,0))</f>
        <v/>
      </c>
      <c r="H39" s="42">
        <f>IF(H8&gt;Demand!AY5,0,ROUNDUP($B$43^0.5,0))</f>
        <v/>
      </c>
      <c r="I39" s="42">
        <f>IF(I8&gt;Demand!AZ5,0,ROUNDUP($B$43^0.5,0))</f>
        <v/>
      </c>
      <c r="J39" s="42">
        <f>IF(J8&gt;Demand!BA5,0,ROUNDUP($B$43^0.5,0))</f>
        <v/>
      </c>
      <c r="K39" s="42">
        <f>IF(K8&gt;Demand!BB5,0,ROUNDUP($B$43^0.5,0))</f>
        <v/>
      </c>
      <c r="L39" s="42">
        <f>IF(L8&gt;Demand!BC5,0,ROUNDUP($B$43^0.5,0))</f>
        <v/>
      </c>
      <c r="M39" s="42">
        <f>IF(M8&gt;Demand!BD5,0,ROUNDUP($B$43^0.5,0))</f>
        <v/>
      </c>
      <c r="N39" s="42">
        <f>IF(N8&gt;Demand!BE5,0,ROUNDUP($B$43^0.5,0))</f>
        <v/>
      </c>
      <c r="O39" s="42">
        <f>IF(O8&gt;Demand!BF5,0,ROUNDUP($B$43^0.5,0))</f>
        <v/>
      </c>
      <c r="P39" s="42">
        <f>IF(P8&gt;Demand!BG5,0,ROUNDUP($B$43^0.5,0))</f>
        <v/>
      </c>
      <c r="Q39" s="42">
        <f>IF(Q8&gt;Demand!BH5,0,ROUNDUP($B$43^0.5,0))</f>
        <v/>
      </c>
      <c r="R39" s="42">
        <f>IF(R8&gt;Demand!BI5,0,ROUNDUP($B$43^0.5,0))</f>
        <v/>
      </c>
    </row>
    <row r="40">
      <c r="C40" s="15" t="n">
        <v>2</v>
      </c>
      <c r="D40" s="42">
        <f>IF(D9&gt;Demand!AU6,0,ROUNDUP($B$43^0.5,0))</f>
        <v/>
      </c>
      <c r="E40" s="42">
        <f>IF(E9&gt;Demand!AV6,0,ROUNDUP($B$43^0.5,0))</f>
        <v/>
      </c>
      <c r="F40" s="42">
        <f>IF(F9&gt;Demand!AW6,0,ROUNDUP($B$43^0.5,0))</f>
        <v/>
      </c>
      <c r="G40" s="42">
        <f>IF(G9&gt;Demand!AX6,0,ROUNDUP($B$43^0.5,0))</f>
        <v/>
      </c>
      <c r="H40" s="42">
        <f>IF(H9&gt;Demand!AY6,0,ROUNDUP($B$43^0.5,0))</f>
        <v/>
      </c>
      <c r="I40" s="42">
        <f>IF(I9&gt;Demand!AZ6,0,ROUNDUP($B$43^0.5,0))</f>
        <v/>
      </c>
      <c r="J40" s="42">
        <f>IF(J9&gt;Demand!BA6,0,ROUNDUP($B$43^0.5,0))</f>
        <v/>
      </c>
      <c r="K40" s="42">
        <f>IF(K9&gt;Demand!BB6,0,ROUNDUP($B$43^0.5,0))</f>
        <v/>
      </c>
      <c r="L40" s="42">
        <f>IF(L9&gt;Demand!BC6,0,ROUNDUP($B$43^0.5,0))</f>
        <v/>
      </c>
      <c r="M40" s="42">
        <f>IF(M9&gt;Demand!BD6,0,ROUNDUP($B$43^0.5,0))</f>
        <v/>
      </c>
      <c r="N40" s="42">
        <f>IF(N9&gt;Demand!BE6,0,ROUNDUP($B$43^0.5,0))</f>
        <v/>
      </c>
      <c r="O40" s="42">
        <f>IF(O9&gt;Demand!BF6,0,ROUNDUP($B$43^0.5,0))</f>
        <v/>
      </c>
      <c r="P40" s="42">
        <f>IF(P9&gt;Demand!BG6,0,ROUNDUP($B$43^0.5,0))</f>
        <v/>
      </c>
      <c r="Q40" s="42">
        <f>IF(Q9&gt;Demand!BH6,0,ROUNDUP($B$43^0.5,0))</f>
        <v/>
      </c>
      <c r="R40" s="42">
        <f>IF(R9&gt;Demand!BI6,0,ROUNDUP($B$43^0.5,0))</f>
        <v/>
      </c>
    </row>
    <row r="41">
      <c r="C41" s="15" t="n">
        <v>3</v>
      </c>
      <c r="D41" s="42">
        <f>IF(D10&gt;Demand!AU7,0,ROUNDUP($B$43^0.5,0))</f>
        <v/>
      </c>
      <c r="E41" s="42">
        <f>IF(E10&gt;Demand!AV7,0,ROUNDUP($B$43^0.5,0))</f>
        <v/>
      </c>
      <c r="F41" s="42">
        <f>IF(F10&gt;Demand!AW7,0,ROUNDUP($B$43^0.5,0))</f>
        <v/>
      </c>
      <c r="G41" s="42">
        <f>IF(G10&gt;Demand!AX7,0,ROUNDUP($B$43^0.5,0))</f>
        <v/>
      </c>
      <c r="H41" s="42">
        <f>IF(H10&gt;Demand!AY7,0,ROUNDUP($B$43^0.5,0))</f>
        <v/>
      </c>
      <c r="I41" s="42">
        <f>IF(I10&gt;Demand!AZ7,0,ROUNDUP($B$43^0.5,0))</f>
        <v/>
      </c>
      <c r="J41" s="42">
        <f>IF(J10&gt;Demand!BA7,0,ROUNDUP($B$43^0.5,0))</f>
        <v/>
      </c>
      <c r="K41" s="42">
        <f>IF(K10&gt;Demand!BB7,0,ROUNDUP($B$43^0.5,0))</f>
        <v/>
      </c>
      <c r="L41" s="42">
        <f>IF(L10&gt;Demand!BC7,0,ROUNDUP($B$43^0.5,0))</f>
        <v/>
      </c>
      <c r="M41" s="42">
        <f>IF(M10&gt;Demand!BD7,0,ROUNDUP($B$43^0.5,0))</f>
        <v/>
      </c>
      <c r="N41" s="42">
        <f>IF(N10&gt;Demand!BE7,0,ROUNDUP($B$43^0.5,0))</f>
        <v/>
      </c>
      <c r="O41" s="42">
        <f>IF(O10&gt;Demand!BF7,0,ROUNDUP($B$43^0.5,0))</f>
        <v/>
      </c>
      <c r="P41" s="42">
        <f>IF(P10&gt;Demand!BG7,0,ROUNDUP($B$43^0.5,0))</f>
        <v/>
      </c>
      <c r="Q41" s="42">
        <f>IF(Q10&gt;Demand!BH7,0,ROUNDUP($B$43^0.5,0))</f>
        <v/>
      </c>
      <c r="R41" s="42">
        <f>IF(R10&gt;Demand!BI7,0,ROUNDUP($B$43^0.5,0))</f>
        <v/>
      </c>
    </row>
    <row r="43">
      <c r="B43" s="18" t="n">
        <v>990000000</v>
      </c>
      <c r="C43" s="15" t="inlineStr">
        <is>
          <t>uwip</t>
        </is>
      </c>
      <c r="D43" s="15" t="n">
        <v>1</v>
      </c>
      <c r="E43" s="15" t="n">
        <v>2</v>
      </c>
      <c r="F43" s="15" t="n">
        <v>3</v>
      </c>
      <c r="G43" s="15" t="n">
        <v>4</v>
      </c>
      <c r="H43" s="15" t="n">
        <v>5</v>
      </c>
      <c r="I43" s="15" t="n">
        <v>6</v>
      </c>
      <c r="J43" s="15" t="n">
        <v>7</v>
      </c>
      <c r="K43" s="15" t="n">
        <v>8</v>
      </c>
      <c r="L43" s="15" t="n">
        <v>9</v>
      </c>
      <c r="M43" s="15" t="n">
        <v>10</v>
      </c>
      <c r="N43" s="15" t="n">
        <v>11</v>
      </c>
      <c r="O43" s="15" t="n">
        <v>12</v>
      </c>
      <c r="P43" s="15" t="n">
        <v>13</v>
      </c>
      <c r="Q43" s="15" t="n">
        <v>14</v>
      </c>
      <c r="R43" s="15" t="n">
        <v>15</v>
      </c>
    </row>
    <row r="44">
      <c r="C44" s="15" t="n">
        <v>1</v>
      </c>
      <c r="D44" s="42" t="n">
        <v>0</v>
      </c>
      <c r="E44" s="42" t="n">
        <v>0</v>
      </c>
      <c r="F44" s="42" t="n">
        <v>0</v>
      </c>
      <c r="G44" s="43" t="n">
        <v>0</v>
      </c>
      <c r="H44" s="42" t="n">
        <v>31465</v>
      </c>
      <c r="I44" s="42" t="n">
        <v>31465</v>
      </c>
      <c r="J44" s="42" t="n">
        <v>0</v>
      </c>
      <c r="K44" s="42" t="n">
        <v>31465</v>
      </c>
      <c r="L44" s="42" t="n">
        <v>31465</v>
      </c>
      <c r="M44" s="42" t="n">
        <v>0</v>
      </c>
      <c r="N44" s="42" t="n">
        <v>31465</v>
      </c>
      <c r="O44" s="42" t="n">
        <v>0</v>
      </c>
      <c r="P44" s="42" t="n">
        <v>31465</v>
      </c>
      <c r="Q44" s="42" t="n">
        <v>31465</v>
      </c>
      <c r="R44" s="42" t="n">
        <v>31465</v>
      </c>
    </row>
    <row r="45">
      <c r="C45" s="15" t="n">
        <v>2</v>
      </c>
      <c r="D45" s="42" t="n">
        <v>31465</v>
      </c>
      <c r="E45" s="42" t="n">
        <v>31465</v>
      </c>
      <c r="F45" s="42" t="n">
        <v>0</v>
      </c>
      <c r="G45" s="42" t="n">
        <v>0</v>
      </c>
      <c r="H45" s="42" t="n">
        <v>31465</v>
      </c>
      <c r="I45" s="42" t="n">
        <v>31465</v>
      </c>
      <c r="J45" s="42" t="n">
        <v>31465</v>
      </c>
      <c r="K45" s="42" t="n">
        <v>0</v>
      </c>
      <c r="L45" s="42" t="n">
        <v>0</v>
      </c>
      <c r="M45" s="42" t="n">
        <v>31465</v>
      </c>
      <c r="N45" s="42" t="n">
        <v>0</v>
      </c>
      <c r="O45" s="42" t="n">
        <v>31465</v>
      </c>
      <c r="P45" s="42" t="n">
        <v>31465</v>
      </c>
      <c r="Q45" s="42" t="n">
        <v>31465</v>
      </c>
      <c r="R45" s="42" t="n">
        <v>31465</v>
      </c>
    </row>
    <row r="46">
      <c r="C46" s="15" t="n">
        <v>3</v>
      </c>
      <c r="D46" s="42" t="n">
        <v>31465</v>
      </c>
      <c r="E46" s="42" t="n">
        <v>0</v>
      </c>
      <c r="F46" s="42" t="n">
        <v>0</v>
      </c>
      <c r="G46" s="42" t="n">
        <v>31465</v>
      </c>
      <c r="H46" s="42" t="n">
        <v>0</v>
      </c>
      <c r="I46" s="42" t="n">
        <v>31465</v>
      </c>
      <c r="J46" s="42" t="n">
        <v>31465</v>
      </c>
      <c r="K46" s="42" t="n">
        <v>0</v>
      </c>
      <c r="L46" s="42" t="n">
        <v>0</v>
      </c>
      <c r="M46" s="42" t="n">
        <v>0</v>
      </c>
      <c r="N46" s="42" t="n">
        <v>31465</v>
      </c>
      <c r="O46" s="42" t="n">
        <v>31465</v>
      </c>
      <c r="P46" s="42" t="n">
        <v>0</v>
      </c>
      <c r="Q46" s="42" t="n">
        <v>0</v>
      </c>
      <c r="R46" s="42" t="n">
        <v>31465</v>
      </c>
    </row>
    <row r="48">
      <c r="C48" s="63" t="inlineStr">
        <is>
          <t>GERADOR DE DADOS</t>
        </is>
      </c>
    </row>
    <row r="49">
      <c r="D49" s="15" t="n">
        <v>1</v>
      </c>
      <c r="E49" s="15" t="n">
        <v>2</v>
      </c>
      <c r="F49" s="15" t="n">
        <v>3</v>
      </c>
      <c r="G49" s="15" t="n">
        <v>4</v>
      </c>
      <c r="H49" s="15" t="n">
        <v>5</v>
      </c>
      <c r="I49" s="15" t="n">
        <v>6</v>
      </c>
      <c r="J49" s="15" t="n">
        <v>7</v>
      </c>
      <c r="K49" s="15" t="n">
        <v>8</v>
      </c>
      <c r="L49" s="15" t="n">
        <v>9</v>
      </c>
      <c r="M49" s="15" t="n">
        <v>10</v>
      </c>
      <c r="N49" s="15" t="n">
        <v>11</v>
      </c>
      <c r="O49" s="15" t="n">
        <v>12</v>
      </c>
      <c r="P49" s="15" t="n">
        <v>13</v>
      </c>
      <c r="Q49" s="15" t="n">
        <v>14</v>
      </c>
      <c r="R49" s="15" t="n">
        <v>15</v>
      </c>
    </row>
    <row r="50">
      <c r="C50" s="15" t="n">
        <v>1</v>
      </c>
      <c r="D50" s="39">
        <f>ROUNDDOWN(LOG((D44+1),2),0)</f>
        <v/>
      </c>
      <c r="E50" s="39">
        <f>ROUNDDOWN(LOG((E44+1),2),0)</f>
        <v/>
      </c>
      <c r="F50" s="39">
        <f>ROUNDDOWN(LOG((F44+1),2),0)</f>
        <v/>
      </c>
      <c r="G50" s="39">
        <f>ROUNDDOWN(LOG((G44+1),2),0)</f>
        <v/>
      </c>
      <c r="H50" s="39">
        <f>ROUNDDOWN(LOG((H44+1),2),0)</f>
        <v/>
      </c>
      <c r="I50" s="39">
        <f>ROUNDDOWN(LOG((I44+1),2),0)</f>
        <v/>
      </c>
      <c r="J50" s="39">
        <f>ROUNDDOWN(LOG((J44+1),2),0)</f>
        <v/>
      </c>
      <c r="K50" s="39">
        <f>ROUNDDOWN(LOG((K44+1),2),0)</f>
        <v/>
      </c>
      <c r="L50" s="39">
        <f>ROUNDDOWN(LOG((L44+1),2),0)</f>
        <v/>
      </c>
      <c r="M50" s="39">
        <f>ROUNDDOWN(LOG((M44+1),2),0)</f>
        <v/>
      </c>
      <c r="N50" s="39">
        <f>ROUNDDOWN(LOG((N44+1),2),0)</f>
        <v/>
      </c>
      <c r="O50" s="39">
        <f>ROUNDDOWN(LOG((O44+1),2),0)</f>
        <v/>
      </c>
      <c r="P50" s="39">
        <f>ROUNDDOWN(LOG((P44+1),2),0)</f>
        <v/>
      </c>
      <c r="Q50" s="39">
        <f>ROUNDDOWN(LOG((Q44+1),2),0)</f>
        <v/>
      </c>
      <c r="R50" s="39">
        <f>ROUNDDOWN(LOG((R44+1),2),0)</f>
        <v/>
      </c>
    </row>
    <row r="51">
      <c r="C51" s="15" t="n">
        <v>2</v>
      </c>
      <c r="D51" s="39">
        <f>ROUNDDOWN(LOG((D45+1),2),0)</f>
        <v/>
      </c>
      <c r="E51" s="39">
        <f>ROUNDDOWN(LOG((E45+1),2),0)</f>
        <v/>
      </c>
      <c r="F51" s="39">
        <f>ROUNDDOWN(LOG((F45+1),2),0)</f>
        <v/>
      </c>
      <c r="G51" s="39">
        <f>ROUNDDOWN(LOG((G45+1),2),0)</f>
        <v/>
      </c>
      <c r="H51" s="39">
        <f>ROUNDDOWN(LOG((H45+1),2),0)</f>
        <v/>
      </c>
      <c r="I51" s="39">
        <f>ROUNDDOWN(LOG((I45+1),2),0)</f>
        <v/>
      </c>
      <c r="J51" s="39">
        <f>ROUNDDOWN(LOG((J45+1),2),0)</f>
        <v/>
      </c>
      <c r="K51" s="39">
        <f>ROUNDDOWN(LOG((K45+1),2),0)</f>
        <v/>
      </c>
      <c r="L51" s="39">
        <f>ROUNDDOWN(LOG((L45+1),2),0)</f>
        <v/>
      </c>
      <c r="M51" s="39">
        <f>ROUNDDOWN(LOG((M45+1),2),0)</f>
        <v/>
      </c>
      <c r="N51" s="39">
        <f>ROUNDDOWN(LOG((N45+1),2),0)</f>
        <v/>
      </c>
      <c r="O51" s="39">
        <f>ROUNDDOWN(LOG((O45+1),2),0)</f>
        <v/>
      </c>
      <c r="P51" s="39">
        <f>ROUNDDOWN(LOG((P45+1),2),0)</f>
        <v/>
      </c>
      <c r="Q51" s="39">
        <f>ROUNDDOWN(LOG((Q45+1),2),0)</f>
        <v/>
      </c>
      <c r="R51" s="39">
        <f>ROUNDDOWN(LOG((R45+1),2),0)</f>
        <v/>
      </c>
    </row>
    <row r="52">
      <c r="C52" s="15" t="n">
        <v>3</v>
      </c>
      <c r="D52" s="39">
        <f>ROUNDDOWN(LOG((D46+1),2),0)</f>
        <v/>
      </c>
      <c r="E52" s="39">
        <f>ROUNDDOWN(LOG((E46+1),2),0)</f>
        <v/>
      </c>
      <c r="F52" s="39">
        <f>ROUNDDOWN(LOG((F46+1),2),0)</f>
        <v/>
      </c>
      <c r="G52" s="39">
        <f>ROUNDDOWN(LOG((G46+1),2),0)</f>
        <v/>
      </c>
      <c r="H52" s="39">
        <f>ROUNDDOWN(LOG((H46+1),2),0)</f>
        <v/>
      </c>
      <c r="I52" s="39">
        <f>ROUNDDOWN(LOG((I46+1),2),0)</f>
        <v/>
      </c>
      <c r="J52" s="39">
        <f>ROUNDDOWN(LOG((J46+1),2),0)</f>
        <v/>
      </c>
      <c r="K52" s="39">
        <f>ROUNDDOWN(LOG((K46+1),2),0)</f>
        <v/>
      </c>
      <c r="L52" s="39">
        <f>ROUNDDOWN(LOG((L46+1),2),0)</f>
        <v/>
      </c>
      <c r="M52" s="39">
        <f>ROUNDDOWN(LOG((M46+1),2),0)</f>
        <v/>
      </c>
      <c r="N52" s="39">
        <f>ROUNDDOWN(LOG((N46+1),2),0)</f>
        <v/>
      </c>
      <c r="O52" s="39">
        <f>ROUNDDOWN(LOG((O46+1),2),0)</f>
        <v/>
      </c>
      <c r="P52" s="39">
        <f>ROUNDDOWN(LOG((P46+1),2),0)</f>
        <v/>
      </c>
      <c r="Q52" s="39">
        <f>ROUNDDOWN(LOG((Q46+1),2),0)</f>
        <v/>
      </c>
      <c r="R52" s="39">
        <f>ROUNDDOWN(LOG((R46+1),2),0)</f>
        <v/>
      </c>
    </row>
    <row r="54">
      <c r="C54" s="15" t="inlineStr">
        <is>
          <t>numwip</t>
        </is>
      </c>
      <c r="D54" s="15" t="n">
        <v>1</v>
      </c>
      <c r="E54" s="15" t="n">
        <v>2</v>
      </c>
      <c r="F54" s="15" t="n">
        <v>3</v>
      </c>
      <c r="G54" s="15" t="n">
        <v>4</v>
      </c>
      <c r="H54" s="15" t="n">
        <v>5</v>
      </c>
      <c r="I54" s="15" t="n">
        <v>6</v>
      </c>
      <c r="J54" s="15" t="n">
        <v>7</v>
      </c>
      <c r="K54" s="15" t="n">
        <v>8</v>
      </c>
      <c r="L54" s="15" t="n">
        <v>9</v>
      </c>
      <c r="M54" s="15" t="n">
        <v>10</v>
      </c>
      <c r="N54" s="15" t="n">
        <v>11</v>
      </c>
      <c r="O54" s="15" t="n">
        <v>12</v>
      </c>
      <c r="P54" s="15" t="n">
        <v>13</v>
      </c>
      <c r="Q54" s="15" t="n">
        <v>14</v>
      </c>
      <c r="R54" s="15" t="n">
        <v>15</v>
      </c>
    </row>
    <row r="55">
      <c r="C55" s="15" t="n">
        <v>1</v>
      </c>
      <c r="D55" s="42" t="n">
        <v>0</v>
      </c>
      <c r="E55" s="42" t="n">
        <v>0</v>
      </c>
      <c r="F55" s="42" t="n">
        <v>0</v>
      </c>
      <c r="G55" s="43" t="n">
        <v>0</v>
      </c>
      <c r="H55" s="42" t="n">
        <v>14</v>
      </c>
      <c r="I55" s="42" t="n">
        <v>14</v>
      </c>
      <c r="J55" s="42" t="n">
        <v>0</v>
      </c>
      <c r="K55" s="42" t="n">
        <v>14</v>
      </c>
      <c r="L55" s="42" t="n">
        <v>14</v>
      </c>
      <c r="M55" s="42" t="n">
        <v>0</v>
      </c>
      <c r="N55" s="42" t="n">
        <v>14</v>
      </c>
      <c r="O55" s="42" t="n">
        <v>0</v>
      </c>
      <c r="P55" s="42" t="n">
        <v>14</v>
      </c>
      <c r="Q55" s="42" t="n">
        <v>14</v>
      </c>
      <c r="R55" s="42" t="n">
        <v>14</v>
      </c>
    </row>
    <row r="56">
      <c r="C56" s="15" t="n">
        <v>2</v>
      </c>
      <c r="D56" s="42" t="n">
        <v>14</v>
      </c>
      <c r="E56" s="42" t="n">
        <v>14</v>
      </c>
      <c r="F56" s="42" t="n">
        <v>0</v>
      </c>
      <c r="G56" s="42" t="n">
        <v>0</v>
      </c>
      <c r="H56" s="42" t="n">
        <v>14</v>
      </c>
      <c r="I56" s="42" t="n">
        <v>14</v>
      </c>
      <c r="J56" s="42" t="n">
        <v>14</v>
      </c>
      <c r="K56" s="42" t="n">
        <v>0</v>
      </c>
      <c r="L56" s="42" t="n">
        <v>0</v>
      </c>
      <c r="M56" s="42" t="n">
        <v>14</v>
      </c>
      <c r="N56" s="42" t="n">
        <v>0</v>
      </c>
      <c r="O56" s="42" t="n">
        <v>14</v>
      </c>
      <c r="P56" s="42" t="n">
        <v>14</v>
      </c>
      <c r="Q56" s="42" t="n">
        <v>14</v>
      </c>
      <c r="R56" s="42" t="n">
        <v>14</v>
      </c>
    </row>
    <row r="57">
      <c r="C57" s="15" t="n">
        <v>3</v>
      </c>
      <c r="D57" s="42" t="n">
        <v>14</v>
      </c>
      <c r="E57" s="42" t="n">
        <v>0</v>
      </c>
      <c r="F57" s="42" t="n">
        <v>0</v>
      </c>
      <c r="G57" s="42" t="n">
        <v>14</v>
      </c>
      <c r="H57" s="42" t="n">
        <v>0</v>
      </c>
      <c r="I57" s="42" t="n">
        <v>14</v>
      </c>
      <c r="J57" s="42" t="n">
        <v>14</v>
      </c>
      <c r="K57" s="42" t="n">
        <v>0</v>
      </c>
      <c r="L57" s="42" t="n">
        <v>0</v>
      </c>
      <c r="M57" s="42" t="n">
        <v>0</v>
      </c>
      <c r="N57" s="42" t="n">
        <v>14</v>
      </c>
      <c r="O57" s="42" t="n">
        <v>14</v>
      </c>
      <c r="P57" s="42" t="n">
        <v>0</v>
      </c>
      <c r="Q57" s="42" t="n">
        <v>0</v>
      </c>
      <c r="R57" s="42" t="n">
        <v>14</v>
      </c>
    </row>
    <row r="59">
      <c r="D59" s="39">
        <f>MAX(SuppliersNumberBinaryVarY)</f>
        <v/>
      </c>
      <c r="E59" s="39" t="n"/>
      <c r="F59" s="39">
        <f>MIN(SuppliersNumberBinaryVarY)</f>
        <v/>
      </c>
    </row>
    <row r="60">
      <c r="D60" s="39" t="n"/>
      <c r="E60" s="39" t="n"/>
      <c r="F60" s="39" t="n"/>
    </row>
    <row r="61">
      <c r="C61" s="15" t="inlineStr">
        <is>
          <t>Maxnumwip</t>
        </is>
      </c>
      <c r="D61" s="42" t="n">
        <v>14</v>
      </c>
      <c r="E61" s="39" t="n"/>
      <c r="F61" s="39" t="n"/>
    </row>
    <row r="62">
      <c r="C62" s="15" t="inlineStr">
        <is>
          <t>Minnumwip</t>
        </is>
      </c>
      <c r="D62" s="42" t="n">
        <v>0</v>
      </c>
      <c r="E62" s="39" t="n"/>
      <c r="F62" s="39" t="n"/>
    </row>
  </sheetData>
  <pageMargins left="0.511811024" right="0.511811024" top="0.787401575" bottom="0.787401575" header="0.31496062" footer="0.31496062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2"/>
  <sheetViews>
    <sheetView zoomScale="90" zoomScaleNormal="90" workbookViewId="0">
      <selection activeCell="D33" sqref="D33"/>
    </sheetView>
  </sheetViews>
  <sheetFormatPr baseColWidth="8" defaultColWidth="8.88671875" defaultRowHeight="14.4"/>
  <cols>
    <col width="18.88671875" bestFit="1" customWidth="1" style="64" min="1" max="1"/>
    <col width="14.44140625" bestFit="1" customWidth="1" style="64" min="2" max="2"/>
    <col width="26.6640625" bestFit="1" customWidth="1" style="64" min="3" max="3"/>
    <col width="13.5546875" bestFit="1" customWidth="1" style="64" min="4" max="4"/>
    <col width="8.88671875" customWidth="1" style="64" min="5" max="16384"/>
  </cols>
  <sheetData>
    <row r="1">
      <c r="C1" s="63" t="inlineStr">
        <is>
          <t>Variância da capacidade</t>
        </is>
      </c>
      <c r="D1" s="15" t="n"/>
      <c r="E1" s="15" t="n"/>
      <c r="F1" s="15" t="n"/>
    </row>
    <row r="2">
      <c r="C2" s="15" t="inlineStr">
        <is>
          <t>Capf</t>
        </is>
      </c>
      <c r="D2" s="15" t="n">
        <v>16</v>
      </c>
      <c r="E2" s="15" t="n">
        <v>17</v>
      </c>
      <c r="F2" s="15" t="n">
        <v>18</v>
      </c>
    </row>
    <row r="3">
      <c r="C3" s="15" t="n">
        <v>4</v>
      </c>
      <c r="D3" s="15">
        <f>TRUNC(((D8*0.2)^2)/30,2)</f>
        <v/>
      </c>
      <c r="E3" s="15">
        <f>TRUNC(((E8*0.2)^2)/30,2)</f>
        <v/>
      </c>
      <c r="F3" s="15">
        <f>TRUNC(((F8*0.2)^2)/30,2)</f>
        <v/>
      </c>
    </row>
    <row r="4">
      <c r="C4" s="15" t="n">
        <v>5</v>
      </c>
      <c r="D4" s="15">
        <f>TRUNC(((D9*0.2)^2)/30,2)</f>
        <v/>
      </c>
      <c r="E4" s="15">
        <f>TRUNC(((E9*0.2)^2)/30,2)</f>
        <v/>
      </c>
      <c r="F4" s="15">
        <f>TRUNC(((F9*0.2)^2)/30,2)</f>
        <v/>
      </c>
    </row>
    <row r="5">
      <c r="C5" s="15" t="n">
        <v>6</v>
      </c>
      <c r="D5" s="15">
        <f>TRUNC(((D10*0.2)^2)/30,2)</f>
        <v/>
      </c>
      <c r="E5" s="15">
        <f>TRUNC(((E10*0.2)^2)/30,2)</f>
        <v/>
      </c>
      <c r="F5" s="15">
        <f>TRUNC(((F10*0.2)^2)/30,2)</f>
        <v/>
      </c>
    </row>
    <row r="7">
      <c r="A7" s="64" t="inlineStr">
        <is>
          <t>GERADOR DE DADOS</t>
        </is>
      </c>
      <c r="C7" s="64" t="inlineStr">
        <is>
          <t>Capf</t>
        </is>
      </c>
      <c r="D7" s="15" t="n">
        <v>16</v>
      </c>
      <c r="E7" s="15" t="n">
        <v>17</v>
      </c>
      <c r="F7" s="15" t="n">
        <v>18</v>
      </c>
    </row>
    <row r="8">
      <c r="A8" s="2">
        <f>Demand!E11</f>
        <v/>
      </c>
      <c r="B8" s="64">
        <f>TRUNC((_xlfn.NORM.INV((RAND()),$A$8,$A$9)),2)</f>
        <v/>
      </c>
      <c r="C8" s="15" t="n">
        <v>4</v>
      </c>
      <c r="D8" s="5" t="n">
        <v>1390.95</v>
      </c>
      <c r="E8" s="5" t="n">
        <v>1437.58</v>
      </c>
      <c r="F8" s="5" t="n">
        <v>1688.77</v>
      </c>
    </row>
    <row r="9">
      <c r="A9" s="2">
        <f>A8*0.2</f>
        <v/>
      </c>
      <c r="B9" s="64">
        <f>TRUNC((_xlfn.NORM.INV((RAND()),$A$8,$A$9)),2)</f>
        <v/>
      </c>
      <c r="C9" s="15" t="n">
        <v>5</v>
      </c>
      <c r="D9" s="5" t="n">
        <v>1503.1</v>
      </c>
      <c r="E9" s="5" t="n">
        <v>1294.01</v>
      </c>
      <c r="F9" s="5" t="n">
        <v>2188.83</v>
      </c>
    </row>
    <row r="10">
      <c r="B10" s="64">
        <f>TRUNC((_xlfn.NORM.INV((RAND()),$A$8,$A$9)),2)</f>
        <v/>
      </c>
      <c r="C10" s="15" t="n">
        <v>6</v>
      </c>
      <c r="D10" s="5" t="n">
        <v>1709.45</v>
      </c>
      <c r="E10" s="5" t="n">
        <v>1169.55</v>
      </c>
      <c r="F10" s="5" t="n">
        <v>2274.49</v>
      </c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>
        <v>16</v>
      </c>
      <c r="E12" s="15" t="n">
        <v>17</v>
      </c>
      <c r="F12" s="15" t="n">
        <v>18</v>
      </c>
    </row>
    <row r="13">
      <c r="A13" s="15" t="n"/>
      <c r="B13" s="15" t="n"/>
      <c r="C13" s="15" t="n">
        <v>4</v>
      </c>
      <c r="D13" s="41">
        <f>IF(Demand!AU11=D8,0,(Beginning_stock!AT15/(Demand!AU11-D8)))</f>
        <v/>
      </c>
      <c r="E13" s="41">
        <f>IF(Demand!AV11=E8,0,(Beginning_stock!AU15/(Demand!AV11-E8)))</f>
        <v/>
      </c>
      <c r="F13" s="41">
        <f>IF(Demand!AW11=F8,0,(Beginning_stock!AV15/(Demand!AW11-F8)))</f>
        <v/>
      </c>
    </row>
    <row r="14">
      <c r="A14" s="15" t="n"/>
      <c r="B14" s="15" t="n"/>
      <c r="C14" s="15" t="n">
        <v>5</v>
      </c>
      <c r="D14" s="41">
        <f>IF(Demand!AU12=D9,0,(Beginning_stock!AT16/(Demand!AU12-D9)))</f>
        <v/>
      </c>
      <c r="E14" s="41">
        <f>IF(Demand!AV12=E9,0,(Beginning_stock!AU16/(Demand!AV12-E9)))</f>
        <v/>
      </c>
      <c r="F14" s="41">
        <f>IF(Demand!AW12=F9,0,(Beginning_stock!AV16/(Demand!AW12-F9)))</f>
        <v/>
      </c>
    </row>
    <row r="15">
      <c r="A15" s="15" t="n"/>
      <c r="B15" s="15" t="n"/>
      <c r="C15" s="15" t="n">
        <v>6</v>
      </c>
      <c r="D15" s="41">
        <f>IF(Demand!AU13=D10,0,(Beginning_stock!AT17/(Demand!AU13-D10)))</f>
        <v/>
      </c>
      <c r="E15" s="41">
        <f>IF(Demand!AV13=E10,0,(Beginning_stock!AU17/(Demand!AV13-E10)))</f>
        <v/>
      </c>
      <c r="F15" s="41">
        <f>IF(Demand!AW13=F10,0,(Beginning_stock!AV17/(Demand!AW13-F10)))</f>
        <v/>
      </c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inlineStr">
        <is>
          <t>Stockout time</t>
        </is>
      </c>
      <c r="D17" s="15" t="n"/>
      <c r="E17" s="15" t="n"/>
      <c r="F17" s="15" t="n"/>
    </row>
    <row r="18">
      <c r="A18" s="15" t="n"/>
      <c r="B18" s="15" t="n"/>
      <c r="C18" s="15" t="n"/>
      <c r="D18" s="15" t="n">
        <v>16</v>
      </c>
      <c r="E18" s="15" t="n">
        <v>17</v>
      </c>
      <c r="F18" s="15" t="n">
        <v>18</v>
      </c>
    </row>
    <row r="19">
      <c r="A19" s="15" t="n"/>
      <c r="B19" s="15" t="n"/>
      <c r="C19" s="15" t="n">
        <v>4</v>
      </c>
      <c r="D19" s="15">
        <f>IF(D13&gt;0,Factories!I22-D13,0)</f>
        <v/>
      </c>
      <c r="E19" s="15">
        <f>IF(E13&gt;0,Factories!J22-E13,0)</f>
        <v/>
      </c>
      <c r="F19" s="15">
        <f>IF(F13&gt;0,Factories!K22-F13,0)</f>
        <v/>
      </c>
    </row>
    <row r="20">
      <c r="A20" s="15" t="n"/>
      <c r="B20" s="15" t="n"/>
      <c r="C20" s="15" t="n">
        <v>5</v>
      </c>
      <c r="D20" s="15">
        <f>IF(D14&gt;0,Factories!I23-D14,0)</f>
        <v/>
      </c>
      <c r="E20" s="15">
        <f>IF(E14&gt;0,Factories!J23-E14,0)</f>
        <v/>
      </c>
      <c r="F20" s="15">
        <f>IF(F14&gt;0,Factories!K23-F14,0)</f>
        <v/>
      </c>
    </row>
    <row r="21">
      <c r="A21" s="15" t="n"/>
      <c r="B21" s="15" t="n"/>
      <c r="C21" s="15" t="n">
        <v>6</v>
      </c>
      <c r="D21" s="15">
        <f>IF(D15&gt;0,Factories!I24-D15,0)</f>
        <v/>
      </c>
      <c r="E21" s="15">
        <f>IF(E15&gt;0,Factories!J24-E15,0)</f>
        <v/>
      </c>
      <c r="F21" s="15">
        <f>IF(F15&gt;0,Factories!K24-F15,0)</f>
        <v/>
      </c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63" t="inlineStr">
        <is>
          <t>Maximum stockout time per p</t>
        </is>
      </c>
      <c r="D23" s="15" t="n"/>
      <c r="E23" s="15" t="n"/>
      <c r="F23" s="15" t="n"/>
    </row>
    <row r="24">
      <c r="A24" s="15" t="n"/>
      <c r="B24" s="15" t="n"/>
      <c r="C24" s="15" t="n"/>
      <c r="D24" s="15" t="n">
        <v>16</v>
      </c>
      <c r="E24" s="15" t="n">
        <v>17</v>
      </c>
      <c r="F24" s="15" t="n">
        <v>18</v>
      </c>
    </row>
    <row r="25">
      <c r="A25" s="15" t="n"/>
      <c r="B25" s="15" t="n"/>
      <c r="C25" s="15" t="n"/>
      <c r="D25" s="15">
        <f>MAX(D19:D21)</f>
        <v/>
      </c>
      <c r="E25" s="15">
        <f>MAX(E19:E21)</f>
        <v/>
      </c>
      <c r="F25" s="15">
        <f>MAX(F19:F21)</f>
        <v/>
      </c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inlineStr">
        <is>
          <t>S0</t>
        </is>
      </c>
      <c r="D27" s="15" t="n">
        <v>16</v>
      </c>
      <c r="E27" s="15" t="n">
        <v>17</v>
      </c>
      <c r="F27" s="15" t="n">
        <v>18</v>
      </c>
    </row>
    <row r="28">
      <c r="A28" s="15" t="n"/>
      <c r="B28" s="15" t="n"/>
      <c r="C28" s="15" t="n">
        <v>4</v>
      </c>
      <c r="D28" s="70">
        <f>IF(D19&lt;&gt;0,D19,0)</f>
        <v/>
      </c>
      <c r="E28" s="70">
        <f>IF(E19&lt;&gt;0,E19,0)</f>
        <v/>
      </c>
      <c r="F28" s="70">
        <f>IF(F19&lt;&gt;0,F19,0)</f>
        <v/>
      </c>
    </row>
    <row r="29">
      <c r="A29" s="15" t="n"/>
      <c r="B29" s="15" t="n"/>
      <c r="C29" s="15" t="n">
        <v>5</v>
      </c>
      <c r="D29" s="70">
        <f>IF(D20&lt;&gt;0,D20,0)</f>
        <v/>
      </c>
      <c r="E29" s="70">
        <f>IF(E20&lt;&gt;0,E20,0)</f>
        <v/>
      </c>
      <c r="F29" s="70">
        <f>IF(F20&lt;&gt;0,F20,0)</f>
        <v/>
      </c>
    </row>
    <row r="30">
      <c r="A30" s="15" t="n"/>
      <c r="B30" s="15" t="n"/>
      <c r="C30" s="15" t="n">
        <v>6</v>
      </c>
      <c r="D30" s="70">
        <f>IF(D21&lt;&gt;0,D21,0)</f>
        <v/>
      </c>
      <c r="E30" s="70">
        <f>IF(E21&lt;&gt;0,E21,0)</f>
        <v/>
      </c>
      <c r="F30" s="70">
        <f>IF(F21&lt;&gt;0,F21,0)</f>
        <v/>
      </c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inlineStr">
        <is>
          <t>S0</t>
        </is>
      </c>
      <c r="D32" s="15" t="n">
        <v>16</v>
      </c>
      <c r="E32" s="15" t="n">
        <v>17</v>
      </c>
      <c r="F32" s="15" t="n">
        <v>18</v>
      </c>
    </row>
    <row r="33">
      <c r="A33" s="15" t="n"/>
      <c r="B33" s="15" t="n"/>
      <c r="C33" s="15" t="n">
        <v>4</v>
      </c>
      <c r="D33" s="45" t="n">
        <v>4.22981207187531</v>
      </c>
      <c r="E33" s="45" t="n">
        <v>4.09572546831875</v>
      </c>
      <c r="F33" s="45" t="n">
        <v>1.952608411480534</v>
      </c>
    </row>
    <row r="34">
      <c r="A34" s="15" t="n"/>
      <c r="B34" s="15" t="n"/>
      <c r="C34" s="15" t="n">
        <v>5</v>
      </c>
      <c r="D34" s="45" t="n">
        <v>0</v>
      </c>
      <c r="E34" s="45" t="n">
        <v>5.457538372642749</v>
      </c>
      <c r="F34" s="45" t="n">
        <v>0</v>
      </c>
    </row>
    <row r="35">
      <c r="A35" s="15" t="n"/>
      <c r="B35" s="15" t="n"/>
      <c r="C35" s="15" t="n">
        <v>6</v>
      </c>
      <c r="D35" s="45" t="n">
        <v>0</v>
      </c>
      <c r="E35" s="45" t="n">
        <v>4.641323495057121</v>
      </c>
      <c r="F35" s="45" t="n">
        <v>0</v>
      </c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63" t="inlineStr">
        <is>
          <t>GERADOR DE DADOS</t>
        </is>
      </c>
      <c r="D37" s="15" t="n"/>
      <c r="E37" s="15" t="n"/>
      <c r="F37" s="15" t="n"/>
    </row>
    <row r="38">
      <c r="A38" s="15" t="n"/>
      <c r="B38" s="15" t="n"/>
      <c r="C38" s="15" t="n"/>
      <c r="D38" s="15" t="n">
        <v>16</v>
      </c>
      <c r="E38" s="15" t="n">
        <v>17</v>
      </c>
      <c r="F38" s="15" t="n">
        <v>18</v>
      </c>
    </row>
    <row r="39">
      <c r="A39" s="15" t="n"/>
      <c r="B39" s="15" t="n"/>
      <c r="C39" s="15" t="n">
        <v>4</v>
      </c>
      <c r="D39" s="42">
        <f>IF(D8&gt;Demand!AU11,0,ROUNDUP($B$43^0.5,0))</f>
        <v/>
      </c>
      <c r="E39" s="42">
        <f>IF(E8&gt;Demand!AV11,0,ROUNDUP($B$43^0.5,0))</f>
        <v/>
      </c>
      <c r="F39" s="42">
        <f>IF(F8&gt;Demand!AW11,0,ROUNDUP($B$43^0.5,0))</f>
        <v/>
      </c>
    </row>
    <row r="40">
      <c r="A40" s="15" t="n"/>
      <c r="B40" s="15" t="n"/>
      <c r="C40" s="15" t="n">
        <v>5</v>
      </c>
      <c r="D40" s="42">
        <f>IF(D9&gt;Demand!AU12,0,ROUNDUP($B$43^0.5,0))</f>
        <v/>
      </c>
      <c r="E40" s="42">
        <f>IF(E9&gt;Demand!AV12,0,ROUNDUP($B$43^0.5,0))</f>
        <v/>
      </c>
      <c r="F40" s="42">
        <f>IF(F9&gt;Demand!AW12,0,ROUNDUP($B$43^0.5,0))</f>
        <v/>
      </c>
    </row>
    <row r="41">
      <c r="A41" s="15" t="n"/>
      <c r="B41" s="15" t="n"/>
      <c r="C41" s="15" t="n">
        <v>6</v>
      </c>
      <c r="D41" s="42">
        <f>IF(D10&gt;Demand!AU13,0,ROUNDUP($B$43^0.5,0))</f>
        <v/>
      </c>
      <c r="E41" s="42">
        <f>IF(E10&gt;Demand!AV13,0,ROUNDUP($B$43^0.5,0))</f>
        <v/>
      </c>
      <c r="F41" s="42">
        <f>IF(F10&gt;Demand!AW13,0,ROUNDUP($B$43^0.5,0))</f>
        <v/>
      </c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8" t="n">
        <v>990000000</v>
      </c>
      <c r="C43" s="15" t="inlineStr">
        <is>
          <t>ufip</t>
        </is>
      </c>
      <c r="D43" s="15" t="n">
        <v>16</v>
      </c>
      <c r="E43" s="15" t="n">
        <v>17</v>
      </c>
      <c r="F43" s="15" t="n">
        <v>18</v>
      </c>
    </row>
    <row r="44">
      <c r="A44" s="15" t="n"/>
      <c r="B44" s="15" t="n"/>
      <c r="C44" s="15" t="n">
        <v>4</v>
      </c>
      <c r="D44" s="42" t="n">
        <v>31465</v>
      </c>
      <c r="E44" s="42" t="n">
        <v>31465</v>
      </c>
      <c r="F44" s="42" t="n">
        <v>31465</v>
      </c>
    </row>
    <row r="45">
      <c r="A45" s="15" t="n"/>
      <c r="B45" s="15" t="n"/>
      <c r="C45" s="15" t="n">
        <v>5</v>
      </c>
      <c r="D45" s="42" t="n">
        <v>0</v>
      </c>
      <c r="E45" s="42" t="n">
        <v>31465</v>
      </c>
      <c r="F45" s="42" t="n">
        <v>0</v>
      </c>
    </row>
    <row r="46">
      <c r="A46" s="15" t="n"/>
      <c r="B46" s="15" t="n"/>
      <c r="C46" s="15" t="n">
        <v>6</v>
      </c>
      <c r="D46" s="42" t="n">
        <v>0</v>
      </c>
      <c r="E46" s="42" t="n">
        <v>31465</v>
      </c>
      <c r="F46" s="42" t="n">
        <v>0</v>
      </c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63" t="inlineStr">
        <is>
          <t>GERADOR DE DADOS</t>
        </is>
      </c>
      <c r="D48" s="15" t="n"/>
      <c r="E48" s="15" t="n"/>
      <c r="F48" s="15" t="n"/>
    </row>
    <row r="49">
      <c r="A49" s="15" t="n"/>
      <c r="B49" s="15" t="n"/>
      <c r="C49" s="15" t="n"/>
      <c r="D49" s="15" t="n">
        <v>16</v>
      </c>
      <c r="E49" s="15" t="n">
        <v>17</v>
      </c>
      <c r="F49" s="15" t="n">
        <v>18</v>
      </c>
    </row>
    <row r="50">
      <c r="A50" s="15" t="n"/>
      <c r="B50" s="15" t="n"/>
      <c r="C50" s="15" t="n">
        <v>4</v>
      </c>
      <c r="D50" s="39">
        <f>ROUNDDOWN(LOG((D44+1),2),0)</f>
        <v/>
      </c>
      <c r="E50" s="39">
        <f>ROUNDDOWN(LOG((E44+1),2),0)</f>
        <v/>
      </c>
      <c r="F50" s="39">
        <f>ROUNDDOWN(LOG((F44+1),2),0)</f>
        <v/>
      </c>
    </row>
    <row r="51">
      <c r="A51" s="15" t="n"/>
      <c r="B51" s="15" t="n"/>
      <c r="C51" s="15" t="n">
        <v>5</v>
      </c>
      <c r="D51" s="39">
        <f>ROUNDDOWN(LOG((D45+1),2),0)</f>
        <v/>
      </c>
      <c r="E51" s="39">
        <f>ROUNDDOWN(LOG((E45+1),2),0)</f>
        <v/>
      </c>
      <c r="F51" s="39">
        <f>ROUNDDOWN(LOG((F45+1),2),0)</f>
        <v/>
      </c>
    </row>
    <row r="52">
      <c r="A52" s="15" t="n"/>
      <c r="B52" s="15" t="n"/>
      <c r="C52" s="15" t="n">
        <v>6</v>
      </c>
      <c r="D52" s="39">
        <f>ROUNDDOWN(LOG((D46+1),2),0)</f>
        <v/>
      </c>
      <c r="E52" s="39">
        <f>ROUNDDOWN(LOG((E46+1),2),0)</f>
        <v/>
      </c>
      <c r="F52" s="39">
        <f>ROUNDDOWN(LOG((F46+1),2),0)</f>
        <v/>
      </c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inlineStr">
        <is>
          <t>numfip</t>
        </is>
      </c>
      <c r="D54" s="15" t="n">
        <v>16</v>
      </c>
      <c r="E54" s="15" t="n">
        <v>17</v>
      </c>
      <c r="F54" s="15" t="n">
        <v>18</v>
      </c>
    </row>
    <row r="55">
      <c r="A55" s="15" t="n"/>
      <c r="B55" s="15" t="n"/>
      <c r="C55" s="15" t="n">
        <v>4</v>
      </c>
      <c r="D55" s="42" t="n">
        <v>14</v>
      </c>
      <c r="E55" s="42" t="n">
        <v>14</v>
      </c>
      <c r="F55" s="42" t="n">
        <v>14</v>
      </c>
    </row>
    <row r="56">
      <c r="A56" s="15" t="n"/>
      <c r="B56" s="15" t="n"/>
      <c r="C56" s="15" t="n">
        <v>5</v>
      </c>
      <c r="D56" s="42" t="n">
        <v>0</v>
      </c>
      <c r="E56" s="42" t="n">
        <v>14</v>
      </c>
      <c r="F56" s="42" t="n">
        <v>0</v>
      </c>
    </row>
    <row r="57">
      <c r="A57" s="15" t="n"/>
      <c r="B57" s="15" t="n"/>
      <c r="C57" s="15" t="n">
        <v>6</v>
      </c>
      <c r="D57" s="42" t="n">
        <v>0</v>
      </c>
      <c r="E57" s="42" t="n">
        <v>14</v>
      </c>
      <c r="F57" s="42" t="n">
        <v>0</v>
      </c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39">
        <f>MAX(FactoriesNumberBinaryVarY)</f>
        <v/>
      </c>
      <c r="E59" s="39" t="n"/>
      <c r="F59" s="39">
        <f>MIN(FactoriesNumberBinaryVarY)</f>
        <v/>
      </c>
    </row>
    <row r="60">
      <c r="A60" s="15" t="n"/>
      <c r="B60" s="15" t="n"/>
      <c r="C60" s="15" t="n"/>
      <c r="D60" s="39" t="n"/>
      <c r="E60" s="39" t="n"/>
      <c r="F60" s="39" t="n"/>
    </row>
    <row r="61">
      <c r="A61" s="15" t="n"/>
      <c r="B61" s="15" t="n"/>
      <c r="C61" s="15" t="inlineStr">
        <is>
          <t>Maxnumfip</t>
        </is>
      </c>
      <c r="D61" s="42" t="n">
        <v>14</v>
      </c>
      <c r="E61" s="39" t="n"/>
      <c r="F61" s="39" t="n"/>
    </row>
    <row r="62">
      <c r="A62" s="15" t="n"/>
      <c r="B62" s="15" t="n"/>
      <c r="C62" s="15" t="inlineStr">
        <is>
          <t>Minnumfip</t>
        </is>
      </c>
      <c r="D62" s="42" t="n">
        <v>0</v>
      </c>
      <c r="E62" s="39" t="n"/>
      <c r="F62" s="39" t="n"/>
    </row>
  </sheetData>
  <pageMargins left="0.511811024" right="0.511811024" top="0.787401575" bottom="0.787401575" header="0.31496062" footer="0.31496062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AG50"/>
  <sheetViews>
    <sheetView zoomScale="90" zoomScaleNormal="90" workbookViewId="0">
      <selection activeCell="P22" sqref="P22"/>
    </sheetView>
  </sheetViews>
  <sheetFormatPr baseColWidth="8" defaultColWidth="8.88671875" defaultRowHeight="14.4"/>
  <cols>
    <col width="11.5546875" customWidth="1" style="64" min="1" max="2"/>
    <col width="11.5546875" bestFit="1" customWidth="1" style="64" min="3" max="3"/>
    <col width="8.88671875" customWidth="1" style="64" min="4" max="6"/>
    <col width="10.33203125" bestFit="1" customWidth="1" style="64" min="7" max="7"/>
    <col width="8.88671875" customWidth="1" style="64" min="8" max="16384"/>
  </cols>
  <sheetData>
    <row r="2">
      <c r="K2" s="64" t="inlineStr">
        <is>
          <t>lambdad</t>
        </is>
      </c>
      <c r="L2" s="64" t="n">
        <v>19</v>
      </c>
      <c r="M2" s="64" t="n">
        <v>20</v>
      </c>
      <c r="N2" s="64" t="n">
        <v>21</v>
      </c>
    </row>
    <row r="3">
      <c r="K3" s="64" t="n">
        <v>9</v>
      </c>
      <c r="L3" s="64" t="n">
        <v>19.26</v>
      </c>
      <c r="M3" s="64" t="n">
        <v>16.289</v>
      </c>
      <c r="N3" s="64" t="n">
        <v>18.674</v>
      </c>
    </row>
    <row r="4">
      <c r="K4" s="64" t="n">
        <v>10</v>
      </c>
      <c r="L4" s="64" t="n">
        <v>15.308</v>
      </c>
      <c r="M4" s="64" t="n">
        <v>14.624</v>
      </c>
      <c r="N4" s="64" t="n">
        <v>19.745</v>
      </c>
    </row>
    <row r="6">
      <c r="C6" s="64" t="inlineStr">
        <is>
          <t>lambdad</t>
        </is>
      </c>
      <c r="D6" s="64" t="n">
        <v>19</v>
      </c>
      <c r="E6" s="64" t="n">
        <v>20</v>
      </c>
      <c r="F6" s="64" t="n">
        <v>21</v>
      </c>
      <c r="K6" s="64" t="inlineStr">
        <is>
          <t>Ei (p)</t>
        </is>
      </c>
      <c r="L6" s="64" t="n">
        <v>19</v>
      </c>
      <c r="M6" s="64" t="n">
        <v>20</v>
      </c>
      <c r="N6" s="64" t="n">
        <v>21</v>
      </c>
      <c r="S6" s="64" t="n">
        <v>1</v>
      </c>
      <c r="T6" s="64" t="n">
        <v>2</v>
      </c>
      <c r="U6" s="64" t="n">
        <v>3</v>
      </c>
      <c r="V6" s="64" t="n">
        <v>4</v>
      </c>
      <c r="W6" s="64" t="n">
        <v>5</v>
      </c>
      <c r="X6" s="64" t="n">
        <v>6</v>
      </c>
      <c r="Y6" s="64" t="n">
        <v>7</v>
      </c>
      <c r="Z6" s="64" t="n">
        <v>8</v>
      </c>
      <c r="AA6" s="64" t="n">
        <v>9</v>
      </c>
      <c r="AB6" s="64" t="n">
        <v>10</v>
      </c>
      <c r="AC6" s="64" t="n">
        <v>11</v>
      </c>
      <c r="AD6" s="64" t="n">
        <v>12</v>
      </c>
      <c r="AE6" s="64" t="n">
        <v>13</v>
      </c>
      <c r="AF6" s="64" t="n">
        <v>14</v>
      </c>
      <c r="AG6" s="64" t="n">
        <v>15</v>
      </c>
    </row>
    <row r="7">
      <c r="C7" s="64" t="n">
        <v>9</v>
      </c>
      <c r="D7" s="64" t="n">
        <v>19.26</v>
      </c>
      <c r="E7" s="64" t="n">
        <v>16.289</v>
      </c>
      <c r="F7" s="64" t="n">
        <v>18.674</v>
      </c>
      <c r="K7" s="64" t="n">
        <v>9</v>
      </c>
      <c r="L7" s="64">
        <f>Beginning_stock!AT25</f>
        <v/>
      </c>
      <c r="M7" s="64">
        <f>Beginning_stock!AU25</f>
        <v/>
      </c>
      <c r="N7" s="64">
        <f>Beginning_stock!AV25</f>
        <v/>
      </c>
      <c r="Q7" s="64" t="inlineStr">
        <is>
          <t>Lambdaw</t>
        </is>
      </c>
      <c r="R7" s="64" t="n">
        <v>1</v>
      </c>
      <c r="S7" s="64" t="n">
        <v>18.505</v>
      </c>
      <c r="T7" s="64" t="n">
        <v>15.462</v>
      </c>
      <c r="U7" s="64" t="n">
        <v>11.972</v>
      </c>
      <c r="V7" s="64" t="n">
        <v>13.559</v>
      </c>
      <c r="W7" s="64" t="n">
        <v>15.373</v>
      </c>
      <c r="X7" s="64" t="n">
        <v>17.73</v>
      </c>
      <c r="Y7" s="64" t="n">
        <v>15.342</v>
      </c>
      <c r="Z7" s="64" t="n">
        <v>19.782</v>
      </c>
      <c r="AA7" s="64" t="n">
        <v>12.66</v>
      </c>
      <c r="AB7" s="64" t="n">
        <v>13.452</v>
      </c>
      <c r="AC7" s="64" t="n">
        <v>14.32</v>
      </c>
      <c r="AD7" s="64" t="n">
        <v>18.487</v>
      </c>
      <c r="AE7" s="64" t="n">
        <v>15.858</v>
      </c>
      <c r="AF7" s="64" t="n">
        <v>15.037</v>
      </c>
      <c r="AG7" s="64" t="n">
        <v>12.314</v>
      </c>
    </row>
    <row r="8">
      <c r="C8" s="64" t="n">
        <v>10</v>
      </c>
      <c r="D8" s="64" t="n">
        <v>15.308</v>
      </c>
      <c r="E8" s="64" t="n">
        <v>14.624</v>
      </c>
      <c r="F8" s="64" t="n">
        <v>19.745</v>
      </c>
      <c r="K8" s="64" t="n">
        <v>10</v>
      </c>
      <c r="L8" s="64">
        <f>Beginning_stock!AT26</f>
        <v/>
      </c>
      <c r="M8" s="64">
        <f>Beginning_stock!AU26</f>
        <v/>
      </c>
      <c r="N8" s="64">
        <f>Beginning_stock!AV26</f>
        <v/>
      </c>
      <c r="R8" s="64" t="n">
        <v>2</v>
      </c>
      <c r="S8" s="64" t="n">
        <v>16.684</v>
      </c>
      <c r="T8" s="64" t="n">
        <v>15.732</v>
      </c>
      <c r="U8" s="64" t="n">
        <v>16.241</v>
      </c>
      <c r="V8" s="64" t="n">
        <v>15.693</v>
      </c>
      <c r="W8" s="64" t="n">
        <v>11.913</v>
      </c>
      <c r="X8" s="64" t="n">
        <v>13.523</v>
      </c>
      <c r="Y8" s="64" t="n">
        <v>13.636</v>
      </c>
      <c r="Z8" s="64" t="n">
        <v>16.606</v>
      </c>
      <c r="AA8" s="64" t="n">
        <v>17.887</v>
      </c>
      <c r="AB8" s="64" t="n">
        <v>10.093</v>
      </c>
      <c r="AC8" s="64" t="n">
        <v>12.59</v>
      </c>
      <c r="AD8" s="64" t="n">
        <v>16.779</v>
      </c>
      <c r="AE8" s="64" t="n">
        <v>18.918</v>
      </c>
      <c r="AF8" s="64" t="n">
        <v>21.384</v>
      </c>
      <c r="AG8" s="64" t="n">
        <v>12.893</v>
      </c>
    </row>
    <row r="9">
      <c r="R9" s="64" t="n">
        <v>3</v>
      </c>
      <c r="S9" s="64" t="n">
        <v>14.153</v>
      </c>
      <c r="T9" s="64" t="n">
        <v>9.699</v>
      </c>
      <c r="U9" s="64" t="n">
        <v>19.802</v>
      </c>
      <c r="V9" s="64" t="n">
        <v>21.443</v>
      </c>
      <c r="W9" s="64" t="n">
        <v>18.022</v>
      </c>
      <c r="X9" s="64" t="n">
        <v>17.336</v>
      </c>
      <c r="Y9" s="64" t="n">
        <v>16.02</v>
      </c>
      <c r="Z9" s="64" t="n">
        <v>20.89</v>
      </c>
      <c r="AA9" s="64" t="n">
        <v>19.51</v>
      </c>
      <c r="AB9" s="64" t="n">
        <v>17.487</v>
      </c>
      <c r="AC9" s="64" t="n">
        <v>13.032</v>
      </c>
      <c r="AD9" s="64" t="n">
        <v>14.763</v>
      </c>
      <c r="AE9" s="64" t="n">
        <v>17.64</v>
      </c>
      <c r="AF9" s="64" t="n">
        <v>11.211</v>
      </c>
      <c r="AG9" s="64" t="n">
        <v>11.457</v>
      </c>
    </row>
    <row r="10">
      <c r="D10" s="64">
        <f>MIN(D7:F8)</f>
        <v/>
      </c>
      <c r="E10" s="64">
        <f>MAX(D7:F8)</f>
        <v/>
      </c>
      <c r="K10" s="7" t="inlineStr">
        <is>
          <t>Ei Exhaustion time (days)</t>
        </is>
      </c>
    </row>
    <row r="11">
      <c r="L11" s="64" t="n">
        <v>19</v>
      </c>
      <c r="M11" s="64" t="n">
        <v>20</v>
      </c>
      <c r="N11" s="64" t="n">
        <v>21</v>
      </c>
    </row>
    <row r="12">
      <c r="A12" s="64" t="inlineStr">
        <is>
          <t>GERADOR DE DADOS</t>
        </is>
      </c>
      <c r="C12" s="64" t="inlineStr">
        <is>
          <t>Cap</t>
        </is>
      </c>
      <c r="D12" s="64" t="n">
        <v>19</v>
      </c>
      <c r="E12" s="64" t="n">
        <v>20</v>
      </c>
      <c r="F12" s="64" t="n">
        <v>21</v>
      </c>
      <c r="K12" s="64" t="n">
        <v>9</v>
      </c>
      <c r="L12" s="64">
        <f>IF(Demand!AU19=Distributors_Cap!D13,"dist=0",(L7/(Demand!AU19-Distributors_Cap!D13)))</f>
        <v/>
      </c>
      <c r="M12" s="64">
        <f>IF(Demand!AV19=Distributors_Cap!E13,"dist=0",(M7/(Demand!AV19-Distributors_Cap!E13)))</f>
        <v/>
      </c>
      <c r="N12" s="64">
        <f>IF(Demand!AW19=Distributors_Cap!F13,"dist=0",(N7/(Demand!AW19-Distributors_Cap!F13)))</f>
        <v/>
      </c>
      <c r="R12" s="64" t="inlineStr">
        <is>
          <t>máximo</t>
        </is>
      </c>
      <c r="S12" s="64">
        <f>MAX(S7:AG9)</f>
        <v/>
      </c>
    </row>
    <row r="13">
      <c r="A13" s="2">
        <f>2500*1.05</f>
        <v/>
      </c>
      <c r="B13" s="64">
        <f>TRUNC((_xlfn.NORM.INV((RAND()),$A$13,$A$14)),0)</f>
        <v/>
      </c>
      <c r="C13" s="64" t="n">
        <v>9</v>
      </c>
      <c r="D13" s="5" t="n">
        <v>2029</v>
      </c>
      <c r="E13" s="5" t="n">
        <v>2799</v>
      </c>
      <c r="F13" s="5" t="n">
        <v>3273</v>
      </c>
      <c r="K13" s="64" t="n">
        <v>10</v>
      </c>
      <c r="L13" s="64">
        <f>IF(Demand!AU20=Distributors_Cap!D14,"dist=0",(L8/(Demand!AU20-Distributors_Cap!D14)))</f>
        <v/>
      </c>
      <c r="M13" s="64">
        <f>IF(Demand!AV20=Distributors_Cap!E14,"dist=0",(M8/(Demand!AV20-Distributors_Cap!E14)))</f>
        <v/>
      </c>
      <c r="N13" s="64">
        <f>IF(Demand!AW20=Distributors_Cap!F14,"dist=0",(N8/(Demand!AW20-Distributors_Cap!F14)))</f>
        <v/>
      </c>
    </row>
    <row r="14">
      <c r="A14" s="2">
        <f>A13*0.2</f>
        <v/>
      </c>
      <c r="B14" s="64">
        <f>TRUNC((_xlfn.NORM.INV((RAND()),$A$13,$A$14)),0)</f>
        <v/>
      </c>
      <c r="C14" s="64" t="n">
        <v>10</v>
      </c>
      <c r="D14" s="5" t="n">
        <v>1163</v>
      </c>
      <c r="E14" s="5" t="n">
        <v>3232</v>
      </c>
      <c r="F14" s="5" t="n">
        <v>2404</v>
      </c>
      <c r="S14" s="64" t="n">
        <v>16</v>
      </c>
      <c r="T14" s="64" t="n">
        <v>17</v>
      </c>
      <c r="U14" s="64" t="n">
        <v>18</v>
      </c>
    </row>
    <row r="15">
      <c r="K15" s="64" t="inlineStr">
        <is>
          <t>Delta</t>
        </is>
      </c>
      <c r="Q15" s="64" t="inlineStr">
        <is>
          <t>lambdaf</t>
        </is>
      </c>
      <c r="R15" s="64" t="n">
        <v>4</v>
      </c>
      <c r="S15" s="64" t="n">
        <v>4.903</v>
      </c>
      <c r="T15" s="64" t="n">
        <v>6.218</v>
      </c>
      <c r="U15" s="64" t="n">
        <v>4.744</v>
      </c>
    </row>
    <row r="16">
      <c r="D16" s="64">
        <f>MIN(D13:F14)</f>
        <v/>
      </c>
      <c r="E16" s="64">
        <f>MAX(D13:F14)</f>
        <v/>
      </c>
      <c r="L16" s="64" t="n">
        <v>19</v>
      </c>
      <c r="M16" s="64" t="n">
        <v>20</v>
      </c>
      <c r="N16" s="64" t="n">
        <v>21</v>
      </c>
      <c r="R16" s="64" t="n">
        <v>5</v>
      </c>
      <c r="S16" s="64" t="n">
        <v>4.871</v>
      </c>
      <c r="T16" s="64" t="n">
        <v>4.236</v>
      </c>
      <c r="U16" s="64" t="n">
        <v>6.462</v>
      </c>
    </row>
    <row r="17">
      <c r="A17" s="64" t="inlineStr">
        <is>
          <t>GERADOR DE DADOS</t>
        </is>
      </c>
      <c r="D17" s="7" t="inlineStr">
        <is>
          <t>GERADOR DE DADOS</t>
        </is>
      </c>
      <c r="E17" s="7" t="n"/>
      <c r="K17" s="64" t="n">
        <v>9</v>
      </c>
      <c r="L17" s="64">
        <f>IF(Demand!AU19&lt;=Distributors_Cap!D13,"dist=0",(IF(L12&lt;=D7+Factories_Cap!#REF!,1,0)))</f>
        <v/>
      </c>
      <c r="M17" s="64">
        <f>IF(Demand!AV19&lt;=Distributors_Cap!E13,"dist=0",(IF(M12&lt;=E7+Factories_Cap!#REF!,1,0)))</f>
        <v/>
      </c>
      <c r="N17" s="64">
        <f>IF(Demand!AW19&lt;=Distributors_Cap!F13,"dist=0",(IF(N12&lt;=F7+Factories_Cap!#REF!,1,0)))</f>
        <v/>
      </c>
      <c r="R17" s="64" t="n">
        <v>6</v>
      </c>
      <c r="S17" s="64" t="n">
        <v>5.257</v>
      </c>
      <c r="T17" s="64" t="n">
        <v>5.942</v>
      </c>
      <c r="U17" s="64" t="n">
        <v>2.985</v>
      </c>
    </row>
    <row r="18">
      <c r="B18" s="64">
        <f>IF(D13&gt;Demand!AU19,0,(IF(((2*(Distributors!P16+Factories_Cap!#REF!)-Distributors_Cap!L12)*(Demand!AU19-Distributors_Cap!D13))&lt;0,0,((IF(L12&gt;2*(Distributors!P16+Factories_Cap!#REF!),0,(IF(L17=0,ROUNDUP((2*(Distributors!P16+Factories_Cap!#REF!)-L12)^0.5,0),ROUNDUP((2*(Distributors!P16+Factories_Cap!#REF!)-L12)^0.5,0)))))))))</f>
        <v/>
      </c>
      <c r="D18" s="2">
        <f>IF(D13&gt;Demand!AU19,0,(IF(((2*(Distributors!P16+Factories_Cap!#REF!)-Distributors_Cap!L12)*(Demand!AU19-Distributors_Cap!D13))&lt;0,0,((IF(L12&gt;2*(Distributors!P16+Factories_Cap!#REF!),0,(IF(L17=0,ROUNDUP((2*(Distributors!P16+Factories_Cap!#REF!)-L12)^0.5,0),ROUNDUP((2*(Distributors!P16+Factories_Cap!#REF!)-L12)^0.5,0)))))))))</f>
        <v/>
      </c>
      <c r="E18" s="2">
        <f>IF(E13&gt;Demand!AV19,0,(IF(((2*(Distributors!Q16+Factories_Cap!#REF!)-Distributors_Cap!M12)*(Demand!AV19-Distributors_Cap!E13))&lt;0,0,((IF(M12&gt;2*(Distributors!Q16+Factories_Cap!#REF!),0,(IF(M17=0,ROUNDUP((2*(Distributors!Q16+Factories_Cap!#REF!)-M12)^0.5,0),ROUNDUP((2*(Distributors!Q16+Factories_Cap!#REF!)-M12)^0.5,0)))))))))</f>
        <v/>
      </c>
      <c r="F18" s="2">
        <f>IF(F13&gt;Demand!AW19,0,(IF(((2*(Distributors!R16+Factories_Cap!#REF!)-Distributors_Cap!N12)*(Demand!AW19-Distributors_Cap!F13))&lt;0,0,((IF(N12&gt;2*(Distributors!R16+Factories_Cap!#REF!),0,(IF(N17=0,ROUNDUP((2*(Distributors!R16+Factories_Cap!#REF!)-N12)^0.5,0),ROUNDUP((2*(Distributors!R16+Factories_Cap!#REF!)-N12)^0.5,0)))))))))</f>
        <v/>
      </c>
      <c r="G18" s="2" t="n"/>
      <c r="H18" s="2" t="n"/>
      <c r="I18" s="2" t="n"/>
      <c r="J18" s="2" t="n"/>
      <c r="K18" s="64" t="n">
        <v>10</v>
      </c>
      <c r="L18" s="64">
        <f>IF(Demand!AU20&lt;=Distributors_Cap!D14,"dist=0",(IF(L13&lt;=D8+Factories_Cap!#REF!,1,0)))</f>
        <v/>
      </c>
      <c r="M18" s="64">
        <f>IF(Demand!AV20&lt;=Distributors_Cap!E14,"dist=0",(IF(M13&lt;=E8+Factories_Cap!#REF!,1,0)))</f>
        <v/>
      </c>
      <c r="N18" s="64">
        <f>IF(Demand!AW20&lt;=Distributors_Cap!F14,"dist=0",(IF(N13&lt;=F8+Factories_Cap!#REF!,1,0)))</f>
        <v/>
      </c>
      <c r="R18" s="64" t="n">
        <v>7</v>
      </c>
      <c r="S18" s="64" t="n">
        <v>4.985</v>
      </c>
      <c r="T18" s="64" t="n">
        <v>5.071</v>
      </c>
      <c r="U18" s="64" t="n">
        <v>4.562</v>
      </c>
    </row>
    <row r="19">
      <c r="D19" s="2">
        <f>IF(D14&gt;Demand!AU20,0,(IF(((2*(Distributors!P17+Factories_Cap!#REF!)-Distributors_Cap!L13)*(Demand!AU20-Distributors_Cap!D14))&lt;0,0,((IF(L13&gt;2*(Distributors!P17+Factories_Cap!#REF!),0,(IF(L18=0,ROUNDUP((2*(Distributors!P17+Factories_Cap!#REF!)-L13)^0.5,0),ROUNDUP((2*(Distributors!P17+Factories_Cap!#REF!)-L13)^0.5,0)))))))))</f>
        <v/>
      </c>
      <c r="E19" s="2">
        <f>IF(E14&gt;Demand!AV20,0,(IF(((2*(Distributors!Q17+Factories_Cap!#REF!)-Distributors_Cap!M13)*(Demand!AV20-Distributors_Cap!E14))&lt;0,0,((IF(M13&gt;2*(Distributors!Q17+Factories_Cap!#REF!),0,(IF(M18=0,ROUNDUP((2*(Distributors!Q17+Factories_Cap!#REF!)-M13)^0.5,0),ROUNDUP((2*(Distributors!Q17+Factories_Cap!#REF!)-M13)^0.5,0)))))))))</f>
        <v/>
      </c>
      <c r="F19" s="2">
        <f>IF(F14&gt;Demand!AW20,0,(IF(((2*(Distributors!R17+Factories_Cap!#REF!)-Distributors_Cap!N13)*(Demand!AW20-Distributors_Cap!F14))&lt;0,0,((IF(N13&gt;2*(Distributors!R17+Factories_Cap!#REF!),0,(IF(N18=0,ROUNDUP((2*(Distributors!R17+Factories_Cap!#REF!)-N13)^0.5,0),ROUNDUP((2*(Distributors!R17+Factories_Cap!#REF!)-N13)^0.5,0)))))))))</f>
        <v/>
      </c>
      <c r="G19" s="2" t="n"/>
      <c r="H19" s="2" t="n"/>
      <c r="I19" s="2" t="n"/>
      <c r="J19" s="2" t="n"/>
      <c r="R19" s="64" t="n">
        <v>8</v>
      </c>
      <c r="S19" s="64" t="n">
        <v>4.468</v>
      </c>
      <c r="T19" s="64" t="n">
        <v>5.629</v>
      </c>
      <c r="U19" s="64" t="n">
        <v>4.901</v>
      </c>
    </row>
    <row r="20">
      <c r="K20" s="7" t="inlineStr">
        <is>
          <t>MaxSOf+Ld-Sd</t>
        </is>
      </c>
    </row>
    <row r="21">
      <c r="C21" s="64" t="inlineStr">
        <is>
          <t>udip</t>
        </is>
      </c>
      <c r="D21" s="64" t="n">
        <v>19</v>
      </c>
      <c r="E21" s="64" t="n">
        <v>20</v>
      </c>
      <c r="F21" s="64" t="n">
        <v>21</v>
      </c>
      <c r="L21" s="64" t="n">
        <v>19</v>
      </c>
      <c r="M21" s="64" t="n">
        <v>20</v>
      </c>
      <c r="N21" s="64" t="n">
        <v>21</v>
      </c>
      <c r="R21" s="64" t="inlineStr">
        <is>
          <t>máximo</t>
        </is>
      </c>
      <c r="S21" s="64">
        <f>MAX(S15:U19)</f>
        <v/>
      </c>
    </row>
    <row r="22">
      <c r="C22" s="64" t="n">
        <v>9</v>
      </c>
      <c r="D22" s="10" t="n">
        <v>8</v>
      </c>
      <c r="E22" s="10" t="n">
        <v>0</v>
      </c>
      <c r="F22" s="10" t="n">
        <v>0</v>
      </c>
      <c r="G22" s="2" t="n"/>
      <c r="H22" s="2" t="n"/>
      <c r="I22" s="2" t="n"/>
      <c r="J22" s="2" t="n"/>
      <c r="K22" s="64" t="n">
        <v>9</v>
      </c>
      <c r="L22" s="64">
        <f>Distributors!P25</f>
        <v/>
      </c>
      <c r="M22" s="64">
        <f>Distributors!Q25</f>
        <v/>
      </c>
      <c r="N22" s="64">
        <f>Distributors!R25</f>
        <v/>
      </c>
    </row>
    <row r="23">
      <c r="C23" s="64" t="n">
        <v>10</v>
      </c>
      <c r="D23" s="10" t="n">
        <v>8</v>
      </c>
      <c r="E23" s="10" t="n">
        <v>0</v>
      </c>
      <c r="F23" s="10" t="n">
        <v>6</v>
      </c>
      <c r="G23" s="2" t="n"/>
      <c r="H23" s="2" t="n"/>
      <c r="I23" s="2" t="n"/>
      <c r="J23" s="2" t="n"/>
      <c r="K23" s="64" t="n">
        <v>10</v>
      </c>
      <c r="L23" s="64">
        <f>Distributors!P26</f>
        <v/>
      </c>
      <c r="M23" s="64">
        <f>Distributors!Q26</f>
        <v/>
      </c>
      <c r="N23" s="64">
        <f>Distributors!R26</f>
        <v/>
      </c>
    </row>
    <row r="24">
      <c r="D24" s="7" t="inlineStr">
        <is>
          <t>GERADOR DE DADOS</t>
        </is>
      </c>
    </row>
    <row r="25">
      <c r="D25" s="2">
        <f>ROUNDDOWN(LOG((D22+1),2),0)</f>
        <v/>
      </c>
      <c r="E25" s="2">
        <f>ROUNDDOWN(LOG((E22+1),2),0)</f>
        <v/>
      </c>
      <c r="F25" s="2">
        <f>ROUNDDOWN(LOG((F22+1),2),0)</f>
        <v/>
      </c>
      <c r="G25" s="2" t="n"/>
      <c r="H25" s="2" t="n"/>
      <c r="I25" s="2" t="n"/>
      <c r="J25" s="2" t="n"/>
      <c r="K25" s="64" t="inlineStr">
        <is>
          <t>Auxd</t>
        </is>
      </c>
    </row>
    <row r="26">
      <c r="D26" s="2">
        <f>ROUNDDOWN(LOG((D23+1),2),0)</f>
        <v/>
      </c>
      <c r="E26" s="2">
        <f>ROUNDDOWN(LOG((E23+1),2),0)</f>
        <v/>
      </c>
      <c r="F26" s="2">
        <f>ROUNDDOWN(LOG((F23+1),2),0)</f>
        <v/>
      </c>
      <c r="G26" s="2" t="n"/>
      <c r="H26" s="2" t="n"/>
      <c r="I26" s="2" t="n"/>
      <c r="J26" s="2" t="n"/>
      <c r="L26" s="64" t="n">
        <v>19</v>
      </c>
      <c r="M26" s="64" t="n">
        <v>20</v>
      </c>
      <c r="N26" s="64" t="n">
        <v>21</v>
      </c>
    </row>
    <row r="27">
      <c r="K27" s="64" t="n">
        <v>9</v>
      </c>
      <c r="L27" s="64">
        <f>#REF!</f>
        <v/>
      </c>
      <c r="M27" s="64">
        <f>#REF!</f>
        <v/>
      </c>
      <c r="N27" s="64">
        <f>#REF!</f>
        <v/>
      </c>
    </row>
    <row r="28">
      <c r="C28" s="64" t="inlineStr">
        <is>
          <t>numdip</t>
        </is>
      </c>
      <c r="D28" s="64" t="n">
        <v>19</v>
      </c>
      <c r="E28" s="64" t="n">
        <v>20</v>
      </c>
      <c r="F28" s="64" t="n">
        <v>21</v>
      </c>
      <c r="K28" s="64" t="n">
        <v>10</v>
      </c>
      <c r="L28" s="64">
        <f>#REF!</f>
        <v/>
      </c>
      <c r="M28" s="64">
        <f>#REF!</f>
        <v/>
      </c>
      <c r="N28" s="64">
        <f>#REF!</f>
        <v/>
      </c>
    </row>
    <row r="29">
      <c r="C29" s="64" t="n">
        <v>9</v>
      </c>
      <c r="D29" s="9" t="n">
        <v>3</v>
      </c>
      <c r="E29" s="9" t="n">
        <v>0</v>
      </c>
      <c r="F29" s="9" t="n">
        <v>0</v>
      </c>
      <c r="G29" s="2" t="n"/>
      <c r="H29" s="2" t="n"/>
      <c r="I29" s="2" t="n"/>
      <c r="J29" s="2" t="n"/>
    </row>
    <row r="30">
      <c r="C30" s="64" t="n">
        <v>10</v>
      </c>
      <c r="D30" s="9" t="n">
        <v>3</v>
      </c>
      <c r="E30" s="9" t="n">
        <v>0</v>
      </c>
      <c r="F30" s="9" t="n">
        <v>2</v>
      </c>
      <c r="G30" s="2" t="n"/>
      <c r="H30" s="2" t="n"/>
      <c r="I30" s="2" t="n"/>
      <c r="J30" s="2" t="n"/>
      <c r="K30" s="64" t="inlineStr">
        <is>
          <t>Kd</t>
        </is>
      </c>
    </row>
    <row r="31">
      <c r="L31" s="64" t="n">
        <v>19</v>
      </c>
      <c r="M31" s="64" t="n">
        <v>20</v>
      </c>
      <c r="N31" s="64" t="n">
        <v>21</v>
      </c>
    </row>
    <row r="32">
      <c r="K32" s="64" t="n">
        <v>9</v>
      </c>
      <c r="L32" s="64">
        <f>Distributors!P21</f>
        <v/>
      </c>
      <c r="M32" s="64">
        <f>Distributors!Q21</f>
        <v/>
      </c>
      <c r="N32" s="64">
        <f>Distributors!R21</f>
        <v/>
      </c>
    </row>
    <row r="33">
      <c r="D33" s="2">
        <f>MAX(DistributorsNumberBinaryVarY)</f>
        <v/>
      </c>
      <c r="E33" s="2" t="n"/>
      <c r="F33" s="2">
        <f>MIN(DistributorsNumberBinaryVarY)</f>
        <v/>
      </c>
      <c r="G33" s="2" t="n"/>
      <c r="H33" s="2" t="n"/>
      <c r="I33" s="2" t="n"/>
      <c r="J33" s="2" t="n"/>
      <c r="K33" s="64" t="n">
        <v>10</v>
      </c>
      <c r="L33" s="64">
        <f>Distributors!P22</f>
        <v/>
      </c>
      <c r="M33" s="64">
        <f>Distributors!Q22</f>
        <v/>
      </c>
      <c r="N33" s="64">
        <f>Distributors!R22</f>
        <v/>
      </c>
    </row>
    <row r="34">
      <c r="D34" s="2" t="n"/>
      <c r="E34" s="2" t="n"/>
      <c r="F34" s="2" t="n"/>
      <c r="G34" s="2" t="n"/>
      <c r="H34" s="2" t="n"/>
      <c r="I34" s="2" t="n"/>
      <c r="J34" s="2" t="n"/>
    </row>
    <row r="35">
      <c r="C35" s="64" t="inlineStr">
        <is>
          <t>Maxnumdip</t>
        </is>
      </c>
      <c r="D35" s="9" t="n">
        <v>3</v>
      </c>
      <c r="E35" s="2" t="n"/>
      <c r="F35" s="2" t="n"/>
      <c r="G35" s="2" t="n"/>
      <c r="H35" s="2" t="n"/>
      <c r="I35" s="2" t="n"/>
      <c r="J35" s="2" t="n"/>
      <c r="K35" s="64" t="inlineStr">
        <is>
          <t>Dist</t>
        </is>
      </c>
    </row>
    <row r="36">
      <c r="C36" s="64" t="inlineStr">
        <is>
          <t>Minnumdip</t>
        </is>
      </c>
      <c r="D36" s="9" t="n">
        <v>0</v>
      </c>
      <c r="E36" s="2" t="n"/>
      <c r="F36" s="2" t="n"/>
      <c r="G36" s="2" t="n"/>
      <c r="H36" s="2" t="n"/>
      <c r="I36" s="2" t="n"/>
      <c r="J36" s="2" t="n"/>
      <c r="L36" s="64" t="n">
        <v>19</v>
      </c>
      <c r="M36" s="64" t="n">
        <v>20</v>
      </c>
      <c r="N36" s="64" t="n">
        <v>21</v>
      </c>
    </row>
    <row r="37">
      <c r="K37" s="64" t="n">
        <v>9</v>
      </c>
      <c r="L37" s="64">
        <f>Results!#REF!</f>
        <v/>
      </c>
      <c r="M37" s="64">
        <f>Results!#REF!</f>
        <v/>
      </c>
      <c r="N37" s="64">
        <f>Results!#REF!</f>
        <v/>
      </c>
    </row>
    <row r="38">
      <c r="K38" s="64" t="n">
        <v>10</v>
      </c>
      <c r="L38" s="64">
        <f>Results!#REF!</f>
        <v/>
      </c>
      <c r="M38" s="64">
        <f>Results!#REF!</f>
        <v/>
      </c>
      <c r="N38" s="64">
        <f>Results!#REF!</f>
        <v/>
      </c>
    </row>
    <row r="40">
      <c r="K40" s="64" t="inlineStr">
        <is>
          <t>Sd</t>
        </is>
      </c>
    </row>
    <row r="41">
      <c r="L41" s="64" t="n">
        <v>19</v>
      </c>
      <c r="M41" s="64" t="n">
        <v>20</v>
      </c>
      <c r="N41" s="64" t="n">
        <v>21</v>
      </c>
    </row>
    <row r="42">
      <c r="K42" s="64" t="n">
        <v>9</v>
      </c>
      <c r="L42" s="64">
        <f>Distributors!P29</f>
        <v/>
      </c>
      <c r="M42" s="64">
        <f>Distributors!Q29</f>
        <v/>
      </c>
      <c r="N42" s="64">
        <f>Distributors!R29</f>
        <v/>
      </c>
    </row>
    <row r="43">
      <c r="K43" s="64" t="n">
        <v>10</v>
      </c>
      <c r="L43" s="64">
        <f>Distributors!P30</f>
        <v/>
      </c>
      <c r="M43" s="64">
        <f>Distributors!Q30</f>
        <v/>
      </c>
      <c r="N43" s="64">
        <f>Distributors!R30</f>
        <v/>
      </c>
    </row>
    <row r="45">
      <c r="L45" s="7" t="inlineStr">
        <is>
          <t>Stockout time</t>
        </is>
      </c>
    </row>
    <row r="46">
      <c r="L46" s="64" t="n">
        <v>16</v>
      </c>
      <c r="M46" s="64" t="n">
        <v>17</v>
      </c>
      <c r="N46" s="64" t="n">
        <v>18</v>
      </c>
      <c r="P46" s="64" t="inlineStr">
        <is>
          <t>máximo</t>
        </is>
      </c>
      <c r="R46" s="64" t="inlineStr">
        <is>
          <t>máximo</t>
        </is>
      </c>
    </row>
    <row r="47">
      <c r="K47" s="64" t="n">
        <v>4</v>
      </c>
      <c r="L47" s="64">
        <f>IF(L12="dist=0",0,IF(L12&gt;0,L3+Factories_Cap!#REF!-L12,0))</f>
        <v/>
      </c>
      <c r="M47" s="64">
        <f>IF(M12="dist=0",0,IF(M12&gt;0,M3+Factories_Cap!#REF!-M12,0))</f>
        <v/>
      </c>
      <c r="N47" s="64">
        <f>IF(N12="dist=0",0,IF(N12&gt;0,N3+Factories_Cap!#REF!-N12,0))</f>
        <v/>
      </c>
      <c r="P47" s="64">
        <f>MAX(L47:N48)</f>
        <v/>
      </c>
      <c r="R47" s="5" t="n">
        <v>25.24023477597671</v>
      </c>
    </row>
    <row r="48">
      <c r="K48" s="64" t="n">
        <v>5</v>
      </c>
      <c r="L48" s="64">
        <f>IF(L13="dist=0",0,IF(L13&gt;0,L4+Factories_Cap!#REF!-L13,0))</f>
        <v/>
      </c>
      <c r="M48" s="64">
        <f>IF(M13="dist=0",0,IF(M13&gt;0,M4+Factories_Cap!#REF!-M13,0))</f>
        <v/>
      </c>
      <c r="N48" s="64">
        <f>IF(N13="dist=0",0,IF(N13&gt;0,N4+Factories_Cap!#REF!-N13,0))</f>
        <v/>
      </c>
    </row>
    <row r="50">
      <c r="L50" s="7" t="n"/>
    </row>
  </sheetData>
  <mergeCells count="2">
    <mergeCell ref="A12:B12"/>
    <mergeCell ref="A17:B17"/>
  </mergeCells>
  <pageMargins left="0.511811024" right="0.511811024" top="0.787401575" bottom="0.787401575" header="0.31496062" footer="0.31496062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EF197"/>
  <sheetViews>
    <sheetView topLeftCell="F1" zoomScale="90" zoomScaleNormal="90" workbookViewId="0">
      <selection activeCell="F1" sqref="F1"/>
    </sheetView>
  </sheetViews>
  <sheetFormatPr baseColWidth="8" defaultColWidth="8.88671875" defaultRowHeight="14.4"/>
  <cols>
    <col hidden="1" width="13" customWidth="1" style="64" min="1" max="5"/>
    <col width="8.88671875" customWidth="1" style="64" min="6" max="10"/>
    <col width="10.6640625" customWidth="1" style="64" min="11" max="12"/>
    <col width="8.88671875" customWidth="1" style="64" min="13" max="16"/>
    <col width="22.33203125" customWidth="1" style="64" min="17" max="17"/>
    <col width="8.88671875" customWidth="1" style="64" min="18" max="37"/>
    <col width="11.33203125" bestFit="1" customWidth="1" style="64" min="38" max="38"/>
    <col width="8.88671875" customWidth="1" style="64" min="39" max="96"/>
    <col width="10.6640625" customWidth="1" style="64" min="97" max="97"/>
    <col width="8.88671875" customWidth="1" style="64" min="98" max="16384"/>
  </cols>
  <sheetData>
    <row r="2">
      <c r="N2" s="64" t="inlineStr">
        <is>
          <t>mínimo</t>
        </is>
      </c>
      <c r="O2" s="64" t="inlineStr">
        <is>
          <t>máximo</t>
        </is>
      </c>
    </row>
    <row r="3">
      <c r="N3" s="64">
        <f>MIN(RetailersCap)</f>
        <v/>
      </c>
      <c r="O3" s="64">
        <f>MAX(RetailersCap)</f>
        <v/>
      </c>
    </row>
    <row r="4">
      <c r="R4" s="2" t="n"/>
    </row>
    <row r="5">
      <c r="K5" s="64" t="inlineStr">
        <is>
          <t>GERADOR DE DADOS</t>
        </is>
      </c>
      <c r="Q5" s="64" t="inlineStr">
        <is>
          <t>GERADOR DE DADOS</t>
        </is>
      </c>
      <c r="AB5" s="64" t="inlineStr">
        <is>
          <t>GERADOR DE DADOS</t>
        </is>
      </c>
      <c r="BA5" s="7" t="inlineStr">
        <is>
          <t>Ei Exhaustion time (days)</t>
        </is>
      </c>
      <c r="BF5" s="64" t="inlineStr">
        <is>
          <t>Delta</t>
        </is>
      </c>
      <c r="BK5" s="7" t="inlineStr">
        <is>
          <t>MaxSOd+Lr-Sr</t>
        </is>
      </c>
      <c r="BP5" s="64" t="inlineStr">
        <is>
          <t>Auxr</t>
        </is>
      </c>
      <c r="BU5" s="64" t="inlineStr">
        <is>
          <t>Kr</t>
        </is>
      </c>
      <c r="BZ5" s="64" t="inlineStr">
        <is>
          <t>Ret</t>
        </is>
      </c>
      <c r="CE5" s="64" t="inlineStr">
        <is>
          <t>Sr</t>
        </is>
      </c>
      <c r="CK5" s="7" t="inlineStr">
        <is>
          <t>Stockout time</t>
        </is>
      </c>
    </row>
    <row r="6">
      <c r="G6" s="64" t="inlineStr">
        <is>
          <t>lambdar</t>
        </is>
      </c>
      <c r="H6" s="64" t="n">
        <v>22</v>
      </c>
      <c r="I6" s="64" t="n">
        <v>23</v>
      </c>
      <c r="J6" s="64" t="n">
        <v>24</v>
      </c>
      <c r="M6" s="64" t="inlineStr">
        <is>
          <t>Cap</t>
        </is>
      </c>
      <c r="N6" s="64" t="n">
        <v>22</v>
      </c>
      <c r="O6" s="64" t="n">
        <v>23</v>
      </c>
      <c r="P6" s="64" t="n">
        <v>24</v>
      </c>
      <c r="X6" s="64" t="n">
        <v>22</v>
      </c>
      <c r="Y6" s="64" t="n">
        <v>23</v>
      </c>
      <c r="Z6" s="64" t="n">
        <v>24</v>
      </c>
      <c r="AH6" s="64" t="n">
        <v>22</v>
      </c>
      <c r="AI6" s="64" t="n">
        <v>23</v>
      </c>
      <c r="AJ6" s="64" t="n">
        <v>24</v>
      </c>
      <c r="AQ6" s="64" t="inlineStr">
        <is>
          <t>lambdar</t>
        </is>
      </c>
      <c r="AR6" s="64" t="n">
        <v>22</v>
      </c>
      <c r="AS6" s="64" t="n">
        <v>23</v>
      </c>
      <c r="AT6" s="64" t="n">
        <v>24</v>
      </c>
      <c r="AV6" s="64" t="inlineStr">
        <is>
          <t>Ei (p)</t>
        </is>
      </c>
      <c r="AW6" s="64" t="n">
        <v>22</v>
      </c>
      <c r="AX6" s="64" t="n">
        <v>23</v>
      </c>
      <c r="AY6" s="64" t="n">
        <v>24</v>
      </c>
      <c r="BA6" s="64" t="inlineStr">
        <is>
          <t>Ei (p)</t>
        </is>
      </c>
      <c r="BB6" s="64" t="n">
        <v>22</v>
      </c>
      <c r="BC6" s="64" t="n">
        <v>23</v>
      </c>
      <c r="BD6" s="64" t="n">
        <v>24</v>
      </c>
      <c r="BG6" s="64" t="n">
        <v>22</v>
      </c>
      <c r="BH6" s="64" t="n">
        <v>23</v>
      </c>
      <c r="BI6" s="64" t="n">
        <v>24</v>
      </c>
      <c r="BL6" s="64" t="n">
        <v>22</v>
      </c>
      <c r="BM6" s="64" t="n">
        <v>23</v>
      </c>
      <c r="BN6" s="64" t="n">
        <v>24</v>
      </c>
      <c r="BQ6" s="64" t="n">
        <v>22</v>
      </c>
      <c r="BR6" s="64" t="n">
        <v>23</v>
      </c>
      <c r="BS6" s="64" t="n">
        <v>24</v>
      </c>
      <c r="BV6" s="64" t="n">
        <v>22</v>
      </c>
      <c r="BW6" s="64" t="n">
        <v>23</v>
      </c>
      <c r="BX6" s="64" t="n">
        <v>24</v>
      </c>
      <c r="CA6" s="64" t="n">
        <v>22</v>
      </c>
      <c r="CB6" s="64" t="n">
        <v>23</v>
      </c>
      <c r="CC6" s="64" t="n">
        <v>24</v>
      </c>
      <c r="CF6" s="64" t="n">
        <v>22</v>
      </c>
      <c r="CG6" s="64" t="n">
        <v>23</v>
      </c>
      <c r="CH6" s="64" t="n">
        <v>24</v>
      </c>
      <c r="CK6" s="64" t="n">
        <v>22</v>
      </c>
      <c r="CL6" s="64" t="n">
        <v>23</v>
      </c>
      <c r="CM6" s="64" t="n">
        <v>24</v>
      </c>
      <c r="CO6" s="64" t="inlineStr">
        <is>
          <t>máximo</t>
        </is>
      </c>
      <c r="CQ6" s="64" t="inlineStr">
        <is>
          <t>máximo</t>
        </is>
      </c>
      <c r="CU6" s="64" t="n">
        <v>1</v>
      </c>
      <c r="CV6" s="64" t="n">
        <v>2</v>
      </c>
      <c r="CW6" s="64" t="n">
        <v>3</v>
      </c>
      <c r="CX6" s="64" t="n">
        <v>4</v>
      </c>
      <c r="CY6" s="64" t="n">
        <v>5</v>
      </c>
      <c r="CZ6" s="64" t="n">
        <v>6</v>
      </c>
      <c r="DA6" s="64" t="n">
        <v>7</v>
      </c>
      <c r="DB6" s="64" t="n">
        <v>8</v>
      </c>
      <c r="DC6" s="64" t="n">
        <v>9</v>
      </c>
      <c r="DD6" s="64" t="n">
        <v>10</v>
      </c>
      <c r="DE6" s="64" t="n">
        <v>11</v>
      </c>
      <c r="DF6" s="64" t="n">
        <v>12</v>
      </c>
      <c r="DG6" s="64" t="n">
        <v>13</v>
      </c>
      <c r="DH6" s="64" t="n">
        <v>14</v>
      </c>
      <c r="DI6" s="64" t="n">
        <v>15</v>
      </c>
    </row>
    <row r="7">
      <c r="G7" s="64" t="n">
        <v>11</v>
      </c>
      <c r="H7" s="64" t="n">
        <v>53.045</v>
      </c>
      <c r="I7" s="64" t="n">
        <v>56.66</v>
      </c>
      <c r="J7" s="64" t="n">
        <v>54.621</v>
      </c>
      <c r="K7" s="2">
        <f>27*1.05</f>
        <v/>
      </c>
      <c r="L7" s="64">
        <f>TRUNC((_xlfn.NORM.INV((RAND()),$K$7,$K$8)),0)</f>
        <v/>
      </c>
      <c r="M7" s="64" t="n">
        <v>11</v>
      </c>
      <c r="N7" s="5" t="n">
        <v>25</v>
      </c>
      <c r="O7" s="5" t="n">
        <v>27</v>
      </c>
      <c r="P7" s="5" t="n">
        <v>25</v>
      </c>
      <c r="Q7" s="64">
        <f>IF(N7&gt;Demand!AU24,0,(IF(((2*(Retailers!AJ6+Distributors_Cap!$P$47)-Retailers_Cap!$BB$7)*(Demand!AU24-Retailers_Cap!N7))&lt;0,0,((IF(BB7&gt;2*(Retailers!AJ6+Distributors_Cap!$P$47),0,(IF(BG7=0,ROUNDUP((2*(Retailers!AJ6+Distributors_Cap!$P$47)-BB7)^0.5,0),ROUNDUP((2*(Retailers!AJ6+Distributors_Cap!$P$47)-BB7)^0.5,0)))))))))</f>
        <v/>
      </c>
      <c r="R7" s="2">
        <f>IF(N7&gt;Demand!AU24,0,(IF(((2*(Retailers!AJ6+Distributors_Cap!$P$47)-Retailers_Cap!$BB$7)*(Demand!AU24-Retailers_Cap!N7))&lt;0,0,((IF(BB7&gt;2*(Retailers!AJ6+Distributors_Cap!$P$47),0,(IF(BG7=0,ROUNDUP((2*(Retailers!AJ6+Distributors_Cap!$P$47)-BB7)^0.5,0),ROUNDUP((2*(Retailers!AJ6+Distributors_Cap!$P$47)-BB7)^0.5,0)))))))))</f>
        <v/>
      </c>
      <c r="S7" s="2">
        <f>IF(O7&gt;Demand!AV24,0,(IF(((2*(Retailers!AK6+Distributors_Cap!$P$47)-Retailers_Cap!$BB$7)*(Demand!AV24-Retailers_Cap!O7))&lt;0,0,((IF(BC7&gt;2*(Retailers!AK6+Distributors_Cap!$P$47),0,(IF(BH7=0,ROUNDUP((2*(Retailers!AK6+Distributors_Cap!$P$47)-BC7)^0.5,0),ROUNDUP((2*(Retailers!AK6+Distributors_Cap!$P$47)-BC7)^0.5,0)))))))))</f>
        <v/>
      </c>
      <c r="T7" s="2">
        <f>IF(P7&gt;Demand!AW24,0,(IF(((2*(Retailers!AL6+Distributors_Cap!$P$47)-Retailers_Cap!$BB$7)*(Demand!AW24-Retailers_Cap!P7))&lt;0,0,((IF(BD7&gt;2*(Retailers!AL6+Distributors_Cap!$P$47),0,(IF(BI7=0,ROUNDUP((2*(Retailers!AL6+Distributors_Cap!$P$47)-BD7)^0.5,0),ROUNDUP((2*(Retailers!AL6+Distributors_Cap!$P$47)-BD7)^0.5,0)))))))))</f>
        <v/>
      </c>
      <c r="V7" s="64" t="inlineStr">
        <is>
          <t>urip</t>
        </is>
      </c>
      <c r="W7" s="64" t="n">
        <v>11</v>
      </c>
      <c r="X7" s="9" t="n">
        <v>11</v>
      </c>
      <c r="Y7" s="9" t="n">
        <v>13</v>
      </c>
      <c r="Z7" s="9" t="n">
        <v>12</v>
      </c>
      <c r="AB7" s="2">
        <f>ROUNDDOWN(LOG((X7+1),2),0)</f>
        <v/>
      </c>
      <c r="AC7" s="2">
        <f>ROUNDDOWN(LOG((Y7+1),2),0)</f>
        <v/>
      </c>
      <c r="AD7" s="2">
        <f>ROUNDDOWN(LOG((Z7+1),2),0)</f>
        <v/>
      </c>
      <c r="AF7" s="64" t="inlineStr">
        <is>
          <t>numrip</t>
        </is>
      </c>
      <c r="AG7" s="64" t="n">
        <v>11</v>
      </c>
      <c r="AH7" s="9" t="n">
        <v>3</v>
      </c>
      <c r="AI7" s="9" t="n">
        <v>3</v>
      </c>
      <c r="AJ7" s="9" t="n">
        <v>3</v>
      </c>
      <c r="AN7" s="2">
        <f>MAX(RetailersNumberBinaryVarY)</f>
        <v/>
      </c>
      <c r="AO7" s="2">
        <f>MIN(RetailersNumberBinaryVarY)</f>
        <v/>
      </c>
      <c r="AP7" s="2" t="n"/>
      <c r="AQ7" s="64" t="n">
        <v>11</v>
      </c>
      <c r="AR7" s="64" t="n">
        <v>53.045</v>
      </c>
      <c r="AS7" s="64" t="n">
        <v>56.66</v>
      </c>
      <c r="AT7" s="64" t="n">
        <v>54.621</v>
      </c>
      <c r="AU7" s="2" t="n"/>
      <c r="AV7" s="64" t="n">
        <v>11</v>
      </c>
      <c r="AW7" s="64">
        <f>Beginning_stock!AT35</f>
        <v/>
      </c>
      <c r="AX7" s="64">
        <f>Beginning_stock!AU35</f>
        <v/>
      </c>
      <c r="AY7" s="64">
        <f>Beginning_stock!AV35</f>
        <v/>
      </c>
      <c r="AZ7" s="2" t="n"/>
      <c r="BA7" s="64" t="n">
        <v>11</v>
      </c>
      <c r="BB7" s="64">
        <f>IF(Demand!AU24=Retailers_Cap!N7,"ret=0",(AW7/(Demand!AU24-Retailers_Cap!N7)))</f>
        <v/>
      </c>
      <c r="BC7" s="64">
        <f>IF(Demand!AV24=Retailers_Cap!O7,"ret=0",(AX7/(Demand!AV24-Retailers_Cap!O7)))</f>
        <v/>
      </c>
      <c r="BD7" s="64">
        <f>IF(Demand!AW24=Retailers_Cap!P7,"ret=0",(AY7/(Demand!AW24-Retailers_Cap!P7)))</f>
        <v/>
      </c>
      <c r="BE7" s="2" t="n"/>
      <c r="BF7" s="64" t="n">
        <v>11</v>
      </c>
      <c r="BG7" s="2">
        <f>IF(Demand!AU24&lt;=Retailers_Cap!N7,"ret=0",(IF(BB7&lt;=AR7+Distributors_Cap!$P$47,1,0)))</f>
        <v/>
      </c>
      <c r="BH7" s="2">
        <f>IF(Demand!AV24&lt;=Retailers_Cap!O7,"ret=0",(IF(BC7&lt;=AS7+Distributors_Cap!$P$47,1,0)))</f>
        <v/>
      </c>
      <c r="BI7" s="2">
        <f>IF(Demand!AW24&lt;=Retailers_Cap!P7,"ret=0",(IF(BD7&lt;=AT7+Distributors_Cap!$P$47,1,0)))</f>
        <v/>
      </c>
      <c r="BJ7" s="2" t="n"/>
      <c r="BK7" s="64" t="n">
        <v>11</v>
      </c>
      <c r="BL7" s="64">
        <f>Retailers!BH6</f>
        <v/>
      </c>
      <c r="BM7" s="64">
        <f>Retailers!BI6</f>
        <v/>
      </c>
      <c r="BN7" s="64">
        <f>Retailers!BJ6</f>
        <v/>
      </c>
      <c r="BO7" s="2" t="n"/>
      <c r="BP7" s="64" t="n">
        <v>11</v>
      </c>
      <c r="BQ7" s="64">
        <f>#REF!</f>
        <v/>
      </c>
      <c r="BR7" s="64">
        <f>#REF!</f>
        <v/>
      </c>
      <c r="BS7" s="64">
        <f>#REF!</f>
        <v/>
      </c>
      <c r="BT7" s="2" t="n"/>
      <c r="BU7" s="64" t="n">
        <v>11</v>
      </c>
      <c r="BV7" s="64">
        <f>Retailers!AS6</f>
        <v/>
      </c>
      <c r="BW7" s="64">
        <f>Retailers!AT6</f>
        <v/>
      </c>
      <c r="BX7" s="64">
        <f>Retailers!AU6</f>
        <v/>
      </c>
      <c r="BY7" s="2" t="n"/>
      <c r="BZ7" s="64" t="n">
        <v>11</v>
      </c>
      <c r="CA7" s="64">
        <f>Results!#REF!</f>
        <v/>
      </c>
      <c r="CB7" s="64">
        <f>Results!#REF!</f>
        <v/>
      </c>
      <c r="CC7" s="64">
        <f>Results!#REF!</f>
        <v/>
      </c>
      <c r="CD7" s="2" t="n"/>
      <c r="CE7" s="64" t="n">
        <v>11</v>
      </c>
      <c r="CF7" s="64">
        <f>Retailers!BN6</f>
        <v/>
      </c>
      <c r="CG7" s="64">
        <f>Retailers!BO6</f>
        <v/>
      </c>
      <c r="CH7" s="64">
        <f>Retailers!BP6</f>
        <v/>
      </c>
      <c r="CI7" s="2" t="n"/>
      <c r="CJ7" s="64" t="n">
        <v>11</v>
      </c>
      <c r="CK7" s="64">
        <f>IF(BB7="ret=0",0,IF(BB7&gt;0,AR7+Distributors_Cap!$P$47-BB7,0))</f>
        <v/>
      </c>
      <c r="CL7" s="64">
        <f>IF(BC7="ret=0",0,IF(BC7&gt;0,AS7+Distributors_Cap!$P$47-BC7,0))</f>
        <v/>
      </c>
      <c r="CM7" s="64">
        <f>IF(BD7="ret=0",0,IF(BD7&gt;0,AT7+Distributors_Cap!$P$47-BD7,0))</f>
        <v/>
      </c>
      <c r="CO7" s="64">
        <f>MAX(CK7:CM196)</f>
        <v/>
      </c>
      <c r="CQ7" s="9" t="n">
        <v>103.2303776331196</v>
      </c>
      <c r="CS7" s="64" t="inlineStr">
        <is>
          <t>Lambdaw</t>
        </is>
      </c>
      <c r="CT7" s="64" t="n">
        <v>1</v>
      </c>
      <c r="CU7" s="64" t="n">
        <v>18.505</v>
      </c>
      <c r="CV7" s="64" t="n">
        <v>15.462</v>
      </c>
      <c r="CW7" s="64" t="n">
        <v>11.972</v>
      </c>
      <c r="CX7" s="64" t="n">
        <v>13.559</v>
      </c>
      <c r="CY7" s="64" t="n">
        <v>15.373</v>
      </c>
      <c r="CZ7" s="64" t="n">
        <v>17.73</v>
      </c>
      <c r="DA7" s="64" t="n">
        <v>15.342</v>
      </c>
      <c r="DB7" s="64" t="n">
        <v>19.782</v>
      </c>
      <c r="DC7" s="64" t="n">
        <v>12.66</v>
      </c>
      <c r="DD7" s="64" t="n">
        <v>13.452</v>
      </c>
      <c r="DE7" s="64" t="n">
        <v>14.32</v>
      </c>
      <c r="DF7" s="64" t="n">
        <v>18.487</v>
      </c>
      <c r="DG7" s="64" t="n">
        <v>15.858</v>
      </c>
      <c r="DH7" s="64" t="n">
        <v>15.037</v>
      </c>
      <c r="DI7" s="64" t="n">
        <v>12.314</v>
      </c>
    </row>
    <row r="8">
      <c r="G8" s="64" t="n">
        <v>12</v>
      </c>
      <c r="H8" s="64" t="n">
        <v>63.666</v>
      </c>
      <c r="I8" s="64" t="n">
        <v>66.75</v>
      </c>
      <c r="J8" s="64" t="n">
        <v>64.45</v>
      </c>
      <c r="K8" s="2">
        <f>K7*0.25</f>
        <v/>
      </c>
      <c r="L8" s="64">
        <f>TRUNC((_xlfn.NORM.INV((RAND()),$K$7,$K$8)),0)</f>
        <v/>
      </c>
      <c r="M8" s="64" t="n">
        <v>12</v>
      </c>
      <c r="N8" s="5" t="n">
        <v>33</v>
      </c>
      <c r="O8" s="5" t="n">
        <v>24</v>
      </c>
      <c r="P8" s="5" t="n">
        <v>18</v>
      </c>
      <c r="R8" s="2">
        <f>IF(N8&gt;Demand!AU25,0,(IF(((2*(Retailers!AJ7+Distributors_Cap!$P$47)-Retailers_Cap!$BB$7)*(Demand!AU25-Retailers_Cap!N8))&lt;0,0,((IF(BB8&gt;2*(Retailers!AJ7+Distributors_Cap!$P$47),0,(IF(BG8=0,ROUNDUP((2*(Retailers!AJ7+Distributors_Cap!$P$47)-BB8)^0.5,0),ROUNDUP((2*(Retailers!AJ7+Distributors_Cap!$P$47)-BB8)^0.5,0)))))))))</f>
        <v/>
      </c>
      <c r="S8" s="2">
        <f>IF(O8&gt;Demand!AV25,0,(IF(((2*(Retailers!AK7+Distributors_Cap!$P$47)-Retailers_Cap!$BB$7)*(Demand!AV25-Retailers_Cap!O8))&lt;0,0,((IF(BC8&gt;2*(Retailers!AK7+Distributors_Cap!$P$47),0,(IF(BH8=0,ROUNDUP((2*(Retailers!AK7+Distributors_Cap!$P$47)-BC8)^0.5,0),ROUNDUP((2*(Retailers!AK7+Distributors_Cap!$P$47)-BC8)^0.5,0)))))))))</f>
        <v/>
      </c>
      <c r="T8" s="2">
        <f>IF(P8&gt;Demand!AW25,0,(IF(((2*(Retailers!AL7+Distributors_Cap!$P$47)-Retailers_Cap!$BB$7)*(Demand!AW25-Retailers_Cap!P8))&lt;0,0,((IF(BD8&gt;2*(Retailers!AL7+Distributors_Cap!$P$47),0,(IF(BI8=0,ROUNDUP((2*(Retailers!AL7+Distributors_Cap!$P$47)-BD8)^0.5,0),ROUNDUP((2*(Retailers!AL7+Distributors_Cap!$P$47)-BD8)^0.5,0)))))))))</f>
        <v/>
      </c>
      <c r="W8" s="64" t="n">
        <v>12</v>
      </c>
      <c r="X8" s="9" t="n">
        <v>0</v>
      </c>
      <c r="Y8" s="9" t="n">
        <v>0</v>
      </c>
      <c r="Z8" s="9" t="n">
        <v>10</v>
      </c>
      <c r="AB8" s="2">
        <f>ROUNDDOWN(LOG((X8+1),2),0)</f>
        <v/>
      </c>
      <c r="AC8" s="2">
        <f>ROUNDDOWN(LOG((Y8+1),2),0)</f>
        <v/>
      </c>
      <c r="AD8" s="2">
        <f>ROUNDDOWN(LOG((Z8+1),2),0)</f>
        <v/>
      </c>
      <c r="AG8" s="64" t="n">
        <v>12</v>
      </c>
      <c r="AH8" s="9" t="n">
        <v>0</v>
      </c>
      <c r="AI8" s="9" t="n">
        <v>0</v>
      </c>
      <c r="AJ8" s="9" t="n">
        <v>3</v>
      </c>
      <c r="AN8" s="2" t="n"/>
      <c r="AO8" s="2" t="n"/>
      <c r="AP8" s="2" t="n"/>
      <c r="AQ8" s="64" t="n">
        <v>12</v>
      </c>
      <c r="AR8" s="64" t="n">
        <v>63.666</v>
      </c>
      <c r="AS8" s="64" t="n">
        <v>66.75</v>
      </c>
      <c r="AT8" s="64" t="n">
        <v>64.45</v>
      </c>
      <c r="AU8" s="2" t="n"/>
      <c r="AV8" s="64" t="n">
        <v>12</v>
      </c>
      <c r="AW8" s="64">
        <f>Beginning_stock!AT36</f>
        <v/>
      </c>
      <c r="AX8" s="64">
        <f>Beginning_stock!AU36</f>
        <v/>
      </c>
      <c r="AY8" s="64">
        <f>Beginning_stock!AV36</f>
        <v/>
      </c>
      <c r="AZ8" s="2" t="n"/>
      <c r="BA8" s="64" t="n">
        <v>12</v>
      </c>
      <c r="BB8" s="64">
        <f>IF(Demand!AU25=Retailers_Cap!N8,"ret=0",(AW8/(Demand!AU25-Retailers_Cap!N8)))</f>
        <v/>
      </c>
      <c r="BC8" s="64">
        <f>IF(Demand!AV25=Retailers_Cap!O8,"ret=0",(AX8/(Demand!AV25-Retailers_Cap!O8)))</f>
        <v/>
      </c>
      <c r="BD8" s="64">
        <f>IF(Demand!AW25=Retailers_Cap!P8,"ret=0",(AY8/(Demand!AW25-Retailers_Cap!P8)))</f>
        <v/>
      </c>
      <c r="BE8" s="2" t="n"/>
      <c r="BF8" s="64" t="n">
        <v>12</v>
      </c>
      <c r="BG8" s="2">
        <f>IF(Demand!AU25&lt;=Retailers_Cap!N8,"ret=0",(IF(BB8&lt;=AR8+Distributors_Cap!$P$47,1,0)))</f>
        <v/>
      </c>
      <c r="BH8" s="2">
        <f>IF(Demand!AV25&lt;=Retailers_Cap!O8,"ret=0",(IF(BC8&lt;=AS8+Distributors_Cap!$P$47,1,0)))</f>
        <v/>
      </c>
      <c r="BI8" s="2">
        <f>IF(Demand!AW25&lt;=Retailers_Cap!P8,"ret=0",(IF(BD8&lt;=AT8+Distributors_Cap!$P$47,1,0)))</f>
        <v/>
      </c>
      <c r="BJ8" s="2" t="n"/>
      <c r="BK8" s="64" t="n">
        <v>12</v>
      </c>
      <c r="BL8" s="64">
        <f>Retailers!BH7</f>
        <v/>
      </c>
      <c r="BM8" s="64">
        <f>Retailers!BI7</f>
        <v/>
      </c>
      <c r="BN8" s="64">
        <f>Retailers!BJ7</f>
        <v/>
      </c>
      <c r="BO8" s="2" t="n"/>
      <c r="BP8" s="64" t="n">
        <v>12</v>
      </c>
      <c r="BQ8" s="64">
        <f>#REF!</f>
        <v/>
      </c>
      <c r="BR8" s="64">
        <f>#REF!</f>
        <v/>
      </c>
      <c r="BS8" s="64">
        <f>#REF!</f>
        <v/>
      </c>
      <c r="BT8" s="2" t="n"/>
      <c r="BU8" s="64" t="n">
        <v>12</v>
      </c>
      <c r="BV8" s="64">
        <f>Retailers!AS7</f>
        <v/>
      </c>
      <c r="BW8" s="64">
        <f>Retailers!AT7</f>
        <v/>
      </c>
      <c r="BX8" s="64">
        <f>Retailers!AU7</f>
        <v/>
      </c>
      <c r="BY8" s="2" t="n"/>
      <c r="BZ8" s="64" t="n">
        <v>12</v>
      </c>
      <c r="CA8" s="64">
        <f>Results!#REF!</f>
        <v/>
      </c>
      <c r="CB8" s="64">
        <f>Results!#REF!</f>
        <v/>
      </c>
      <c r="CC8" s="64">
        <f>Results!#REF!</f>
        <v/>
      </c>
      <c r="CD8" s="2" t="n"/>
      <c r="CE8" s="64" t="n">
        <v>12</v>
      </c>
      <c r="CF8" s="64">
        <f>Retailers!BN7</f>
        <v/>
      </c>
      <c r="CG8" s="64">
        <f>Retailers!BO7</f>
        <v/>
      </c>
      <c r="CH8" s="64">
        <f>Retailers!BP7</f>
        <v/>
      </c>
      <c r="CI8" s="2" t="n"/>
      <c r="CJ8" s="64" t="n">
        <v>12</v>
      </c>
      <c r="CK8" s="64">
        <f>IF(BB8="ret=0",0,IF(BB8&gt;0,AR8+Distributors_Cap!$P$47-BB8,0))</f>
        <v/>
      </c>
      <c r="CL8" s="64">
        <f>IF(BC8="ret=0",0,IF(BC8&gt;0,AS8+Distributors_Cap!$P$47-BC8,0))</f>
        <v/>
      </c>
      <c r="CM8" s="64">
        <f>IF(BD8="ret=0",0,IF(BD8&gt;0,AT8+Distributors_Cap!$P$47-BD8,0))</f>
        <v/>
      </c>
      <c r="CQ8" s="2" t="n"/>
      <c r="CT8" s="64" t="n">
        <v>2</v>
      </c>
      <c r="CU8" s="64" t="n">
        <v>16.684</v>
      </c>
      <c r="CV8" s="64" t="n">
        <v>15.732</v>
      </c>
      <c r="CW8" s="64" t="n">
        <v>16.241</v>
      </c>
      <c r="CX8" s="64" t="n">
        <v>15.693</v>
      </c>
      <c r="CY8" s="64" t="n">
        <v>11.913</v>
      </c>
      <c r="CZ8" s="64" t="n">
        <v>13.523</v>
      </c>
      <c r="DA8" s="64" t="n">
        <v>13.636</v>
      </c>
      <c r="DB8" s="64" t="n">
        <v>16.606</v>
      </c>
      <c r="DC8" s="64" t="n">
        <v>17.887</v>
      </c>
      <c r="DD8" s="64" t="n">
        <v>10.093</v>
      </c>
      <c r="DE8" s="64" t="n">
        <v>12.59</v>
      </c>
      <c r="DF8" s="64" t="n">
        <v>16.779</v>
      </c>
      <c r="DG8" s="64" t="n">
        <v>18.918</v>
      </c>
      <c r="DH8" s="64" t="n">
        <v>21.384</v>
      </c>
      <c r="DI8" s="64" t="n">
        <v>12.893</v>
      </c>
    </row>
    <row r="9">
      <c r="G9" s="64" t="n">
        <v>13</v>
      </c>
      <c r="H9" s="64" t="n">
        <v>51.821</v>
      </c>
      <c r="I9" s="64" t="n">
        <v>69.47799999999999</v>
      </c>
      <c r="J9" s="64" t="n">
        <v>55.332</v>
      </c>
      <c r="L9" s="64">
        <f>TRUNC((_xlfn.NORM.INV((RAND()),$K$7,$K$8)),0)</f>
        <v/>
      </c>
      <c r="M9" s="64" t="n">
        <v>13</v>
      </c>
      <c r="N9" s="5" t="n">
        <v>33</v>
      </c>
      <c r="O9" s="5" t="n">
        <v>28</v>
      </c>
      <c r="P9" s="5" t="n">
        <v>16</v>
      </c>
      <c r="R9" s="2">
        <f>IF(N9&gt;Demand!AU26,0,(IF(((2*(Retailers!AJ8+Distributors_Cap!$P$47)-Retailers_Cap!$BB$7)*(Demand!AU26-Retailers_Cap!N9))&lt;0,0,((IF(BB9&gt;2*(Retailers!AJ8+Distributors_Cap!$P$47),0,(IF(BG9=0,ROUNDUP((2*(Retailers!AJ8+Distributors_Cap!$P$47)-BB9)^0.5,0),ROUNDUP((2*(Retailers!AJ8+Distributors_Cap!$P$47)-BB9)^0.5,0)))))))))</f>
        <v/>
      </c>
      <c r="S9" s="2">
        <f>IF(O9&gt;Demand!AV26,0,(IF(((2*(Retailers!AK8+Distributors_Cap!$P$47)-Retailers_Cap!$BB$7)*(Demand!AV26-Retailers_Cap!O9))&lt;0,0,((IF(BC9&gt;2*(Retailers!AK8+Distributors_Cap!$P$47),0,(IF(BH9=0,ROUNDUP((2*(Retailers!AK8+Distributors_Cap!$P$47)-BC9)^0.5,0),ROUNDUP((2*(Retailers!AK8+Distributors_Cap!$P$47)-BC9)^0.5,0)))))))))</f>
        <v/>
      </c>
      <c r="T9" s="2">
        <f>IF(P9&gt;Demand!AW26,0,(IF(((2*(Retailers!AL8+Distributors_Cap!$P$47)-Retailers_Cap!$BB$7)*(Demand!AW26-Retailers_Cap!P9))&lt;0,0,((IF(BD9&gt;2*(Retailers!AL8+Distributors_Cap!$P$47),0,(IF(BI9=0,ROUNDUP((2*(Retailers!AL8+Distributors_Cap!$P$47)-BD9)^0.5,0),ROUNDUP((2*(Retailers!AL8+Distributors_Cap!$P$47)-BD9)^0.5,0)))))))))</f>
        <v/>
      </c>
      <c r="W9" s="64" t="n">
        <v>13</v>
      </c>
      <c r="X9" s="9" t="n">
        <v>0</v>
      </c>
      <c r="Y9" s="9" t="n">
        <v>0</v>
      </c>
      <c r="Z9" s="9" t="n">
        <v>12</v>
      </c>
      <c r="AB9" s="2">
        <f>ROUNDDOWN(LOG((X9+1),2),0)</f>
        <v/>
      </c>
      <c r="AC9" s="2">
        <f>ROUNDDOWN(LOG((Y9+1),2),0)</f>
        <v/>
      </c>
      <c r="AD9" s="2">
        <f>ROUNDDOWN(LOG((Z9+1),2),0)</f>
        <v/>
      </c>
      <c r="AG9" s="64" t="n">
        <v>13</v>
      </c>
      <c r="AH9" s="9" t="n">
        <v>0</v>
      </c>
      <c r="AI9" s="9" t="n">
        <v>0</v>
      </c>
      <c r="AJ9" s="9" t="n">
        <v>3</v>
      </c>
      <c r="AL9" s="64" t="inlineStr">
        <is>
          <t>Maxnumrip</t>
        </is>
      </c>
      <c r="AN9" s="9" t="n">
        <v>4</v>
      </c>
      <c r="AO9" s="2" t="n"/>
      <c r="AP9" s="2" t="n"/>
      <c r="AQ9" s="64" t="n">
        <v>13</v>
      </c>
      <c r="AR9" s="64" t="n">
        <v>51.821</v>
      </c>
      <c r="AS9" s="64" t="n">
        <v>69.47799999999999</v>
      </c>
      <c r="AT9" s="64" t="n">
        <v>55.332</v>
      </c>
      <c r="AU9" s="2" t="n"/>
      <c r="AV9" s="64" t="n">
        <v>13</v>
      </c>
      <c r="AW9" s="64">
        <f>Beginning_stock!AT37</f>
        <v/>
      </c>
      <c r="AX9" s="64">
        <f>Beginning_stock!AU37</f>
        <v/>
      </c>
      <c r="AY9" s="64">
        <f>Beginning_stock!AV37</f>
        <v/>
      </c>
      <c r="AZ9" s="2" t="n"/>
      <c r="BA9" s="64" t="n">
        <v>13</v>
      </c>
      <c r="BB9" s="64">
        <f>IF(Demand!AU26=Retailers_Cap!N9,"ret=0",(AW9/(Demand!AU26-Retailers_Cap!N9)))</f>
        <v/>
      </c>
      <c r="BC9" s="64">
        <f>IF(Demand!AV26=Retailers_Cap!O9,"ret=0",(AX9/(Demand!AV26-Retailers_Cap!O9)))</f>
        <v/>
      </c>
      <c r="BD9" s="64">
        <f>IF(Demand!AW26=Retailers_Cap!P9,"ret=0",(AY9/(Demand!AW26-Retailers_Cap!P9)))</f>
        <v/>
      </c>
      <c r="BE9" s="2" t="n"/>
      <c r="BF9" s="64" t="n">
        <v>13</v>
      </c>
      <c r="BG9" s="2">
        <f>IF(Demand!AU26&lt;=Retailers_Cap!N9,"ret=0",(IF(BB9&lt;=AR9+Distributors_Cap!$P$47,1,0)))</f>
        <v/>
      </c>
      <c r="BH9" s="2">
        <f>IF(Demand!AV26&lt;=Retailers_Cap!O9,"ret=0",(IF(BC9&lt;=AS9+Distributors_Cap!$P$47,1,0)))</f>
        <v/>
      </c>
      <c r="BI9" s="2">
        <f>IF(Demand!AW26&lt;=Retailers_Cap!P9,"ret=0",(IF(BD9&lt;=AT9+Distributors_Cap!$P$47,1,0)))</f>
        <v/>
      </c>
      <c r="BJ9" s="2" t="n"/>
      <c r="BK9" s="64" t="n">
        <v>13</v>
      </c>
      <c r="BL9" s="64">
        <f>Retailers!BH8</f>
        <v/>
      </c>
      <c r="BM9" s="64">
        <f>Retailers!BI8</f>
        <v/>
      </c>
      <c r="BN9" s="64">
        <f>Retailers!BJ8</f>
        <v/>
      </c>
      <c r="BO9" s="2" t="n"/>
      <c r="BP9" s="64" t="n">
        <v>13</v>
      </c>
      <c r="BQ9" s="64">
        <f>#REF!</f>
        <v/>
      </c>
      <c r="BR9" s="64">
        <f>#REF!</f>
        <v/>
      </c>
      <c r="BS9" s="64">
        <f>#REF!</f>
        <v/>
      </c>
      <c r="BT9" s="2" t="n"/>
      <c r="BU9" s="64" t="n">
        <v>13</v>
      </c>
      <c r="BV9" s="64">
        <f>Retailers!AS8</f>
        <v/>
      </c>
      <c r="BW9" s="64">
        <f>Retailers!AT8</f>
        <v/>
      </c>
      <c r="BX9" s="64">
        <f>Retailers!AU8</f>
        <v/>
      </c>
      <c r="BY9" s="2" t="n"/>
      <c r="BZ9" s="64" t="n">
        <v>13</v>
      </c>
      <c r="CA9" s="64">
        <f>Results!#REF!</f>
        <v/>
      </c>
      <c r="CB9" s="64">
        <f>Results!#REF!</f>
        <v/>
      </c>
      <c r="CC9" s="64">
        <f>Results!#REF!</f>
        <v/>
      </c>
      <c r="CD9" s="2" t="n"/>
      <c r="CE9" s="64" t="n">
        <v>13</v>
      </c>
      <c r="CF9" s="64">
        <f>Retailers!BN8</f>
        <v/>
      </c>
      <c r="CG9" s="64">
        <f>Retailers!BO8</f>
        <v/>
      </c>
      <c r="CH9" s="64">
        <f>Retailers!BP8</f>
        <v/>
      </c>
      <c r="CI9" s="2" t="n"/>
      <c r="CJ9" s="64" t="n">
        <v>13</v>
      </c>
      <c r="CK9" s="64">
        <f>IF(BB9="ret=0",0,IF(BB9&gt;0,AR9+Distributors_Cap!$P$47-BB9,0))</f>
        <v/>
      </c>
      <c r="CL9" s="64">
        <f>IF(BC9="ret=0",0,IF(BC9&gt;0,AS9+Distributors_Cap!$P$47-BC9,0))</f>
        <v/>
      </c>
      <c r="CM9" s="64">
        <f>IF(BD9="ret=0",0,IF(BD9&gt;0,AT9+Distributors_Cap!$P$47-BD9,0))</f>
        <v/>
      </c>
      <c r="CQ9" s="2" t="n"/>
      <c r="CT9" s="64" t="n">
        <v>3</v>
      </c>
      <c r="CU9" s="64" t="n">
        <v>14.153</v>
      </c>
      <c r="CV9" s="64" t="n">
        <v>9.699</v>
      </c>
      <c r="CW9" s="64" t="n">
        <v>19.802</v>
      </c>
      <c r="CX9" s="64" t="n">
        <v>21.443</v>
      </c>
      <c r="CY9" s="64" t="n">
        <v>18.022</v>
      </c>
      <c r="CZ9" s="64" t="n">
        <v>17.336</v>
      </c>
      <c r="DA9" s="64" t="n">
        <v>16.02</v>
      </c>
      <c r="DB9" s="64" t="n">
        <v>20.89</v>
      </c>
      <c r="DC9" s="64" t="n">
        <v>19.51</v>
      </c>
      <c r="DD9" s="64" t="n">
        <v>17.487</v>
      </c>
      <c r="DE9" s="64" t="n">
        <v>13.032</v>
      </c>
      <c r="DF9" s="64" t="n">
        <v>14.763</v>
      </c>
      <c r="DG9" s="64" t="n">
        <v>17.64</v>
      </c>
      <c r="DH9" s="64" t="n">
        <v>11.211</v>
      </c>
      <c r="DI9" s="64" t="n">
        <v>11.457</v>
      </c>
    </row>
    <row r="10">
      <c r="G10" s="64" t="n">
        <v>14</v>
      </c>
      <c r="H10" s="64" t="n">
        <v>53.004</v>
      </c>
      <c r="I10" s="64" t="n">
        <v>56.216</v>
      </c>
      <c r="J10" s="64" t="n">
        <v>53.435</v>
      </c>
      <c r="L10" s="64">
        <f>TRUNC((_xlfn.NORM.INV((RAND()),$K$7,$K$8)),0)</f>
        <v/>
      </c>
      <c r="M10" s="64" t="n">
        <v>14</v>
      </c>
      <c r="N10" s="5" t="n">
        <v>27</v>
      </c>
      <c r="O10" s="5" t="n">
        <v>40</v>
      </c>
      <c r="P10" s="5" t="n">
        <v>29</v>
      </c>
      <c r="R10" s="2">
        <f>IF(N10&gt;Demand!AU27,0,(IF(((2*(Retailers!AJ9+Distributors_Cap!$P$47)-Retailers_Cap!$BB$7)*(Demand!AU27-Retailers_Cap!N10))&lt;0,0,((IF(BB10&gt;2*(Retailers!AJ9+Distributors_Cap!$P$47),0,(IF(BG10=0,ROUNDUP((2*(Retailers!AJ9+Distributors_Cap!$P$47)-BB10)^0.5,0),ROUNDUP((2*(Retailers!AJ9+Distributors_Cap!$P$47)-BB10)^0.5,0)))))))))</f>
        <v/>
      </c>
      <c r="S10" s="2">
        <f>IF(O10&gt;Demand!AV27,0,(IF(((2*(Retailers!AK9+Distributors_Cap!$P$47)-Retailers_Cap!$BB$7)*(Demand!AV27-Retailers_Cap!O10))&lt;0,0,((IF(BC10&gt;2*(Retailers!AK9+Distributors_Cap!$P$47),0,(IF(BH10=0,ROUNDUP((2*(Retailers!AK9+Distributors_Cap!$P$47)-BC10)^0.5,0),ROUNDUP((2*(Retailers!AK9+Distributors_Cap!$P$47)-BC10)^0.5,0)))))))))</f>
        <v/>
      </c>
      <c r="T10" s="2">
        <f>IF(P10&gt;Demand!AW27,0,(IF(((2*(Retailers!AL9+Distributors_Cap!$P$47)-Retailers_Cap!$BB$7)*(Demand!AW27-Retailers_Cap!P10))&lt;0,0,((IF(BD10&gt;2*(Retailers!AL9+Distributors_Cap!$P$47),0,(IF(BI10=0,ROUNDUP((2*(Retailers!AL9+Distributors_Cap!$P$47)-BD10)^0.5,0),ROUNDUP((2*(Retailers!AL9+Distributors_Cap!$P$47)-BD10)^0.5,0)))))))))</f>
        <v/>
      </c>
      <c r="W10" s="64" t="n">
        <v>14</v>
      </c>
      <c r="X10" s="9" t="n">
        <v>0</v>
      </c>
      <c r="Y10" s="9" t="n">
        <v>0</v>
      </c>
      <c r="Z10" s="9" t="n">
        <v>0</v>
      </c>
      <c r="AB10" s="2">
        <f>ROUNDDOWN(LOG((X10+1),2),0)</f>
        <v/>
      </c>
      <c r="AC10" s="2">
        <f>ROUNDDOWN(LOG((Y10+1),2),0)</f>
        <v/>
      </c>
      <c r="AD10" s="2">
        <f>ROUNDDOWN(LOG((Z10+1),2),0)</f>
        <v/>
      </c>
      <c r="AG10" s="64" t="n">
        <v>14</v>
      </c>
      <c r="AH10" s="9" t="n">
        <v>0</v>
      </c>
      <c r="AI10" s="9" t="n">
        <v>0</v>
      </c>
      <c r="AJ10" s="9" t="n">
        <v>0</v>
      </c>
      <c r="AL10" s="64" t="inlineStr">
        <is>
          <t>Minnumrip</t>
        </is>
      </c>
      <c r="AN10" s="9" t="n">
        <v>0</v>
      </c>
      <c r="AO10" s="2" t="n"/>
      <c r="AP10" s="2" t="n"/>
      <c r="AQ10" s="64" t="n">
        <v>14</v>
      </c>
      <c r="AR10" s="64" t="n">
        <v>53.004</v>
      </c>
      <c r="AS10" s="64" t="n">
        <v>56.216</v>
      </c>
      <c r="AT10" s="64" t="n">
        <v>53.435</v>
      </c>
      <c r="AU10" s="2" t="n"/>
      <c r="AV10" s="64" t="n">
        <v>14</v>
      </c>
      <c r="AW10" s="64">
        <f>Beginning_stock!AT38</f>
        <v/>
      </c>
      <c r="AX10" s="64">
        <f>Beginning_stock!AU38</f>
        <v/>
      </c>
      <c r="AY10" s="64">
        <f>Beginning_stock!AV38</f>
        <v/>
      </c>
      <c r="AZ10" s="2" t="n"/>
      <c r="BA10" s="64" t="n">
        <v>14</v>
      </c>
      <c r="BB10" s="64">
        <f>IF(Demand!AU27=Retailers_Cap!N10,"ret=0",(AW10/(Demand!AU27-Retailers_Cap!N10)))</f>
        <v/>
      </c>
      <c r="BC10" s="64">
        <f>IF(Demand!AV27=Retailers_Cap!O10,"ret=0",(AX10/(Demand!AV27-Retailers_Cap!O10)))</f>
        <v/>
      </c>
      <c r="BD10" s="64">
        <f>IF(Demand!AW27=Retailers_Cap!P10,"ret=0",(AY10/(Demand!AW27-Retailers_Cap!P10)))</f>
        <v/>
      </c>
      <c r="BE10" s="2" t="n"/>
      <c r="BF10" s="64" t="n">
        <v>14</v>
      </c>
      <c r="BG10" s="2">
        <f>IF(Demand!AU27&lt;=Retailers_Cap!N10,"ret=0",(IF(BB10&lt;=AR10+Distributors_Cap!$P$47,1,0)))</f>
        <v/>
      </c>
      <c r="BH10" s="2">
        <f>IF(Demand!AV27&lt;=Retailers_Cap!O10,"ret=0",(IF(BC10&lt;=AS10+Distributors_Cap!$P$47,1,0)))</f>
        <v/>
      </c>
      <c r="BI10" s="2">
        <f>IF(Demand!AW27&lt;=Retailers_Cap!P10,"ret=0",(IF(BD10&lt;=AT10+Distributors_Cap!$P$47,1,0)))</f>
        <v/>
      </c>
      <c r="BJ10" s="2" t="n"/>
      <c r="BK10" s="64" t="n">
        <v>14</v>
      </c>
      <c r="BL10" s="64">
        <f>Retailers!BH9</f>
        <v/>
      </c>
      <c r="BM10" s="64">
        <f>Retailers!BI9</f>
        <v/>
      </c>
      <c r="BN10" s="64">
        <f>Retailers!BJ9</f>
        <v/>
      </c>
      <c r="BO10" s="2" t="n"/>
      <c r="BP10" s="64" t="n">
        <v>14</v>
      </c>
      <c r="BQ10" s="64">
        <f>#REF!</f>
        <v/>
      </c>
      <c r="BR10" s="64">
        <f>#REF!</f>
        <v/>
      </c>
      <c r="BS10" s="64">
        <f>#REF!</f>
        <v/>
      </c>
      <c r="BT10" s="2" t="n"/>
      <c r="BU10" s="64" t="n">
        <v>14</v>
      </c>
      <c r="BV10" s="64">
        <f>Retailers!AS9</f>
        <v/>
      </c>
      <c r="BW10" s="64">
        <f>Retailers!AT9</f>
        <v/>
      </c>
      <c r="BX10" s="64">
        <f>Retailers!AU9</f>
        <v/>
      </c>
      <c r="BY10" s="2" t="n"/>
      <c r="BZ10" s="64" t="n">
        <v>14</v>
      </c>
      <c r="CA10" s="64">
        <f>Results!#REF!</f>
        <v/>
      </c>
      <c r="CB10" s="64">
        <f>Results!#REF!</f>
        <v/>
      </c>
      <c r="CC10" s="64">
        <f>Results!#REF!</f>
        <v/>
      </c>
      <c r="CD10" s="2" t="n"/>
      <c r="CE10" s="64" t="n">
        <v>14</v>
      </c>
      <c r="CF10" s="64">
        <f>Retailers!BN9</f>
        <v/>
      </c>
      <c r="CG10" s="64">
        <f>Retailers!BO9</f>
        <v/>
      </c>
      <c r="CH10" s="64">
        <f>Retailers!BP9</f>
        <v/>
      </c>
      <c r="CI10" s="2" t="n"/>
      <c r="CJ10" s="64" t="n">
        <v>14</v>
      </c>
      <c r="CK10" s="64">
        <f>IF(BB10="ret=0",0,IF(BB10&gt;0,AR10+Distributors_Cap!$P$47-BB10,0))</f>
        <v/>
      </c>
      <c r="CL10" s="64">
        <f>IF(BC10="ret=0",0,IF(BC10&gt;0,AS10+Distributors_Cap!$P$47-BC10,0))</f>
        <v/>
      </c>
      <c r="CM10" s="64">
        <f>IF(BD10="ret=0",0,IF(BD10&gt;0,AT10+Distributors_Cap!$P$47-BD10,0))</f>
        <v/>
      </c>
      <c r="CQ10" s="2" t="n"/>
    </row>
    <row r="11">
      <c r="G11" s="64" t="n">
        <v>15</v>
      </c>
      <c r="H11" s="64" t="n">
        <v>50.825</v>
      </c>
      <c r="I11" s="64" t="n">
        <v>55.76</v>
      </c>
      <c r="J11" s="64" t="n">
        <v>46.177</v>
      </c>
      <c r="L11" s="64">
        <f>TRUNC((_xlfn.NORM.INV((RAND()),$K$7,$K$8)),0)</f>
        <v/>
      </c>
      <c r="M11" s="64" t="n">
        <v>15</v>
      </c>
      <c r="N11" s="5" t="n">
        <v>16</v>
      </c>
      <c r="O11" s="5" t="n">
        <v>24</v>
      </c>
      <c r="P11" s="5" t="n">
        <v>32</v>
      </c>
      <c r="R11" s="2">
        <f>IF(N11&gt;Demand!AU28,0,(IF(((2*(Retailers!AJ10+Distributors_Cap!$P$47)-Retailers_Cap!$BB$7)*(Demand!AU28-Retailers_Cap!N11))&lt;0,0,((IF(BB11&gt;2*(Retailers!AJ10+Distributors_Cap!$P$47),0,(IF(BG11=0,ROUNDUP((2*(Retailers!AJ10+Distributors_Cap!$P$47)-BB11)^0.5,0),ROUNDUP((2*(Retailers!AJ10+Distributors_Cap!$P$47)-BB11)^0.5,0)))))))))</f>
        <v/>
      </c>
      <c r="S11" s="2">
        <f>IF(O11&gt;Demand!AV28,0,(IF(((2*(Retailers!AK10+Distributors_Cap!$P$47)-Retailers_Cap!$BB$7)*(Demand!AV28-Retailers_Cap!O11))&lt;0,0,((IF(BC11&gt;2*(Retailers!AK10+Distributors_Cap!$P$47),0,(IF(BH11=0,ROUNDUP((2*(Retailers!AK10+Distributors_Cap!$P$47)-BC11)^0.5,0),ROUNDUP((2*(Retailers!AK10+Distributors_Cap!$P$47)-BC11)^0.5,0)))))))))</f>
        <v/>
      </c>
      <c r="T11" s="2">
        <f>IF(P11&gt;Demand!AW28,0,(IF(((2*(Retailers!AL10+Distributors_Cap!$P$47)-Retailers_Cap!$BB$7)*(Demand!AW28-Retailers_Cap!P11))&lt;0,0,((IF(BD11&gt;2*(Retailers!AL10+Distributors_Cap!$P$47),0,(IF(BI11=0,ROUNDUP((2*(Retailers!AL10+Distributors_Cap!$P$47)-BD11)^0.5,0),ROUNDUP((2*(Retailers!AL10+Distributors_Cap!$P$47)-BD11)^0.5,0)))))))))</f>
        <v/>
      </c>
      <c r="W11" s="64" t="n">
        <v>15</v>
      </c>
      <c r="X11" s="9" t="n">
        <v>11</v>
      </c>
      <c r="Y11" s="9" t="n">
        <v>0</v>
      </c>
      <c r="Z11" s="9" t="n">
        <v>0</v>
      </c>
      <c r="AB11" s="2">
        <f>ROUNDDOWN(LOG((X11+1),2),0)</f>
        <v/>
      </c>
      <c r="AC11" s="2">
        <f>ROUNDDOWN(LOG((Y11+1),2),0)</f>
        <v/>
      </c>
      <c r="AD11" s="2">
        <f>ROUNDDOWN(LOG((Z11+1),2),0)</f>
        <v/>
      </c>
      <c r="AG11" s="64" t="n">
        <v>15</v>
      </c>
      <c r="AH11" s="9" t="n">
        <v>3</v>
      </c>
      <c r="AI11" s="9" t="n">
        <v>0</v>
      </c>
      <c r="AJ11" s="9" t="n">
        <v>0</v>
      </c>
      <c r="AQ11" s="64" t="n">
        <v>15</v>
      </c>
      <c r="AR11" s="64" t="n">
        <v>50.825</v>
      </c>
      <c r="AS11" s="64" t="n">
        <v>55.76</v>
      </c>
      <c r="AT11" s="64" t="n">
        <v>46.177</v>
      </c>
      <c r="AV11" s="64" t="n">
        <v>15</v>
      </c>
      <c r="AW11" s="64">
        <f>Beginning_stock!AT39</f>
        <v/>
      </c>
      <c r="AX11" s="64">
        <f>Beginning_stock!AU39</f>
        <v/>
      </c>
      <c r="AY11" s="64">
        <f>Beginning_stock!AV39</f>
        <v/>
      </c>
      <c r="BA11" s="64" t="n">
        <v>15</v>
      </c>
      <c r="BB11" s="64">
        <f>IF(Demand!AU28=Retailers_Cap!N11,"ret=0",(AW11/(Demand!AU28-Retailers_Cap!N11)))</f>
        <v/>
      </c>
      <c r="BC11" s="64">
        <f>IF(Demand!AV28=Retailers_Cap!O11,"ret=0",(AX11/(Demand!AV28-Retailers_Cap!O11)))</f>
        <v/>
      </c>
      <c r="BD11" s="64">
        <f>IF(Demand!AW28=Retailers_Cap!P11,"ret=0",(AY11/(Demand!AW28-Retailers_Cap!P11)))</f>
        <v/>
      </c>
      <c r="BF11" s="64" t="n">
        <v>15</v>
      </c>
      <c r="BG11" s="2">
        <f>IF(Demand!AU28&lt;=Retailers_Cap!N11,"ret=0",(IF(BB11&lt;=AR11+Distributors_Cap!$P$47,1,0)))</f>
        <v/>
      </c>
      <c r="BH11" s="2">
        <f>IF(Demand!AV28&lt;=Retailers_Cap!O11,"ret=0",(IF(BC11&lt;=AS11+Distributors_Cap!$P$47,1,0)))</f>
        <v/>
      </c>
      <c r="BI11" s="2">
        <f>IF(Demand!AW28&lt;=Retailers_Cap!P11,"ret=0",(IF(BD11&lt;=AT11+Distributors_Cap!$P$47,1,0)))</f>
        <v/>
      </c>
      <c r="BK11" s="64" t="n">
        <v>15</v>
      </c>
      <c r="BL11" s="64">
        <f>Retailers!BH10</f>
        <v/>
      </c>
      <c r="BM11" s="64">
        <f>Retailers!BI10</f>
        <v/>
      </c>
      <c r="BN11" s="64">
        <f>Retailers!BJ10</f>
        <v/>
      </c>
      <c r="BP11" s="64" t="n">
        <v>15</v>
      </c>
      <c r="BQ11" s="64">
        <f>#REF!</f>
        <v/>
      </c>
      <c r="BR11" s="64">
        <f>#REF!</f>
        <v/>
      </c>
      <c r="BS11" s="64">
        <f>#REF!</f>
        <v/>
      </c>
      <c r="BU11" s="64" t="n">
        <v>15</v>
      </c>
      <c r="BV11" s="64">
        <f>Retailers!AS10</f>
        <v/>
      </c>
      <c r="BW11" s="64">
        <f>Retailers!AT10</f>
        <v/>
      </c>
      <c r="BX11" s="64">
        <f>Retailers!AU10</f>
        <v/>
      </c>
      <c r="BZ11" s="64" t="n">
        <v>15</v>
      </c>
      <c r="CA11" s="64">
        <f>Results!#REF!</f>
        <v/>
      </c>
      <c r="CB11" s="64">
        <f>Results!#REF!</f>
        <v/>
      </c>
      <c r="CC11" s="64">
        <f>Results!#REF!</f>
        <v/>
      </c>
      <c r="CE11" s="64" t="n">
        <v>15</v>
      </c>
      <c r="CF11" s="64">
        <f>Retailers!BN10</f>
        <v/>
      </c>
      <c r="CG11" s="64">
        <f>Retailers!BO10</f>
        <v/>
      </c>
      <c r="CH11" s="64">
        <f>Retailers!BP10</f>
        <v/>
      </c>
      <c r="CJ11" s="64" t="n">
        <v>15</v>
      </c>
      <c r="CK11" s="64">
        <f>IF(BB11="ret=0",0,IF(BB11&gt;0,AR11+Distributors_Cap!$P$47-BB11,0))</f>
        <v/>
      </c>
      <c r="CL11" s="64">
        <f>IF(BC11="ret=0",0,IF(BC11&gt;0,AS11+Distributors_Cap!$P$47-BC11,0))</f>
        <v/>
      </c>
      <c r="CM11" s="64">
        <f>IF(BD11="ret=0",0,IF(BD11&gt;0,AT11+Distributors_Cap!$P$47-BD11,0))</f>
        <v/>
      </c>
    </row>
    <row r="12">
      <c r="G12" s="64" t="n">
        <v>16</v>
      </c>
      <c r="H12" s="64" t="n">
        <v>62.647</v>
      </c>
      <c r="I12" s="64" t="n">
        <v>59.808</v>
      </c>
      <c r="J12" s="64" t="n">
        <v>73.167</v>
      </c>
      <c r="L12" s="64">
        <f>TRUNC((_xlfn.NORM.INV((RAND()),$K$7,$K$8)),0)</f>
        <v/>
      </c>
      <c r="M12" s="64" t="n">
        <v>16</v>
      </c>
      <c r="N12" s="5" t="n">
        <v>31</v>
      </c>
      <c r="O12" s="5" t="n">
        <v>38</v>
      </c>
      <c r="P12" s="5" t="n">
        <v>44</v>
      </c>
      <c r="R12" s="2">
        <f>IF(N12&gt;Demand!AU29,0,(IF(((2*(Retailers!AJ11+Distributors_Cap!$P$47)-Retailers_Cap!$BB$7)*(Demand!AU29-Retailers_Cap!N12))&lt;0,0,((IF(BB12&gt;2*(Retailers!AJ11+Distributors_Cap!$P$47),0,(IF(BG12=0,ROUNDUP((2*(Retailers!AJ11+Distributors_Cap!$P$47)-BB12)^0.5,0),ROUNDUP((2*(Retailers!AJ11+Distributors_Cap!$P$47)-BB12)^0.5,0)))))))))</f>
        <v/>
      </c>
      <c r="S12" s="2">
        <f>IF(O12&gt;Demand!AV29,0,(IF(((2*(Retailers!AK11+Distributors_Cap!$P$47)-Retailers_Cap!$BB$7)*(Demand!AV29-Retailers_Cap!O12))&lt;0,0,((IF(BC12&gt;2*(Retailers!AK11+Distributors_Cap!$P$47),0,(IF(BH12=0,ROUNDUP((2*(Retailers!AK11+Distributors_Cap!$P$47)-BC12)^0.5,0),ROUNDUP((2*(Retailers!AK11+Distributors_Cap!$P$47)-BC12)^0.5,0)))))))))</f>
        <v/>
      </c>
      <c r="T12" s="2">
        <f>IF(P12&gt;Demand!AW29,0,(IF(((2*(Retailers!AL11+Distributors_Cap!$P$47)-Retailers_Cap!$BB$7)*(Demand!AW29-Retailers_Cap!P12))&lt;0,0,((IF(BD12&gt;2*(Retailers!AL11+Distributors_Cap!$P$47),0,(IF(BI12=0,ROUNDUP((2*(Retailers!AL11+Distributors_Cap!$P$47)-BD12)^0.5,0),ROUNDUP((2*(Retailers!AL11+Distributors_Cap!$P$47)-BD12)^0.5,0)))))))))</f>
        <v/>
      </c>
      <c r="W12" s="64" t="n">
        <v>16</v>
      </c>
      <c r="X12" s="9" t="n">
        <v>0</v>
      </c>
      <c r="Y12" s="9" t="n">
        <v>0</v>
      </c>
      <c r="Z12" s="9" t="n">
        <v>0</v>
      </c>
      <c r="AB12" s="2">
        <f>ROUNDDOWN(LOG((X12+1),2),0)</f>
        <v/>
      </c>
      <c r="AC12" s="2">
        <f>ROUNDDOWN(LOG((Y12+1),2),0)</f>
        <v/>
      </c>
      <c r="AD12" s="2">
        <f>ROUNDDOWN(LOG((Z12+1),2),0)</f>
        <v/>
      </c>
      <c r="AG12" s="64" t="n">
        <v>16</v>
      </c>
      <c r="AH12" s="9" t="n">
        <v>0</v>
      </c>
      <c r="AI12" s="9" t="n">
        <v>0</v>
      </c>
      <c r="AJ12" s="9" t="n">
        <v>0</v>
      </c>
      <c r="AQ12" s="64" t="n">
        <v>16</v>
      </c>
      <c r="AR12" s="64" t="n">
        <v>62.647</v>
      </c>
      <c r="AS12" s="64" t="n">
        <v>59.808</v>
      </c>
      <c r="AT12" s="64" t="n">
        <v>73.167</v>
      </c>
      <c r="AV12" s="64" t="n">
        <v>16</v>
      </c>
      <c r="AW12" s="64">
        <f>Beginning_stock!AT40</f>
        <v/>
      </c>
      <c r="AX12" s="64">
        <f>Beginning_stock!AU40</f>
        <v/>
      </c>
      <c r="AY12" s="64">
        <f>Beginning_stock!AV40</f>
        <v/>
      </c>
      <c r="BA12" s="64" t="n">
        <v>16</v>
      </c>
      <c r="BB12" s="64">
        <f>IF(Demand!AU29=Retailers_Cap!N12,"ret=0",(AW12/(Demand!AU29-Retailers_Cap!N12)))</f>
        <v/>
      </c>
      <c r="BC12" s="64">
        <f>IF(Demand!AV29=Retailers_Cap!O12,"ret=0",(AX12/(Demand!AV29-Retailers_Cap!O12)))</f>
        <v/>
      </c>
      <c r="BD12" s="64">
        <f>IF(Demand!AW29=Retailers_Cap!P12,"ret=0",(AY12/(Demand!AW29-Retailers_Cap!P12)))</f>
        <v/>
      </c>
      <c r="BF12" s="64" t="n">
        <v>16</v>
      </c>
      <c r="BG12" s="2">
        <f>IF(Demand!AU29&lt;=Retailers_Cap!N12,"ret=0",(IF(BB12&lt;=AR12+Distributors_Cap!$P$47,1,0)))</f>
        <v/>
      </c>
      <c r="BH12" s="2">
        <f>IF(Demand!AV29&lt;=Retailers_Cap!O12,"ret=0",(IF(BC12&lt;=AS12+Distributors_Cap!$P$47,1,0)))</f>
        <v/>
      </c>
      <c r="BI12" s="2">
        <f>IF(Demand!AW29&lt;=Retailers_Cap!P12,"ret=0",(IF(BD12&lt;=AT12+Distributors_Cap!$P$47,1,0)))</f>
        <v/>
      </c>
      <c r="BK12" s="64" t="n">
        <v>16</v>
      </c>
      <c r="BL12" s="64">
        <f>Retailers!BH11</f>
        <v/>
      </c>
      <c r="BM12" s="64">
        <f>Retailers!BI11</f>
        <v/>
      </c>
      <c r="BN12" s="64">
        <f>Retailers!BJ11</f>
        <v/>
      </c>
      <c r="BP12" s="64" t="n">
        <v>16</v>
      </c>
      <c r="BQ12" s="64">
        <f>#REF!</f>
        <v/>
      </c>
      <c r="BR12" s="64">
        <f>#REF!</f>
        <v/>
      </c>
      <c r="BS12" s="64">
        <f>#REF!</f>
        <v/>
      </c>
      <c r="BU12" s="64" t="n">
        <v>16</v>
      </c>
      <c r="BV12" s="64">
        <f>Retailers!AS11</f>
        <v/>
      </c>
      <c r="BW12" s="64">
        <f>Retailers!AT11</f>
        <v/>
      </c>
      <c r="BX12" s="64">
        <f>Retailers!AU11</f>
        <v/>
      </c>
      <c r="BZ12" s="64" t="n">
        <v>16</v>
      </c>
      <c r="CA12" s="64">
        <f>Results!#REF!</f>
        <v/>
      </c>
      <c r="CB12" s="64">
        <f>Results!#REF!</f>
        <v/>
      </c>
      <c r="CC12" s="64">
        <f>Results!#REF!</f>
        <v/>
      </c>
      <c r="CE12" s="64" t="n">
        <v>16</v>
      </c>
      <c r="CF12" s="64">
        <f>Retailers!BN11</f>
        <v/>
      </c>
      <c r="CG12" s="64">
        <f>Retailers!BO11</f>
        <v/>
      </c>
      <c r="CH12" s="64">
        <f>Retailers!BP11</f>
        <v/>
      </c>
      <c r="CJ12" s="64" t="n">
        <v>16</v>
      </c>
      <c r="CK12" s="64">
        <f>IF(BB12="ret=0",0,IF(BB12&gt;0,AR12+Distributors_Cap!$P$47-BB12,0))</f>
        <v/>
      </c>
      <c r="CL12" s="64">
        <f>IF(BC12="ret=0",0,IF(BC12&gt;0,AS12+Distributors_Cap!$P$47-BC12,0))</f>
        <v/>
      </c>
      <c r="CM12" s="64">
        <f>IF(BD12="ret=0",0,IF(BD12&gt;0,AT12+Distributors_Cap!$P$47-BD12,0))</f>
        <v/>
      </c>
      <c r="CT12" s="64" t="inlineStr">
        <is>
          <t>máximo</t>
        </is>
      </c>
      <c r="CU12" s="64">
        <f>MAX(CU7:DI9)</f>
        <v/>
      </c>
    </row>
    <row r="13">
      <c r="G13" s="64" t="n">
        <v>17</v>
      </c>
      <c r="H13" s="64" t="n">
        <v>56.062</v>
      </c>
      <c r="I13" s="64" t="n">
        <v>46.061</v>
      </c>
      <c r="J13" s="64" t="n">
        <v>67.54900000000001</v>
      </c>
      <c r="L13" s="64">
        <f>TRUNC((_xlfn.NORM.INV((RAND()),$K$7,$K$8)),0)</f>
        <v/>
      </c>
      <c r="M13" s="64" t="n">
        <v>17</v>
      </c>
      <c r="N13" s="5" t="n">
        <v>21</v>
      </c>
      <c r="O13" s="5" t="n">
        <v>26</v>
      </c>
      <c r="P13" s="5" t="n">
        <v>23</v>
      </c>
      <c r="R13" s="2">
        <f>IF(N13&gt;Demand!AU30,0,(IF(((2*(Retailers!AJ12+Distributors_Cap!$P$47)-Retailers_Cap!$BB$7)*(Demand!AU30-Retailers_Cap!N13))&lt;0,0,((IF(BB13&gt;2*(Retailers!AJ12+Distributors_Cap!$P$47),0,(IF(BG13=0,ROUNDUP((2*(Retailers!AJ12+Distributors_Cap!$P$47)-BB13)^0.5,0),ROUNDUP((2*(Retailers!AJ12+Distributors_Cap!$P$47)-BB13)^0.5,0)))))))))</f>
        <v/>
      </c>
      <c r="S13" s="2">
        <f>IF(O13&gt;Demand!AV30,0,(IF(((2*(Retailers!AK12+Distributors_Cap!$P$47)-Retailers_Cap!$BB$7)*(Demand!AV30-Retailers_Cap!O13))&lt;0,0,((IF(BC13&gt;2*(Retailers!AK12+Distributors_Cap!$P$47),0,(IF(BH13=0,ROUNDUP((2*(Retailers!AK12+Distributors_Cap!$P$47)-BC13)^0.5,0),ROUNDUP((2*(Retailers!AK12+Distributors_Cap!$P$47)-BC13)^0.5,0)))))))))</f>
        <v/>
      </c>
      <c r="T13" s="2">
        <f>IF(P13&gt;Demand!AW30,0,(IF(((2*(Retailers!AL12+Distributors_Cap!$P$47)-Retailers_Cap!$BB$7)*(Demand!AW30-Retailers_Cap!P13))&lt;0,0,((IF(BD13&gt;2*(Retailers!AL12+Distributors_Cap!$P$47),0,(IF(BI13=0,ROUNDUP((2*(Retailers!AL12+Distributors_Cap!$P$47)-BD13)^0.5,0),ROUNDUP((2*(Retailers!AL12+Distributors_Cap!$P$47)-BD13)^0.5,0)))))))))</f>
        <v/>
      </c>
      <c r="W13" s="64" t="n">
        <v>17</v>
      </c>
      <c r="X13" s="9" t="n">
        <v>13</v>
      </c>
      <c r="Y13" s="9" t="n">
        <v>0</v>
      </c>
      <c r="Z13" s="9" t="n">
        <v>14</v>
      </c>
      <c r="AB13" s="2">
        <f>ROUNDDOWN(LOG((X13+1),2),0)</f>
        <v/>
      </c>
      <c r="AC13" s="2">
        <f>ROUNDDOWN(LOG((Y13+1),2),0)</f>
        <v/>
      </c>
      <c r="AD13" s="2">
        <f>ROUNDDOWN(LOG((Z13+1),2),0)</f>
        <v/>
      </c>
      <c r="AG13" s="64" t="n">
        <v>17</v>
      </c>
      <c r="AH13" s="9" t="n">
        <v>3</v>
      </c>
      <c r="AI13" s="9" t="n">
        <v>0</v>
      </c>
      <c r="AJ13" s="9" t="n">
        <v>3</v>
      </c>
      <c r="AQ13" s="64" t="n">
        <v>17</v>
      </c>
      <c r="AR13" s="64" t="n">
        <v>56.062</v>
      </c>
      <c r="AS13" s="64" t="n">
        <v>46.061</v>
      </c>
      <c r="AT13" s="64" t="n">
        <v>67.54900000000001</v>
      </c>
      <c r="AV13" s="64" t="n">
        <v>17</v>
      </c>
      <c r="AW13" s="64">
        <f>Beginning_stock!AT41</f>
        <v/>
      </c>
      <c r="AX13" s="64">
        <f>Beginning_stock!AU41</f>
        <v/>
      </c>
      <c r="AY13" s="64">
        <f>Beginning_stock!AV41</f>
        <v/>
      </c>
      <c r="BA13" s="64" t="n">
        <v>17</v>
      </c>
      <c r="BB13" s="64">
        <f>IF(Demand!AU30=Retailers_Cap!N13,"ret=0",(AW13/(Demand!AU30-Retailers_Cap!N13)))</f>
        <v/>
      </c>
      <c r="BC13" s="64">
        <f>IF(Demand!AV30=Retailers_Cap!O13,"ret=0",(AX13/(Demand!AV30-Retailers_Cap!O13)))</f>
        <v/>
      </c>
      <c r="BD13" s="64">
        <f>IF(Demand!AW30=Retailers_Cap!P13,"ret=0",(AY13/(Demand!AW30-Retailers_Cap!P13)))</f>
        <v/>
      </c>
      <c r="BF13" s="64" t="n">
        <v>17</v>
      </c>
      <c r="BG13" s="2">
        <f>IF(Demand!AU30&lt;=Retailers_Cap!N13,"ret=0",(IF(BB13&lt;=AR13+Distributors_Cap!$P$47,1,0)))</f>
        <v/>
      </c>
      <c r="BH13" s="2">
        <f>IF(Demand!AV30&lt;=Retailers_Cap!O13,"ret=0",(IF(BC13&lt;=AS13+Distributors_Cap!$P$47,1,0)))</f>
        <v/>
      </c>
      <c r="BI13" s="2">
        <f>IF(Demand!AW30&lt;=Retailers_Cap!P13,"ret=0",(IF(BD13&lt;=AT13+Distributors_Cap!$P$47,1,0)))</f>
        <v/>
      </c>
      <c r="BK13" s="64" t="n">
        <v>17</v>
      </c>
      <c r="BL13" s="64">
        <f>Retailers!BH12</f>
        <v/>
      </c>
      <c r="BM13" s="64">
        <f>Retailers!BI12</f>
        <v/>
      </c>
      <c r="BN13" s="64">
        <f>Retailers!BJ12</f>
        <v/>
      </c>
      <c r="BP13" s="64" t="n">
        <v>17</v>
      </c>
      <c r="BQ13" s="64">
        <f>#REF!</f>
        <v/>
      </c>
      <c r="BR13" s="64">
        <f>#REF!</f>
        <v/>
      </c>
      <c r="BS13" s="64">
        <f>#REF!</f>
        <v/>
      </c>
      <c r="BU13" s="64" t="n">
        <v>17</v>
      </c>
      <c r="BV13" s="64">
        <f>Retailers!AS12</f>
        <v/>
      </c>
      <c r="BW13" s="64">
        <f>Retailers!AT12</f>
        <v/>
      </c>
      <c r="BX13" s="64">
        <f>Retailers!AU12</f>
        <v/>
      </c>
      <c r="BZ13" s="64" t="n">
        <v>17</v>
      </c>
      <c r="CA13" s="64">
        <f>Results!#REF!</f>
        <v/>
      </c>
      <c r="CB13" s="64">
        <f>Results!#REF!</f>
        <v/>
      </c>
      <c r="CC13" s="64">
        <f>Results!#REF!</f>
        <v/>
      </c>
      <c r="CE13" s="64" t="n">
        <v>17</v>
      </c>
      <c r="CF13" s="64">
        <f>Retailers!BN12</f>
        <v/>
      </c>
      <c r="CG13" s="64">
        <f>Retailers!BO12</f>
        <v/>
      </c>
      <c r="CH13" s="64">
        <f>Retailers!BP12</f>
        <v/>
      </c>
      <c r="CJ13" s="64" t="n">
        <v>17</v>
      </c>
      <c r="CK13" s="64">
        <f>IF(BB13="ret=0",0,IF(BB13&gt;0,AR13+Distributors_Cap!$P$47-BB13,0))</f>
        <v/>
      </c>
      <c r="CL13" s="64">
        <f>IF(BC13="ret=0",0,IF(BC13&gt;0,AS13+Distributors_Cap!$P$47-BC13,0))</f>
        <v/>
      </c>
      <c r="CM13" s="64">
        <f>IF(BD13="ret=0",0,IF(BD13&gt;0,AT13+Distributors_Cap!$P$47-BD13,0))</f>
        <v/>
      </c>
    </row>
    <row r="14">
      <c r="G14" s="64" t="n">
        <v>18</v>
      </c>
      <c r="H14" s="64" t="n">
        <v>57.126</v>
      </c>
      <c r="I14" s="64" t="n">
        <v>60.068</v>
      </c>
      <c r="J14" s="64" t="n">
        <v>55.956</v>
      </c>
      <c r="L14" s="64">
        <f>TRUNC((_xlfn.NORM.INV((RAND()),$K$7,$K$8)),0)</f>
        <v/>
      </c>
      <c r="M14" s="64" t="n">
        <v>18</v>
      </c>
      <c r="N14" s="5" t="n">
        <v>33</v>
      </c>
      <c r="O14" s="5" t="n">
        <v>10</v>
      </c>
      <c r="P14" s="5" t="n">
        <v>21</v>
      </c>
      <c r="R14" s="2">
        <f>IF(N14&gt;Demand!AU31,0,(IF(((2*(Retailers!AJ13+Distributors_Cap!$P$47)-Retailers_Cap!$BB$7)*(Demand!AU31-Retailers_Cap!N14))&lt;0,0,((IF(BB14&gt;2*(Retailers!AJ13+Distributors_Cap!$P$47),0,(IF(BG14=0,ROUNDUP((2*(Retailers!AJ13+Distributors_Cap!$P$47)-BB14)^0.5,0),ROUNDUP((2*(Retailers!AJ13+Distributors_Cap!$P$47)-BB14)^0.5,0)))))))))</f>
        <v/>
      </c>
      <c r="S14" s="2">
        <f>IF(O14&gt;Demand!AV31,0,(IF(((2*(Retailers!AK13+Distributors_Cap!$P$47)-Retailers_Cap!$BB$7)*(Demand!AV31-Retailers_Cap!O14))&lt;0,0,((IF(BC14&gt;2*(Retailers!AK13+Distributors_Cap!$P$47),0,(IF(BH14=0,ROUNDUP((2*(Retailers!AK13+Distributors_Cap!$P$47)-BC14)^0.5,0),ROUNDUP((2*(Retailers!AK13+Distributors_Cap!$P$47)-BC14)^0.5,0)))))))))</f>
        <v/>
      </c>
      <c r="T14" s="2">
        <f>IF(P14&gt;Demand!AW31,0,(IF(((2*(Retailers!AL13+Distributors_Cap!$P$47)-Retailers_Cap!$BB$7)*(Demand!AW31-Retailers_Cap!P14))&lt;0,0,((IF(BD14&gt;2*(Retailers!AL13+Distributors_Cap!$P$47),0,(IF(BI14=0,ROUNDUP((2*(Retailers!AL13+Distributors_Cap!$P$47)-BD14)^0.5,0),ROUNDUP((2*(Retailers!AL13+Distributors_Cap!$P$47)-BD14)^0.5,0)))))))))</f>
        <v/>
      </c>
      <c r="W14" s="64" t="n">
        <v>18</v>
      </c>
      <c r="X14" s="9" t="n">
        <v>0</v>
      </c>
      <c r="Y14" s="9" t="n">
        <v>13</v>
      </c>
      <c r="Z14" s="9" t="n">
        <v>13</v>
      </c>
      <c r="AB14" s="2">
        <f>ROUNDDOWN(LOG((X14+1),2),0)</f>
        <v/>
      </c>
      <c r="AC14" s="2">
        <f>ROUNDDOWN(LOG((Y14+1),2),0)</f>
        <v/>
      </c>
      <c r="AD14" s="2">
        <f>ROUNDDOWN(LOG((Z14+1),2),0)</f>
        <v/>
      </c>
      <c r="AG14" s="64" t="n">
        <v>18</v>
      </c>
      <c r="AH14" s="9" t="n">
        <v>0</v>
      </c>
      <c r="AI14" s="9" t="n">
        <v>3</v>
      </c>
      <c r="AJ14" s="9" t="n">
        <v>3</v>
      </c>
      <c r="AQ14" s="64" t="n">
        <v>18</v>
      </c>
      <c r="AR14" s="64" t="n">
        <v>57.126</v>
      </c>
      <c r="AS14" s="64" t="n">
        <v>60.068</v>
      </c>
      <c r="AT14" s="64" t="n">
        <v>55.956</v>
      </c>
      <c r="AV14" s="64" t="n">
        <v>18</v>
      </c>
      <c r="AW14" s="64">
        <f>Beginning_stock!AT42</f>
        <v/>
      </c>
      <c r="AX14" s="64">
        <f>Beginning_stock!AU42</f>
        <v/>
      </c>
      <c r="AY14" s="64">
        <f>Beginning_stock!AV42</f>
        <v/>
      </c>
      <c r="BA14" s="64" t="n">
        <v>18</v>
      </c>
      <c r="BB14" s="64">
        <f>IF(Demand!AU31=Retailers_Cap!N14,"ret=0",(AW14/(Demand!AU31-Retailers_Cap!N14)))</f>
        <v/>
      </c>
      <c r="BC14" s="64">
        <f>IF(Demand!AV31=Retailers_Cap!O14,"ret=0",(AX14/(Demand!AV31-Retailers_Cap!O14)))</f>
        <v/>
      </c>
      <c r="BD14" s="64">
        <f>IF(Demand!AW31=Retailers_Cap!P14,"ret=0",(AY14/(Demand!AW31-Retailers_Cap!P14)))</f>
        <v/>
      </c>
      <c r="BF14" s="64" t="n">
        <v>18</v>
      </c>
      <c r="BG14" s="2">
        <f>IF(Demand!AU31&lt;=Retailers_Cap!N14,"ret=0",(IF(BB14&lt;=AR14+Distributors_Cap!$P$47,1,0)))</f>
        <v/>
      </c>
      <c r="BH14" s="2">
        <f>IF(Demand!AV31&lt;=Retailers_Cap!O14,"ret=0",(IF(BC14&lt;=AS14+Distributors_Cap!$P$47,1,0)))</f>
        <v/>
      </c>
      <c r="BI14" s="2">
        <f>IF(Demand!AW31&lt;=Retailers_Cap!P14,"ret=0",(IF(BD14&lt;=AT14+Distributors_Cap!$P$47,1,0)))</f>
        <v/>
      </c>
      <c r="BK14" s="64" t="n">
        <v>18</v>
      </c>
      <c r="BL14" s="64">
        <f>Retailers!BH13</f>
        <v/>
      </c>
      <c r="BM14" s="64">
        <f>Retailers!BI13</f>
        <v/>
      </c>
      <c r="BN14" s="64">
        <f>Retailers!BJ13</f>
        <v/>
      </c>
      <c r="BP14" s="64" t="n">
        <v>18</v>
      </c>
      <c r="BQ14" s="64">
        <f>#REF!</f>
        <v/>
      </c>
      <c r="BR14" s="64">
        <f>#REF!</f>
        <v/>
      </c>
      <c r="BS14" s="64">
        <f>#REF!</f>
        <v/>
      </c>
      <c r="BU14" s="64" t="n">
        <v>18</v>
      </c>
      <c r="BV14" s="64">
        <f>Retailers!AS13</f>
        <v/>
      </c>
      <c r="BW14" s="64">
        <f>Retailers!AT13</f>
        <v/>
      </c>
      <c r="BX14" s="64">
        <f>Retailers!AU13</f>
        <v/>
      </c>
      <c r="BZ14" s="64" t="n">
        <v>18</v>
      </c>
      <c r="CA14" s="64">
        <f>Results!#REF!</f>
        <v/>
      </c>
      <c r="CB14" s="64">
        <f>Results!#REF!</f>
        <v/>
      </c>
      <c r="CC14" s="64">
        <f>Results!#REF!</f>
        <v/>
      </c>
      <c r="CE14" s="64" t="n">
        <v>18</v>
      </c>
      <c r="CF14" s="64">
        <f>Retailers!BN13</f>
        <v/>
      </c>
      <c r="CG14" s="64">
        <f>Retailers!BO13</f>
        <v/>
      </c>
      <c r="CH14" s="64">
        <f>Retailers!BP13</f>
        <v/>
      </c>
      <c r="CJ14" s="64" t="n">
        <v>18</v>
      </c>
      <c r="CK14" s="64">
        <f>IF(BB14="ret=0",0,IF(BB14&gt;0,AR14+Distributors_Cap!$P$47-BB14,0))</f>
        <v/>
      </c>
      <c r="CL14" s="64">
        <f>IF(BC14="ret=0",0,IF(BC14&gt;0,AS14+Distributors_Cap!$P$47-BC14,0))</f>
        <v/>
      </c>
      <c r="CM14" s="64">
        <f>IF(BD14="ret=0",0,IF(BD14&gt;0,AT14+Distributors_Cap!$P$47-BD14,0))</f>
        <v/>
      </c>
      <c r="CU14" s="64" t="n">
        <v>16</v>
      </c>
      <c r="CV14" s="64" t="n">
        <v>17</v>
      </c>
      <c r="CW14" s="64" t="n">
        <v>18</v>
      </c>
    </row>
    <row r="15">
      <c r="G15" s="64" t="n">
        <v>19</v>
      </c>
      <c r="H15" s="64" t="n">
        <v>70.82899999999999</v>
      </c>
      <c r="I15" s="64" t="n">
        <v>50.286</v>
      </c>
      <c r="J15" s="64" t="n">
        <v>59.843</v>
      </c>
      <c r="L15" s="64">
        <f>TRUNC((_xlfn.NORM.INV((RAND()),$K$7,$K$8)),0)</f>
        <v/>
      </c>
      <c r="M15" s="64" t="n">
        <v>19</v>
      </c>
      <c r="N15" s="5" t="n">
        <v>34</v>
      </c>
      <c r="O15" s="5" t="n">
        <v>33</v>
      </c>
      <c r="P15" s="5" t="n">
        <v>29</v>
      </c>
      <c r="R15" s="2">
        <f>IF(N15&gt;Demand!AU32,0,(IF(((2*(Retailers!AJ14+Distributors_Cap!$P$47)-Retailers_Cap!$BB$7)*(Demand!AU32-Retailers_Cap!N15))&lt;0,0,((IF(BB15&gt;2*(Retailers!AJ14+Distributors_Cap!$P$47),0,(IF(BG15=0,ROUNDUP((2*(Retailers!AJ14+Distributors_Cap!$P$47)-BB15)^0.5,0),ROUNDUP((2*(Retailers!AJ14+Distributors_Cap!$P$47)-BB15)^0.5,0)))))))))</f>
        <v/>
      </c>
      <c r="S15" s="2">
        <f>IF(O15&gt;Demand!AV32,0,(IF(((2*(Retailers!AK14+Distributors_Cap!$P$47)-Retailers_Cap!$BB$7)*(Demand!AV32-Retailers_Cap!O15))&lt;0,0,((IF(BC15&gt;2*(Retailers!AK14+Distributors_Cap!$P$47),0,(IF(BH15=0,ROUNDUP((2*(Retailers!AK14+Distributors_Cap!$P$47)-BC15)^0.5,0),ROUNDUP((2*(Retailers!AK14+Distributors_Cap!$P$47)-BC15)^0.5,0)))))))))</f>
        <v/>
      </c>
      <c r="T15" s="2">
        <f>IF(P15&gt;Demand!AW32,0,(IF(((2*(Retailers!AL14+Distributors_Cap!$P$47)-Retailers_Cap!$BB$7)*(Demand!AW32-Retailers_Cap!P15))&lt;0,0,((IF(BD15&gt;2*(Retailers!AL14+Distributors_Cap!$P$47),0,(IF(BI15=0,ROUNDUP((2*(Retailers!AL14+Distributors_Cap!$P$47)-BD15)^0.5,0),ROUNDUP((2*(Retailers!AL14+Distributors_Cap!$P$47)-BD15)^0.5,0)))))))))</f>
        <v/>
      </c>
      <c r="W15" s="64" t="n">
        <v>19</v>
      </c>
      <c r="X15" s="9" t="n">
        <v>0</v>
      </c>
      <c r="Y15" s="9" t="n">
        <v>0</v>
      </c>
      <c r="Z15" s="9" t="n">
        <v>0</v>
      </c>
      <c r="AB15" s="2">
        <f>ROUNDDOWN(LOG((X15+1),2),0)</f>
        <v/>
      </c>
      <c r="AC15" s="2">
        <f>ROUNDDOWN(LOG((Y15+1),2),0)</f>
        <v/>
      </c>
      <c r="AD15" s="2">
        <f>ROUNDDOWN(LOG((Z15+1),2),0)</f>
        <v/>
      </c>
      <c r="AG15" s="64" t="n">
        <v>19</v>
      </c>
      <c r="AH15" s="9" t="n">
        <v>0</v>
      </c>
      <c r="AI15" s="9" t="n">
        <v>0</v>
      </c>
      <c r="AJ15" s="9" t="n">
        <v>0</v>
      </c>
      <c r="AQ15" s="64" t="n">
        <v>19</v>
      </c>
      <c r="AR15" s="64" t="n">
        <v>70.82899999999999</v>
      </c>
      <c r="AS15" s="64" t="n">
        <v>50.286</v>
      </c>
      <c r="AT15" s="64" t="n">
        <v>59.843</v>
      </c>
      <c r="AV15" s="64" t="n">
        <v>19</v>
      </c>
      <c r="AW15" s="64">
        <f>Beginning_stock!AT43</f>
        <v/>
      </c>
      <c r="AX15" s="64">
        <f>Beginning_stock!AU43</f>
        <v/>
      </c>
      <c r="AY15" s="64">
        <f>Beginning_stock!AV43</f>
        <v/>
      </c>
      <c r="BA15" s="64" t="n">
        <v>19</v>
      </c>
      <c r="BB15" s="64">
        <f>IF(Demand!AU32=Retailers_Cap!N15,"ret=0",(AW15/(Demand!AU32-Retailers_Cap!N15)))</f>
        <v/>
      </c>
      <c r="BC15" s="64">
        <f>IF(Demand!AV32=Retailers_Cap!O15,"ret=0",(AX15/(Demand!AV32-Retailers_Cap!O15)))</f>
        <v/>
      </c>
      <c r="BD15" s="64">
        <f>IF(Demand!AW32=Retailers_Cap!P15,"ret=0",(AY15/(Demand!AW32-Retailers_Cap!P15)))</f>
        <v/>
      </c>
      <c r="BF15" s="64" t="n">
        <v>19</v>
      </c>
      <c r="BG15" s="2">
        <f>IF(Demand!AU32&lt;=Retailers_Cap!N15,"ret=0",(IF(BB15&lt;=AR15+Distributors_Cap!$P$47,1,0)))</f>
        <v/>
      </c>
      <c r="BH15" s="2">
        <f>IF(Demand!AV32&lt;=Retailers_Cap!O15,"ret=0",(IF(BC15&lt;=AS15+Distributors_Cap!$P$47,1,0)))</f>
        <v/>
      </c>
      <c r="BI15" s="2">
        <f>IF(Demand!AW32&lt;=Retailers_Cap!P15,"ret=0",(IF(BD15&lt;=AT15+Distributors_Cap!$P$47,1,0)))</f>
        <v/>
      </c>
      <c r="BK15" s="64" t="n">
        <v>19</v>
      </c>
      <c r="BL15" s="64">
        <f>Retailers!BH14</f>
        <v/>
      </c>
      <c r="BM15" s="64">
        <f>Retailers!BI14</f>
        <v/>
      </c>
      <c r="BN15" s="64">
        <f>Retailers!BJ14</f>
        <v/>
      </c>
      <c r="BP15" s="64" t="n">
        <v>19</v>
      </c>
      <c r="BQ15" s="64">
        <f>#REF!</f>
        <v/>
      </c>
      <c r="BR15" s="64">
        <f>#REF!</f>
        <v/>
      </c>
      <c r="BS15" s="64">
        <f>#REF!</f>
        <v/>
      </c>
      <c r="BU15" s="64" t="n">
        <v>19</v>
      </c>
      <c r="BV15" s="64">
        <f>Retailers!AS14</f>
        <v/>
      </c>
      <c r="BW15" s="64">
        <f>Retailers!AT14</f>
        <v/>
      </c>
      <c r="BX15" s="64">
        <f>Retailers!AU14</f>
        <v/>
      </c>
      <c r="BZ15" s="64" t="n">
        <v>19</v>
      </c>
      <c r="CA15" s="64">
        <f>Results!#REF!</f>
        <v/>
      </c>
      <c r="CB15" s="64">
        <f>Results!#REF!</f>
        <v/>
      </c>
      <c r="CC15" s="64">
        <f>Results!#REF!</f>
        <v/>
      </c>
      <c r="CE15" s="64" t="n">
        <v>19</v>
      </c>
      <c r="CF15" s="64">
        <f>Retailers!BN14</f>
        <v/>
      </c>
      <c r="CG15" s="64">
        <f>Retailers!BO14</f>
        <v/>
      </c>
      <c r="CH15" s="64">
        <f>Retailers!BP14</f>
        <v/>
      </c>
      <c r="CJ15" s="64" t="n">
        <v>19</v>
      </c>
      <c r="CK15" s="64">
        <f>IF(BB15="ret=0",0,IF(BB15&gt;0,AR15+Distributors_Cap!$P$47-BB15,0))</f>
        <v/>
      </c>
      <c r="CL15" s="64">
        <f>IF(BC15="ret=0",0,IF(BC15&gt;0,AS15+Distributors_Cap!$P$47-BC15,0))</f>
        <v/>
      </c>
      <c r="CM15" s="64">
        <f>IF(BD15="ret=0",0,IF(BD15&gt;0,AT15+Distributors_Cap!$P$47-BD15,0))</f>
        <v/>
      </c>
      <c r="CS15" s="64" t="inlineStr">
        <is>
          <t>lambdaf</t>
        </is>
      </c>
      <c r="CT15" s="64" t="n">
        <v>4</v>
      </c>
      <c r="CU15" s="64" t="n">
        <v>4.903</v>
      </c>
      <c r="CV15" s="64" t="n">
        <v>6.218</v>
      </c>
      <c r="CW15" s="64" t="n">
        <v>4.744</v>
      </c>
    </row>
    <row r="16">
      <c r="G16" s="64" t="n">
        <v>20</v>
      </c>
      <c r="H16" s="64" t="n">
        <v>58.951</v>
      </c>
      <c r="I16" s="64" t="n">
        <v>60.268</v>
      </c>
      <c r="J16" s="64" t="n">
        <v>56.498</v>
      </c>
      <c r="L16" s="64">
        <f>TRUNC((_xlfn.NORM.INV((RAND()),$K$7,$K$8)),0)</f>
        <v/>
      </c>
      <c r="M16" s="64" t="n">
        <v>20</v>
      </c>
      <c r="N16" s="5" t="n">
        <v>22</v>
      </c>
      <c r="O16" s="5" t="n">
        <v>38</v>
      </c>
      <c r="P16" s="5" t="n">
        <v>32</v>
      </c>
      <c r="R16" s="2">
        <f>IF(N16&gt;Demand!AU33,0,(IF(((2*(Retailers!AJ15+Distributors_Cap!$P$47)-Retailers_Cap!$BB$7)*(Demand!AU33-Retailers_Cap!N16))&lt;0,0,((IF(BB16&gt;2*(Retailers!AJ15+Distributors_Cap!$P$47),0,(IF(BG16=0,ROUNDUP((2*(Retailers!AJ15+Distributors_Cap!$P$47)-BB16)^0.5,0),ROUNDUP((2*(Retailers!AJ15+Distributors_Cap!$P$47)-BB16)^0.5,0)))))))))</f>
        <v/>
      </c>
      <c r="S16" s="2">
        <f>IF(O16&gt;Demand!AV33,0,(IF(((2*(Retailers!AK15+Distributors_Cap!$P$47)-Retailers_Cap!$BB$7)*(Demand!AV33-Retailers_Cap!O16))&lt;0,0,((IF(BC16&gt;2*(Retailers!AK15+Distributors_Cap!$P$47),0,(IF(BH16=0,ROUNDUP((2*(Retailers!AK15+Distributors_Cap!$P$47)-BC16)^0.5,0),ROUNDUP((2*(Retailers!AK15+Distributors_Cap!$P$47)-BC16)^0.5,0)))))))))</f>
        <v/>
      </c>
      <c r="T16" s="2">
        <f>IF(P16&gt;Demand!AW33,0,(IF(((2*(Retailers!AL15+Distributors_Cap!$P$47)-Retailers_Cap!$BB$7)*(Demand!AW33-Retailers_Cap!P16))&lt;0,0,((IF(BD16&gt;2*(Retailers!AL15+Distributors_Cap!$P$47),0,(IF(BI16=0,ROUNDUP((2*(Retailers!AL15+Distributors_Cap!$P$47)-BD16)^0.5,0),ROUNDUP((2*(Retailers!AL15+Distributors_Cap!$P$47)-BD16)^0.5,0)))))))))</f>
        <v/>
      </c>
      <c r="W16" s="64" t="n">
        <v>20</v>
      </c>
      <c r="X16" s="9" t="n">
        <v>11</v>
      </c>
      <c r="Y16" s="9" t="n">
        <v>0</v>
      </c>
      <c r="Z16" s="9" t="n">
        <v>0</v>
      </c>
      <c r="AB16" s="2">
        <f>ROUNDDOWN(LOG((X16+1),2),0)</f>
        <v/>
      </c>
      <c r="AC16" s="2">
        <f>ROUNDDOWN(LOG((Y16+1),2),0)</f>
        <v/>
      </c>
      <c r="AD16" s="2">
        <f>ROUNDDOWN(LOG((Z16+1),2),0)</f>
        <v/>
      </c>
      <c r="AG16" s="64" t="n">
        <v>20</v>
      </c>
      <c r="AH16" s="9" t="n">
        <v>3</v>
      </c>
      <c r="AI16" s="9" t="n">
        <v>0</v>
      </c>
      <c r="AJ16" s="9" t="n">
        <v>0</v>
      </c>
      <c r="AQ16" s="64" t="n">
        <v>20</v>
      </c>
      <c r="AR16" s="64" t="n">
        <v>58.951</v>
      </c>
      <c r="AS16" s="64" t="n">
        <v>60.268</v>
      </c>
      <c r="AT16" s="64" t="n">
        <v>56.498</v>
      </c>
      <c r="AV16" s="64" t="n">
        <v>20</v>
      </c>
      <c r="AW16" s="64">
        <f>Beginning_stock!AT44</f>
        <v/>
      </c>
      <c r="AX16" s="64">
        <f>Beginning_stock!AU44</f>
        <v/>
      </c>
      <c r="AY16" s="64">
        <f>Beginning_stock!AV44</f>
        <v/>
      </c>
      <c r="BA16" s="64" t="n">
        <v>20</v>
      </c>
      <c r="BB16" s="64">
        <f>IF(Demand!AU33=Retailers_Cap!N16,"ret=0",(AW16/(Demand!AU33-Retailers_Cap!N16)))</f>
        <v/>
      </c>
      <c r="BC16" s="64">
        <f>IF(Demand!AV33=Retailers_Cap!O16,"ret=0",(AX16/(Demand!AV33-Retailers_Cap!O16)))</f>
        <v/>
      </c>
      <c r="BD16" s="64">
        <f>IF(Demand!AW33=Retailers_Cap!P16,"ret=0",(AY16/(Demand!AW33-Retailers_Cap!P16)))</f>
        <v/>
      </c>
      <c r="BF16" s="64" t="n">
        <v>20</v>
      </c>
      <c r="BG16" s="2">
        <f>IF(Demand!AU33&lt;=Retailers_Cap!N16,"ret=0",(IF(BB16&lt;=AR16+Distributors_Cap!$P$47,1,0)))</f>
        <v/>
      </c>
      <c r="BH16" s="2">
        <f>IF(Demand!AV33&lt;=Retailers_Cap!O16,"ret=0",(IF(BC16&lt;=AS16+Distributors_Cap!$P$47,1,0)))</f>
        <v/>
      </c>
      <c r="BI16" s="2">
        <f>IF(Demand!AW33&lt;=Retailers_Cap!P16,"ret=0",(IF(BD16&lt;=AT16+Distributors_Cap!$P$47,1,0)))</f>
        <v/>
      </c>
      <c r="BK16" s="64" t="n">
        <v>20</v>
      </c>
      <c r="BL16" s="64">
        <f>Retailers!BH15</f>
        <v/>
      </c>
      <c r="BM16" s="64">
        <f>Retailers!BI15</f>
        <v/>
      </c>
      <c r="BN16" s="64">
        <f>Retailers!BJ15</f>
        <v/>
      </c>
      <c r="BP16" s="64" t="n">
        <v>20</v>
      </c>
      <c r="BQ16" s="64">
        <f>#REF!</f>
        <v/>
      </c>
      <c r="BR16" s="64">
        <f>#REF!</f>
        <v/>
      </c>
      <c r="BS16" s="64">
        <f>#REF!</f>
        <v/>
      </c>
      <c r="BU16" s="64" t="n">
        <v>20</v>
      </c>
      <c r="BV16" s="64">
        <f>Retailers!AS15</f>
        <v/>
      </c>
      <c r="BW16" s="64">
        <f>Retailers!AT15</f>
        <v/>
      </c>
      <c r="BX16" s="64">
        <f>Retailers!AU15</f>
        <v/>
      </c>
      <c r="BZ16" s="64" t="n">
        <v>20</v>
      </c>
      <c r="CA16" s="64">
        <f>Results!#REF!</f>
        <v/>
      </c>
      <c r="CB16" s="64">
        <f>Results!#REF!</f>
        <v/>
      </c>
      <c r="CC16" s="64">
        <f>Results!#REF!</f>
        <v/>
      </c>
      <c r="CE16" s="64" t="n">
        <v>20</v>
      </c>
      <c r="CF16" s="64">
        <f>Retailers!BN15</f>
        <v/>
      </c>
      <c r="CG16" s="64">
        <f>Retailers!BO15</f>
        <v/>
      </c>
      <c r="CH16" s="64">
        <f>Retailers!BP15</f>
        <v/>
      </c>
      <c r="CJ16" s="64" t="n">
        <v>20</v>
      </c>
      <c r="CK16" s="64">
        <f>IF(BB16="ret=0",0,IF(BB16&gt;0,AR16+Distributors_Cap!$P$47-BB16,0))</f>
        <v/>
      </c>
      <c r="CL16" s="64">
        <f>IF(BC16="ret=0",0,IF(BC16&gt;0,AS16+Distributors_Cap!$P$47-BC16,0))</f>
        <v/>
      </c>
      <c r="CM16" s="64">
        <f>IF(BD16="ret=0",0,IF(BD16&gt;0,AT16+Distributors_Cap!$P$47-BD16,0))</f>
        <v/>
      </c>
      <c r="CT16" s="64" t="n">
        <v>5</v>
      </c>
      <c r="CU16" s="64" t="n">
        <v>4.871</v>
      </c>
      <c r="CV16" s="64" t="n">
        <v>4.236</v>
      </c>
      <c r="CW16" s="64" t="n">
        <v>6.462</v>
      </c>
    </row>
    <row r="17">
      <c r="G17" s="64" t="n">
        <v>21</v>
      </c>
      <c r="H17" s="64" t="n">
        <v>36.203</v>
      </c>
      <c r="I17" s="64" t="n">
        <v>68.202</v>
      </c>
      <c r="J17" s="64" t="n">
        <v>69.22799999999999</v>
      </c>
      <c r="L17" s="64">
        <f>TRUNC((_xlfn.NORM.INV((RAND()),$K$7,$K$8)),0)</f>
        <v/>
      </c>
      <c r="M17" s="64" t="n">
        <v>21</v>
      </c>
      <c r="N17" s="5" t="n">
        <v>28</v>
      </c>
      <c r="O17" s="5" t="n">
        <v>28</v>
      </c>
      <c r="P17" s="5" t="n">
        <v>32</v>
      </c>
      <c r="R17" s="2">
        <f>IF(N17&gt;Demand!AU34,0,(IF(((2*(Retailers!AJ16+Distributors_Cap!$P$47)-Retailers_Cap!$BB$7)*(Demand!AU34-Retailers_Cap!N17))&lt;0,0,((IF(BB17&gt;2*(Retailers!AJ16+Distributors_Cap!$P$47),0,(IF(BG17=0,ROUNDUP((2*(Retailers!AJ16+Distributors_Cap!$P$47)-BB17)^0.5,0),ROUNDUP((2*(Retailers!AJ16+Distributors_Cap!$P$47)-BB17)^0.5,0)))))))))</f>
        <v/>
      </c>
      <c r="S17" s="2">
        <f>IF(O17&gt;Demand!AV34,0,(IF(((2*(Retailers!AK16+Distributors_Cap!$P$47)-Retailers_Cap!$BB$7)*(Demand!AV34-Retailers_Cap!O17))&lt;0,0,((IF(BC17&gt;2*(Retailers!AK16+Distributors_Cap!$P$47),0,(IF(BH17=0,ROUNDUP((2*(Retailers!AK16+Distributors_Cap!$P$47)-BC17)^0.5,0),ROUNDUP((2*(Retailers!AK16+Distributors_Cap!$P$47)-BC17)^0.5,0)))))))))</f>
        <v/>
      </c>
      <c r="T17" s="2">
        <f>IF(P17&gt;Demand!AW34,0,(IF(((2*(Retailers!AL16+Distributors_Cap!$P$47)-Retailers_Cap!$BB$7)*(Demand!AW34-Retailers_Cap!P17))&lt;0,0,((IF(BD17&gt;2*(Retailers!AL16+Distributors_Cap!$P$47),0,(IF(BI17=0,ROUNDUP((2*(Retailers!AL16+Distributors_Cap!$P$47)-BD17)^0.5,0),ROUNDUP((2*(Retailers!AL16+Distributors_Cap!$P$47)-BD17)^0.5,0)))))))))</f>
        <v/>
      </c>
      <c r="W17" s="64" t="n">
        <v>21</v>
      </c>
      <c r="X17" s="9" t="n">
        <v>0</v>
      </c>
      <c r="Y17" s="9" t="n">
        <v>0</v>
      </c>
      <c r="Z17" s="9" t="n">
        <v>0</v>
      </c>
      <c r="AB17" s="2">
        <f>ROUNDDOWN(LOG((X17+1),2),0)</f>
        <v/>
      </c>
      <c r="AC17" s="2">
        <f>ROUNDDOWN(LOG((Y17+1),2),0)</f>
        <v/>
      </c>
      <c r="AD17" s="2">
        <f>ROUNDDOWN(LOG((Z17+1),2),0)</f>
        <v/>
      </c>
      <c r="AG17" s="64" t="n">
        <v>21</v>
      </c>
      <c r="AH17" s="9" t="n">
        <v>0</v>
      </c>
      <c r="AI17" s="9" t="n">
        <v>0</v>
      </c>
      <c r="AJ17" s="9" t="n">
        <v>0</v>
      </c>
      <c r="AQ17" s="64" t="n">
        <v>21</v>
      </c>
      <c r="AR17" s="64" t="n">
        <v>36.203</v>
      </c>
      <c r="AS17" s="64" t="n">
        <v>68.202</v>
      </c>
      <c r="AT17" s="64" t="n">
        <v>69.22799999999999</v>
      </c>
      <c r="AV17" s="64" t="n">
        <v>21</v>
      </c>
      <c r="AW17" s="64">
        <f>Beginning_stock!AT45</f>
        <v/>
      </c>
      <c r="AX17" s="64">
        <f>Beginning_stock!AU45</f>
        <v/>
      </c>
      <c r="AY17" s="64">
        <f>Beginning_stock!AV45</f>
        <v/>
      </c>
      <c r="BA17" s="64" t="n">
        <v>21</v>
      </c>
      <c r="BB17" s="64">
        <f>IF(Demand!AU34=Retailers_Cap!N17,"ret=0",(AW17/(Demand!AU34-Retailers_Cap!N17)))</f>
        <v/>
      </c>
      <c r="BC17" s="64">
        <f>IF(Demand!AV34=Retailers_Cap!O17,"ret=0",(AX17/(Demand!AV34-Retailers_Cap!O17)))</f>
        <v/>
      </c>
      <c r="BD17" s="64">
        <f>IF(Demand!AW34=Retailers_Cap!P17,"ret=0",(AY17/(Demand!AW34-Retailers_Cap!P17)))</f>
        <v/>
      </c>
      <c r="BF17" s="64" t="n">
        <v>21</v>
      </c>
      <c r="BG17" s="2">
        <f>IF(Demand!AU34&lt;=Retailers_Cap!N17,"ret=0",(IF(BB17&lt;=AR17+Distributors_Cap!$P$47,1,0)))</f>
        <v/>
      </c>
      <c r="BH17" s="2">
        <f>IF(Demand!AV34&lt;=Retailers_Cap!O17,"ret=0",(IF(BC17&lt;=AS17+Distributors_Cap!$P$47,1,0)))</f>
        <v/>
      </c>
      <c r="BI17" s="2">
        <f>IF(Demand!AW34&lt;=Retailers_Cap!P17,"ret=0",(IF(BD17&lt;=AT17+Distributors_Cap!$P$47,1,0)))</f>
        <v/>
      </c>
      <c r="BK17" s="64" t="n">
        <v>21</v>
      </c>
      <c r="BL17" s="64">
        <f>Retailers!BH16</f>
        <v/>
      </c>
      <c r="BM17" s="64">
        <f>Retailers!BI16</f>
        <v/>
      </c>
      <c r="BN17" s="64">
        <f>Retailers!BJ16</f>
        <v/>
      </c>
      <c r="BP17" s="64" t="n">
        <v>21</v>
      </c>
      <c r="BQ17" s="64">
        <f>#REF!</f>
        <v/>
      </c>
      <c r="BR17" s="64">
        <f>#REF!</f>
        <v/>
      </c>
      <c r="BS17" s="64">
        <f>#REF!</f>
        <v/>
      </c>
      <c r="BU17" s="64" t="n">
        <v>21</v>
      </c>
      <c r="BV17" s="64">
        <f>Retailers!AS16</f>
        <v/>
      </c>
      <c r="BW17" s="64">
        <f>Retailers!AT16</f>
        <v/>
      </c>
      <c r="BX17" s="64">
        <f>Retailers!AU16</f>
        <v/>
      </c>
      <c r="BZ17" s="64" t="n">
        <v>21</v>
      </c>
      <c r="CA17" s="64">
        <f>Results!#REF!</f>
        <v/>
      </c>
      <c r="CB17" s="64">
        <f>Results!#REF!</f>
        <v/>
      </c>
      <c r="CC17" s="64">
        <f>Results!#REF!</f>
        <v/>
      </c>
      <c r="CE17" s="64" t="n">
        <v>21</v>
      </c>
      <c r="CF17" s="64">
        <f>Retailers!BN16</f>
        <v/>
      </c>
      <c r="CG17" s="64">
        <f>Retailers!BO16</f>
        <v/>
      </c>
      <c r="CH17" s="64">
        <f>Retailers!BP16</f>
        <v/>
      </c>
      <c r="CJ17" s="64" t="n">
        <v>21</v>
      </c>
      <c r="CK17" s="64">
        <f>IF(BB17="ret=0",0,IF(BB17&gt;0,AR17+Distributors_Cap!$P$47-BB17,0))</f>
        <v/>
      </c>
      <c r="CL17" s="64">
        <f>IF(BC17="ret=0",0,IF(BC17&gt;0,AS17+Distributors_Cap!$P$47-BC17,0))</f>
        <v/>
      </c>
      <c r="CM17" s="64">
        <f>IF(BD17="ret=0",0,IF(BD17&gt;0,AT17+Distributors_Cap!$P$47-BD17,0))</f>
        <v/>
      </c>
      <c r="CT17" s="64" t="n">
        <v>6</v>
      </c>
      <c r="CU17" s="64" t="n">
        <v>5.257</v>
      </c>
      <c r="CV17" s="64" t="n">
        <v>5.942</v>
      </c>
      <c r="CW17" s="64" t="n">
        <v>2.985</v>
      </c>
    </row>
    <row r="18">
      <c r="G18" s="64" t="n">
        <v>22</v>
      </c>
      <c r="H18" s="64" t="n">
        <v>50.41</v>
      </c>
      <c r="I18" s="64" t="n">
        <v>36.9</v>
      </c>
      <c r="J18" s="64" t="n">
        <v>83.623</v>
      </c>
      <c r="L18" s="64">
        <f>TRUNC((_xlfn.NORM.INV((RAND()),$K$7,$K$8)),0)</f>
        <v/>
      </c>
      <c r="M18" s="64" t="n">
        <v>22</v>
      </c>
      <c r="N18" s="5" t="n">
        <v>31</v>
      </c>
      <c r="O18" s="5" t="n">
        <v>41</v>
      </c>
      <c r="P18" s="5" t="n">
        <v>25</v>
      </c>
      <c r="R18" s="2">
        <f>IF(N18&gt;Demand!AU35,0,(IF(((2*(Retailers!AJ17+Distributors_Cap!$P$47)-Retailers_Cap!$BB$7)*(Demand!AU35-Retailers_Cap!N18))&lt;0,0,((IF(BB18&gt;2*(Retailers!AJ17+Distributors_Cap!$P$47),0,(IF(BG18=0,ROUNDUP((2*(Retailers!AJ17+Distributors_Cap!$P$47)-BB18)^0.5,0),ROUNDUP((2*(Retailers!AJ17+Distributors_Cap!$P$47)-BB18)^0.5,0)))))))))</f>
        <v/>
      </c>
      <c r="S18" s="2">
        <f>IF(O18&gt;Demand!AV35,0,(IF(((2*(Retailers!AK17+Distributors_Cap!$P$47)-Retailers_Cap!$BB$7)*(Demand!AV35-Retailers_Cap!O18))&lt;0,0,((IF(BC18&gt;2*(Retailers!AK17+Distributors_Cap!$P$47),0,(IF(BH18=0,ROUNDUP((2*(Retailers!AK17+Distributors_Cap!$P$47)-BC18)^0.5,0),ROUNDUP((2*(Retailers!AK17+Distributors_Cap!$P$47)-BC18)^0.5,0)))))))))</f>
        <v/>
      </c>
      <c r="T18" s="2">
        <f>IF(P18&gt;Demand!AW35,0,(IF(((2*(Retailers!AL17+Distributors_Cap!$P$47)-Retailers_Cap!$BB$7)*(Demand!AW35-Retailers_Cap!P18))&lt;0,0,((IF(BD18&gt;2*(Retailers!AL17+Distributors_Cap!$P$47),0,(IF(BI18=0,ROUNDUP((2*(Retailers!AL17+Distributors_Cap!$P$47)-BD18)^0.5,0),ROUNDUP((2*(Retailers!AL17+Distributors_Cap!$P$47)-BD18)^0.5,0)))))))))</f>
        <v/>
      </c>
      <c r="W18" s="64" t="n">
        <v>22</v>
      </c>
      <c r="X18" s="9" t="n">
        <v>0</v>
      </c>
      <c r="Y18" s="9" t="n">
        <v>0</v>
      </c>
      <c r="Z18" s="9" t="n">
        <v>0</v>
      </c>
      <c r="AB18" s="2">
        <f>ROUNDDOWN(LOG((X18+1),2),0)</f>
        <v/>
      </c>
      <c r="AC18" s="2">
        <f>ROUNDDOWN(LOG((Y18+1),2),0)</f>
        <v/>
      </c>
      <c r="AD18" s="2">
        <f>ROUNDDOWN(LOG((Z18+1),2),0)</f>
        <v/>
      </c>
      <c r="AG18" s="64" t="n">
        <v>22</v>
      </c>
      <c r="AH18" s="9" t="n">
        <v>0</v>
      </c>
      <c r="AI18" s="9" t="n">
        <v>0</v>
      </c>
      <c r="AJ18" s="9" t="n">
        <v>0</v>
      </c>
      <c r="AQ18" s="64" t="n">
        <v>22</v>
      </c>
      <c r="AR18" s="64" t="n">
        <v>50.41</v>
      </c>
      <c r="AS18" s="64" t="n">
        <v>36.9</v>
      </c>
      <c r="AT18" s="64" t="n">
        <v>83.623</v>
      </c>
      <c r="AV18" s="64" t="n">
        <v>22</v>
      </c>
      <c r="AW18" s="64">
        <f>Beginning_stock!AT46</f>
        <v/>
      </c>
      <c r="AX18" s="64">
        <f>Beginning_stock!AU46</f>
        <v/>
      </c>
      <c r="AY18" s="64">
        <f>Beginning_stock!AV46</f>
        <v/>
      </c>
      <c r="BA18" s="64" t="n">
        <v>22</v>
      </c>
      <c r="BB18" s="64">
        <f>IF(Demand!AU35=Retailers_Cap!N18,"ret=0",(AW18/(Demand!AU35-Retailers_Cap!N18)))</f>
        <v/>
      </c>
      <c r="BC18" s="64">
        <f>IF(Demand!AV35=Retailers_Cap!O18,"ret=0",(AX18/(Demand!AV35-Retailers_Cap!O18)))</f>
        <v/>
      </c>
      <c r="BD18" s="64">
        <f>IF(Demand!AW35=Retailers_Cap!P18,"ret=0",(AY18/(Demand!AW35-Retailers_Cap!P18)))</f>
        <v/>
      </c>
      <c r="BF18" s="64" t="n">
        <v>22</v>
      </c>
      <c r="BG18" s="2">
        <f>IF(Demand!AU35&lt;=Retailers_Cap!N18,"ret=0",(IF(BB18&lt;=AR18+Distributors_Cap!$P$47,1,0)))</f>
        <v/>
      </c>
      <c r="BH18" s="2">
        <f>IF(Demand!AV35&lt;=Retailers_Cap!O18,"ret=0",(IF(BC18&lt;=AS18+Distributors_Cap!$P$47,1,0)))</f>
        <v/>
      </c>
      <c r="BI18" s="2">
        <f>IF(Demand!AW35&lt;=Retailers_Cap!P18,"ret=0",(IF(BD18&lt;=AT18+Distributors_Cap!$P$47,1,0)))</f>
        <v/>
      </c>
      <c r="BK18" s="64" t="n">
        <v>22</v>
      </c>
      <c r="BL18" s="64">
        <f>Retailers!BH17</f>
        <v/>
      </c>
      <c r="BM18" s="64">
        <f>Retailers!BI17</f>
        <v/>
      </c>
      <c r="BN18" s="64">
        <f>Retailers!BJ17</f>
        <v/>
      </c>
      <c r="BP18" s="64" t="n">
        <v>22</v>
      </c>
      <c r="BQ18" s="64">
        <f>#REF!</f>
        <v/>
      </c>
      <c r="BR18" s="64">
        <f>#REF!</f>
        <v/>
      </c>
      <c r="BS18" s="64">
        <f>#REF!</f>
        <v/>
      </c>
      <c r="BU18" s="64" t="n">
        <v>22</v>
      </c>
      <c r="BV18" s="64">
        <f>Retailers!AS17</f>
        <v/>
      </c>
      <c r="BW18" s="64">
        <f>Retailers!AT17</f>
        <v/>
      </c>
      <c r="BX18" s="64">
        <f>Retailers!AU17</f>
        <v/>
      </c>
      <c r="BZ18" s="64" t="n">
        <v>22</v>
      </c>
      <c r="CA18" s="64">
        <f>Results!#REF!</f>
        <v/>
      </c>
      <c r="CB18" s="64">
        <f>Results!#REF!</f>
        <v/>
      </c>
      <c r="CC18" s="64">
        <f>Results!#REF!</f>
        <v/>
      </c>
      <c r="CE18" s="64" t="n">
        <v>22</v>
      </c>
      <c r="CF18" s="64">
        <f>Retailers!BN17</f>
        <v/>
      </c>
      <c r="CG18" s="64">
        <f>Retailers!BO17</f>
        <v/>
      </c>
      <c r="CH18" s="64">
        <f>Retailers!BP17</f>
        <v/>
      </c>
      <c r="CJ18" s="64" t="n">
        <v>22</v>
      </c>
      <c r="CK18" s="64">
        <f>IF(BB18="ret=0",0,IF(BB18&gt;0,AR18+Distributors_Cap!$P$47-BB18,0))</f>
        <v/>
      </c>
      <c r="CL18" s="64">
        <f>IF(BC18="ret=0",0,IF(BC18&gt;0,AS18+Distributors_Cap!$P$47-BC18,0))</f>
        <v/>
      </c>
      <c r="CM18" s="64">
        <f>IF(BD18="ret=0",0,IF(BD18&gt;0,AT18+Distributors_Cap!$P$47-BD18,0))</f>
        <v/>
      </c>
      <c r="CT18" s="64" t="n">
        <v>7</v>
      </c>
      <c r="CU18" s="64" t="n">
        <v>4.985</v>
      </c>
      <c r="CV18" s="64" t="n">
        <v>5.071</v>
      </c>
      <c r="CW18" s="64" t="n">
        <v>4.562</v>
      </c>
    </row>
    <row r="19">
      <c r="G19" s="64" t="n">
        <v>23</v>
      </c>
      <c r="H19" s="64" t="n">
        <v>75.764</v>
      </c>
      <c r="I19" s="64" t="n">
        <v>47.993</v>
      </c>
      <c r="J19" s="64" t="n">
        <v>52.899</v>
      </c>
      <c r="L19" s="64">
        <f>TRUNC((_xlfn.NORM.INV((RAND()),$K$7,$K$8)),0)</f>
        <v/>
      </c>
      <c r="M19" s="64" t="n">
        <v>23</v>
      </c>
      <c r="N19" s="5" t="n">
        <v>21</v>
      </c>
      <c r="O19" s="5" t="n">
        <v>34</v>
      </c>
      <c r="P19" s="5" t="n">
        <v>27</v>
      </c>
      <c r="R19" s="2">
        <f>IF(N19&gt;Demand!AU36,0,(IF(((2*(Retailers!AJ18+Distributors_Cap!$P$47)-Retailers_Cap!$BB$7)*(Demand!AU36-Retailers_Cap!N19))&lt;0,0,((IF(BB19&gt;2*(Retailers!AJ18+Distributors_Cap!$P$47),0,(IF(BG19=0,ROUNDUP((2*(Retailers!AJ18+Distributors_Cap!$P$47)-BB19)^0.5,0),ROUNDUP((2*(Retailers!AJ18+Distributors_Cap!$P$47)-BB19)^0.5,0)))))))))</f>
        <v/>
      </c>
      <c r="S19" s="2">
        <f>IF(O19&gt;Demand!AV36,0,(IF(((2*(Retailers!AK18+Distributors_Cap!$P$47)-Retailers_Cap!$BB$7)*(Demand!AV36-Retailers_Cap!O19))&lt;0,0,((IF(BC19&gt;2*(Retailers!AK18+Distributors_Cap!$P$47),0,(IF(BH19=0,ROUNDUP((2*(Retailers!AK18+Distributors_Cap!$P$47)-BC19)^0.5,0),ROUNDUP((2*(Retailers!AK18+Distributors_Cap!$P$47)-BC19)^0.5,0)))))))))</f>
        <v/>
      </c>
      <c r="T19" s="2">
        <f>IF(P19&gt;Demand!AW36,0,(IF(((2*(Retailers!AL18+Distributors_Cap!$P$47)-Retailers_Cap!$BB$7)*(Demand!AW36-Retailers_Cap!P19))&lt;0,0,((IF(BD19&gt;2*(Retailers!AL18+Distributors_Cap!$P$47),0,(IF(BI19=0,ROUNDUP((2*(Retailers!AL18+Distributors_Cap!$P$47)-BD19)^0.5,0),ROUNDUP((2*(Retailers!AL18+Distributors_Cap!$P$47)-BD19)^0.5,0)))))))))</f>
        <v/>
      </c>
      <c r="W19" s="64" t="n">
        <v>23</v>
      </c>
      <c r="X19" s="9" t="n">
        <v>14</v>
      </c>
      <c r="Y19" s="9" t="n">
        <v>11</v>
      </c>
      <c r="Z19" s="9" t="n">
        <v>0</v>
      </c>
      <c r="AB19" s="2">
        <f>ROUNDDOWN(LOG((X19+1),2),0)</f>
        <v/>
      </c>
      <c r="AC19" s="2">
        <f>ROUNDDOWN(LOG((Y19+1),2),0)</f>
        <v/>
      </c>
      <c r="AD19" s="2">
        <f>ROUNDDOWN(LOG((Z19+1),2),0)</f>
        <v/>
      </c>
      <c r="AG19" s="64" t="n">
        <v>23</v>
      </c>
      <c r="AH19" s="9" t="n">
        <v>3</v>
      </c>
      <c r="AI19" s="9" t="n">
        <v>3</v>
      </c>
      <c r="AJ19" s="9" t="n">
        <v>0</v>
      </c>
      <c r="AQ19" s="64" t="n">
        <v>23</v>
      </c>
      <c r="AR19" s="64" t="n">
        <v>75.764</v>
      </c>
      <c r="AS19" s="64" t="n">
        <v>47.993</v>
      </c>
      <c r="AT19" s="64" t="n">
        <v>52.899</v>
      </c>
      <c r="AV19" s="64" t="n">
        <v>23</v>
      </c>
      <c r="AW19" s="64">
        <f>Beginning_stock!AT47</f>
        <v/>
      </c>
      <c r="AX19" s="64">
        <f>Beginning_stock!AU47</f>
        <v/>
      </c>
      <c r="AY19" s="64">
        <f>Beginning_stock!AV47</f>
        <v/>
      </c>
      <c r="BA19" s="64" t="n">
        <v>23</v>
      </c>
      <c r="BB19" s="64">
        <f>IF(Demand!AU36=Retailers_Cap!N19,"ret=0",(AW19/(Demand!AU36-Retailers_Cap!N19)))</f>
        <v/>
      </c>
      <c r="BC19" s="64">
        <f>IF(Demand!AV36=Retailers_Cap!O19,"ret=0",(AX19/(Demand!AV36-Retailers_Cap!O19)))</f>
        <v/>
      </c>
      <c r="BD19" s="64">
        <f>IF(Demand!AW36=Retailers_Cap!P19,"ret=0",(AY19/(Demand!AW36-Retailers_Cap!P19)))</f>
        <v/>
      </c>
      <c r="BF19" s="64" t="n">
        <v>23</v>
      </c>
      <c r="BG19" s="2">
        <f>IF(Demand!AU36&lt;=Retailers_Cap!N19,"ret=0",(IF(BB19&lt;=AR19+Distributors_Cap!$P$47,1,0)))</f>
        <v/>
      </c>
      <c r="BH19" s="2">
        <f>IF(Demand!AV36&lt;=Retailers_Cap!O19,"ret=0",(IF(BC19&lt;=AS19+Distributors_Cap!$P$47,1,0)))</f>
        <v/>
      </c>
      <c r="BI19" s="2">
        <f>IF(Demand!AW36&lt;=Retailers_Cap!P19,"ret=0",(IF(BD19&lt;=AT19+Distributors_Cap!$P$47,1,0)))</f>
        <v/>
      </c>
      <c r="BK19" s="64" t="n">
        <v>23</v>
      </c>
      <c r="BL19" s="64">
        <f>Retailers!BH18</f>
        <v/>
      </c>
      <c r="BM19" s="64">
        <f>Retailers!BI18</f>
        <v/>
      </c>
      <c r="BN19" s="64">
        <f>Retailers!BJ18</f>
        <v/>
      </c>
      <c r="BP19" s="64" t="n">
        <v>23</v>
      </c>
      <c r="BQ19" s="64">
        <f>#REF!</f>
        <v/>
      </c>
      <c r="BR19" s="64">
        <f>#REF!</f>
        <v/>
      </c>
      <c r="BS19" s="64">
        <f>#REF!</f>
        <v/>
      </c>
      <c r="BU19" s="64" t="n">
        <v>23</v>
      </c>
      <c r="BV19" s="64">
        <f>Retailers!AS18</f>
        <v/>
      </c>
      <c r="BW19" s="64">
        <f>Retailers!AT18</f>
        <v/>
      </c>
      <c r="BX19" s="64">
        <f>Retailers!AU18</f>
        <v/>
      </c>
      <c r="BZ19" s="64" t="n">
        <v>23</v>
      </c>
      <c r="CA19" s="64">
        <f>Results!#REF!</f>
        <v/>
      </c>
      <c r="CB19" s="64">
        <f>Results!#REF!</f>
        <v/>
      </c>
      <c r="CC19" s="64">
        <f>Results!#REF!</f>
        <v/>
      </c>
      <c r="CE19" s="64" t="n">
        <v>23</v>
      </c>
      <c r="CF19" s="64">
        <f>Retailers!BN18</f>
        <v/>
      </c>
      <c r="CG19" s="64">
        <f>Retailers!BO18</f>
        <v/>
      </c>
      <c r="CH19" s="64">
        <f>Retailers!BP18</f>
        <v/>
      </c>
      <c r="CJ19" s="64" t="n">
        <v>23</v>
      </c>
      <c r="CK19" s="64">
        <f>IF(BB19="ret=0",0,IF(BB19&gt;0,AR19+Distributors_Cap!$P$47-BB19,0))</f>
        <v/>
      </c>
      <c r="CL19" s="64">
        <f>IF(BC19="ret=0",0,IF(BC19&gt;0,AS19+Distributors_Cap!$P$47-BC19,0))</f>
        <v/>
      </c>
      <c r="CM19" s="64">
        <f>IF(BD19="ret=0",0,IF(BD19&gt;0,AT19+Distributors_Cap!$P$47-BD19,0))</f>
        <v/>
      </c>
      <c r="CT19" s="64" t="n">
        <v>8</v>
      </c>
      <c r="CU19" s="64" t="n">
        <v>4.468</v>
      </c>
      <c r="CV19" s="64" t="n">
        <v>5.629</v>
      </c>
      <c r="CW19" s="64" t="n">
        <v>4.901</v>
      </c>
    </row>
    <row r="20">
      <c r="G20" s="64" t="n">
        <v>24</v>
      </c>
      <c r="H20" s="64" t="n">
        <v>78.651</v>
      </c>
      <c r="I20" s="64" t="n">
        <v>73.084</v>
      </c>
      <c r="J20" s="64" t="n">
        <v>56.966</v>
      </c>
      <c r="L20" s="64">
        <f>TRUNC((_xlfn.NORM.INV((RAND()),$K$7,$K$8)),0)</f>
        <v/>
      </c>
      <c r="M20" s="64" t="n">
        <v>24</v>
      </c>
      <c r="N20" s="5" t="n">
        <v>13</v>
      </c>
      <c r="O20" s="5" t="n">
        <v>30</v>
      </c>
      <c r="P20" s="5" t="n">
        <v>30</v>
      </c>
      <c r="R20" s="2">
        <f>IF(N20&gt;Demand!AU37,0,(IF(((2*(Retailers!AJ19+Distributors_Cap!$P$47)-Retailers_Cap!$BB$7)*(Demand!AU37-Retailers_Cap!N20))&lt;0,0,((IF(BB20&gt;2*(Retailers!AJ19+Distributors_Cap!$P$47),0,(IF(BG20=0,ROUNDUP((2*(Retailers!AJ19+Distributors_Cap!$P$47)-BB20)^0.5,0),ROUNDUP((2*(Retailers!AJ19+Distributors_Cap!$P$47)-BB20)^0.5,0)))))))))</f>
        <v/>
      </c>
      <c r="S20" s="2">
        <f>IF(O20&gt;Demand!AV37,0,(IF(((2*(Retailers!AK19+Distributors_Cap!$P$47)-Retailers_Cap!$BB$7)*(Demand!AV37-Retailers_Cap!O20))&lt;0,0,((IF(BC20&gt;2*(Retailers!AK19+Distributors_Cap!$P$47),0,(IF(BH20=0,ROUNDUP((2*(Retailers!AK19+Distributors_Cap!$P$47)-BC20)^0.5,0),ROUNDUP((2*(Retailers!AK19+Distributors_Cap!$P$47)-BC20)^0.5,0)))))))))</f>
        <v/>
      </c>
      <c r="T20" s="2">
        <f>IF(P20&gt;Demand!AW37,0,(IF(((2*(Retailers!AL19+Distributors_Cap!$P$47)-Retailers_Cap!$BB$7)*(Demand!AW37-Retailers_Cap!P20))&lt;0,0,((IF(BD20&gt;2*(Retailers!AL19+Distributors_Cap!$P$47),0,(IF(BI20=0,ROUNDUP((2*(Retailers!AL19+Distributors_Cap!$P$47)-BD20)^0.5,0),ROUNDUP((2*(Retailers!AL19+Distributors_Cap!$P$47)-BD20)^0.5,0)))))))))</f>
        <v/>
      </c>
      <c r="W20" s="64" t="n">
        <v>24</v>
      </c>
      <c r="X20" s="9" t="n">
        <v>14</v>
      </c>
      <c r="Y20" s="9" t="n">
        <v>13</v>
      </c>
      <c r="Z20" s="9" t="n">
        <v>0</v>
      </c>
      <c r="AB20" s="2">
        <f>ROUNDDOWN(LOG((X20+1),2),0)</f>
        <v/>
      </c>
      <c r="AC20" s="2">
        <f>ROUNDDOWN(LOG((Y20+1),2),0)</f>
        <v/>
      </c>
      <c r="AD20" s="2">
        <f>ROUNDDOWN(LOG((Z20+1),2),0)</f>
        <v/>
      </c>
      <c r="AG20" s="64" t="n">
        <v>24</v>
      </c>
      <c r="AH20" s="9" t="n">
        <v>3</v>
      </c>
      <c r="AI20" s="9" t="n">
        <v>3</v>
      </c>
      <c r="AJ20" s="9" t="n">
        <v>0</v>
      </c>
      <c r="AQ20" s="64" t="n">
        <v>24</v>
      </c>
      <c r="AR20" s="64" t="n">
        <v>78.651</v>
      </c>
      <c r="AS20" s="64" t="n">
        <v>73.084</v>
      </c>
      <c r="AT20" s="64" t="n">
        <v>56.966</v>
      </c>
      <c r="AV20" s="64" t="n">
        <v>24</v>
      </c>
      <c r="AW20" s="64">
        <f>Beginning_stock!AT48</f>
        <v/>
      </c>
      <c r="AX20" s="64">
        <f>Beginning_stock!AU48</f>
        <v/>
      </c>
      <c r="AY20" s="64">
        <f>Beginning_stock!AV48</f>
        <v/>
      </c>
      <c r="BA20" s="64" t="n">
        <v>24</v>
      </c>
      <c r="BB20" s="64">
        <f>IF(Demand!AU37=Retailers_Cap!N20,"ret=0",(AW20/(Demand!AU37-Retailers_Cap!N20)))</f>
        <v/>
      </c>
      <c r="BC20" s="64">
        <f>IF(Demand!AV37=Retailers_Cap!O20,"ret=0",(AX20/(Demand!AV37-Retailers_Cap!O20)))</f>
        <v/>
      </c>
      <c r="BD20" s="64">
        <f>IF(Demand!AW37=Retailers_Cap!P20,"ret=0",(AY20/(Demand!AW37-Retailers_Cap!P20)))</f>
        <v/>
      </c>
      <c r="BF20" s="64" t="n">
        <v>24</v>
      </c>
      <c r="BG20" s="2">
        <f>IF(Demand!AU37&lt;=Retailers_Cap!N20,"ret=0",(IF(BB20&lt;=AR20+Distributors_Cap!$P$47,1,0)))</f>
        <v/>
      </c>
      <c r="BH20" s="2">
        <f>IF(Demand!AV37&lt;=Retailers_Cap!O20,"ret=0",(IF(BC20&lt;=AS20+Distributors_Cap!$P$47,1,0)))</f>
        <v/>
      </c>
      <c r="BI20" s="2">
        <f>IF(Demand!AW37&lt;=Retailers_Cap!P20,"ret=0",(IF(BD20&lt;=AT20+Distributors_Cap!$P$47,1,0)))</f>
        <v/>
      </c>
      <c r="BK20" s="64" t="n">
        <v>24</v>
      </c>
      <c r="BL20" s="64">
        <f>Retailers!BH19</f>
        <v/>
      </c>
      <c r="BM20" s="64">
        <f>Retailers!BI19</f>
        <v/>
      </c>
      <c r="BN20" s="64">
        <f>Retailers!BJ19</f>
        <v/>
      </c>
      <c r="BP20" s="64" t="n">
        <v>24</v>
      </c>
      <c r="BQ20" s="64">
        <f>#REF!</f>
        <v/>
      </c>
      <c r="BR20" s="64">
        <f>#REF!</f>
        <v/>
      </c>
      <c r="BS20" s="64">
        <f>#REF!</f>
        <v/>
      </c>
      <c r="BU20" s="64" t="n">
        <v>24</v>
      </c>
      <c r="BV20" s="64">
        <f>Retailers!AS19</f>
        <v/>
      </c>
      <c r="BW20" s="64">
        <f>Retailers!AT19</f>
        <v/>
      </c>
      <c r="BX20" s="64">
        <f>Retailers!AU19</f>
        <v/>
      </c>
      <c r="BZ20" s="64" t="n">
        <v>24</v>
      </c>
      <c r="CA20" s="64">
        <f>Results!#REF!</f>
        <v/>
      </c>
      <c r="CB20" s="64">
        <f>Results!#REF!</f>
        <v/>
      </c>
      <c r="CC20" s="64">
        <f>Results!#REF!</f>
        <v/>
      </c>
      <c r="CE20" s="64" t="n">
        <v>24</v>
      </c>
      <c r="CF20" s="64">
        <f>Retailers!BN19</f>
        <v/>
      </c>
      <c r="CG20" s="64">
        <f>Retailers!BO19</f>
        <v/>
      </c>
      <c r="CH20" s="64">
        <f>Retailers!BP19</f>
        <v/>
      </c>
      <c r="CJ20" s="64" t="n">
        <v>24</v>
      </c>
      <c r="CK20" s="64">
        <f>IF(BB20="ret=0",0,IF(BB20&gt;0,AR20+Distributors_Cap!$P$47-BB20,0))</f>
        <v/>
      </c>
      <c r="CL20" s="64">
        <f>IF(BC20="ret=0",0,IF(BC20&gt;0,AS20+Distributors_Cap!$P$47-BC20,0))</f>
        <v/>
      </c>
      <c r="CM20" s="64">
        <f>IF(BD20="ret=0",0,IF(BD20&gt;0,AT20+Distributors_Cap!$P$47-BD20,0))</f>
        <v/>
      </c>
    </row>
    <row r="21">
      <c r="G21" s="64" t="n">
        <v>25</v>
      </c>
      <c r="H21" s="64" t="n">
        <v>49.287</v>
      </c>
      <c r="I21" s="64" t="n">
        <v>71.176</v>
      </c>
      <c r="J21" s="64" t="n">
        <v>63.71</v>
      </c>
      <c r="L21" s="64">
        <f>TRUNC((_xlfn.NORM.INV((RAND()),$K$7,$K$8)),0)</f>
        <v/>
      </c>
      <c r="M21" s="64" t="n">
        <v>25</v>
      </c>
      <c r="N21" s="5" t="n">
        <v>40</v>
      </c>
      <c r="O21" s="5" t="n">
        <v>28</v>
      </c>
      <c r="P21" s="5" t="n">
        <v>24</v>
      </c>
      <c r="R21" s="2">
        <f>IF(N21&gt;Demand!AU38,0,(IF(((2*(Retailers!AJ20+Distributors_Cap!$P$47)-Retailers_Cap!$BB$7)*(Demand!AU38-Retailers_Cap!N21))&lt;0,0,((IF(BB21&gt;2*(Retailers!AJ20+Distributors_Cap!$P$47),0,(IF(BG21=0,ROUNDUP((2*(Retailers!AJ20+Distributors_Cap!$P$47)-BB21)^0.5,0),ROUNDUP((2*(Retailers!AJ20+Distributors_Cap!$P$47)-BB21)^0.5,0)))))))))</f>
        <v/>
      </c>
      <c r="S21" s="2">
        <f>IF(O21&gt;Demand!AV38,0,(IF(((2*(Retailers!AK20+Distributors_Cap!$P$47)-Retailers_Cap!$BB$7)*(Demand!AV38-Retailers_Cap!O21))&lt;0,0,((IF(BC21&gt;2*(Retailers!AK20+Distributors_Cap!$P$47),0,(IF(BH21=0,ROUNDUP((2*(Retailers!AK20+Distributors_Cap!$P$47)-BC21)^0.5,0),ROUNDUP((2*(Retailers!AK20+Distributors_Cap!$P$47)-BC21)^0.5,0)))))))))</f>
        <v/>
      </c>
      <c r="T21" s="2">
        <f>IF(P21&gt;Demand!AW38,0,(IF(((2*(Retailers!AL20+Distributors_Cap!$P$47)-Retailers_Cap!$BB$7)*(Demand!AW38-Retailers_Cap!P21))&lt;0,0,((IF(BD21&gt;2*(Retailers!AL20+Distributors_Cap!$P$47),0,(IF(BI21=0,ROUNDUP((2*(Retailers!AL20+Distributors_Cap!$P$47)-BD21)^0.5,0),ROUNDUP((2*(Retailers!AL20+Distributors_Cap!$P$47)-BD21)^0.5,0)))))))))</f>
        <v/>
      </c>
      <c r="W21" s="64" t="n">
        <v>25</v>
      </c>
      <c r="X21" s="9" t="n">
        <v>0</v>
      </c>
      <c r="Y21" s="9" t="n">
        <v>0</v>
      </c>
      <c r="Z21" s="9" t="n">
        <v>0</v>
      </c>
      <c r="AB21" s="2">
        <f>ROUNDDOWN(LOG((X21+1),2),0)</f>
        <v/>
      </c>
      <c r="AC21" s="2">
        <f>ROUNDDOWN(LOG((Y21+1),2),0)</f>
        <v/>
      </c>
      <c r="AD21" s="2">
        <f>ROUNDDOWN(LOG((Z21+1),2),0)</f>
        <v/>
      </c>
      <c r="AG21" s="64" t="n">
        <v>25</v>
      </c>
      <c r="AH21" s="9" t="n">
        <v>0</v>
      </c>
      <c r="AI21" s="9" t="n">
        <v>0</v>
      </c>
      <c r="AJ21" s="9" t="n">
        <v>0</v>
      </c>
      <c r="AQ21" s="64" t="n">
        <v>25</v>
      </c>
      <c r="AR21" s="64" t="n">
        <v>49.287</v>
      </c>
      <c r="AS21" s="64" t="n">
        <v>71.176</v>
      </c>
      <c r="AT21" s="64" t="n">
        <v>63.71</v>
      </c>
      <c r="AV21" s="64" t="n">
        <v>25</v>
      </c>
      <c r="AW21" s="64">
        <f>Beginning_stock!AT49</f>
        <v/>
      </c>
      <c r="AX21" s="64">
        <f>Beginning_stock!AU49</f>
        <v/>
      </c>
      <c r="AY21" s="64">
        <f>Beginning_stock!AV49</f>
        <v/>
      </c>
      <c r="BA21" s="64" t="n">
        <v>25</v>
      </c>
      <c r="BB21" s="64">
        <f>IF(Demand!AU38=Retailers_Cap!N21,"ret=0",(AW21/(Demand!AU38-Retailers_Cap!N21)))</f>
        <v/>
      </c>
      <c r="BC21" s="64">
        <f>IF(Demand!AV38=Retailers_Cap!O21,"ret=0",(AX21/(Demand!AV38-Retailers_Cap!O21)))</f>
        <v/>
      </c>
      <c r="BD21" s="64">
        <f>IF(Demand!AW38=Retailers_Cap!P21,"ret=0",(AY21/(Demand!AW38-Retailers_Cap!P21)))</f>
        <v/>
      </c>
      <c r="BF21" s="64" t="n">
        <v>25</v>
      </c>
      <c r="BG21" s="2">
        <f>IF(Demand!AU38&lt;=Retailers_Cap!N21,"ret=0",(IF(BB21&lt;=AR21+Distributors_Cap!$P$47,1,0)))</f>
        <v/>
      </c>
      <c r="BH21" s="2">
        <f>IF(Demand!AV38&lt;=Retailers_Cap!O21,"ret=0",(IF(BC21&lt;=AS21+Distributors_Cap!$P$47,1,0)))</f>
        <v/>
      </c>
      <c r="BI21" s="2">
        <f>IF(Demand!AW38&lt;=Retailers_Cap!P21,"ret=0",(IF(BD21&lt;=AT21+Distributors_Cap!$P$47,1,0)))</f>
        <v/>
      </c>
      <c r="BK21" s="64" t="n">
        <v>25</v>
      </c>
      <c r="BL21" s="64">
        <f>Retailers!BH20</f>
        <v/>
      </c>
      <c r="BM21" s="64">
        <f>Retailers!BI20</f>
        <v/>
      </c>
      <c r="BN21" s="64">
        <f>Retailers!BJ20</f>
        <v/>
      </c>
      <c r="BP21" s="64" t="n">
        <v>25</v>
      </c>
      <c r="BQ21" s="64">
        <f>#REF!</f>
        <v/>
      </c>
      <c r="BR21" s="64">
        <f>#REF!</f>
        <v/>
      </c>
      <c r="BS21" s="64">
        <f>#REF!</f>
        <v/>
      </c>
      <c r="BU21" s="64" t="n">
        <v>25</v>
      </c>
      <c r="BV21" s="64">
        <f>Retailers!AS20</f>
        <v/>
      </c>
      <c r="BW21" s="64">
        <f>Retailers!AT20</f>
        <v/>
      </c>
      <c r="BX21" s="64">
        <f>Retailers!AU20</f>
        <v/>
      </c>
      <c r="BZ21" s="64" t="n">
        <v>25</v>
      </c>
      <c r="CA21" s="64">
        <f>Results!#REF!</f>
        <v/>
      </c>
      <c r="CB21" s="64">
        <f>Results!#REF!</f>
        <v/>
      </c>
      <c r="CC21" s="64">
        <f>Results!#REF!</f>
        <v/>
      </c>
      <c r="CE21" s="64" t="n">
        <v>25</v>
      </c>
      <c r="CF21" s="64">
        <f>Retailers!BN20</f>
        <v/>
      </c>
      <c r="CG21" s="64">
        <f>Retailers!BO20</f>
        <v/>
      </c>
      <c r="CH21" s="64">
        <f>Retailers!BP20</f>
        <v/>
      </c>
      <c r="CJ21" s="64" t="n">
        <v>25</v>
      </c>
      <c r="CK21" s="64">
        <f>IF(BB21="ret=0",0,IF(BB21&gt;0,AR21+Distributors_Cap!$P$47-BB21,0))</f>
        <v/>
      </c>
      <c r="CL21" s="64">
        <f>IF(BC21="ret=0",0,IF(BC21&gt;0,AS21+Distributors_Cap!$P$47-BC21,0))</f>
        <v/>
      </c>
      <c r="CM21" s="64">
        <f>IF(BD21="ret=0",0,IF(BD21&gt;0,AT21+Distributors_Cap!$P$47-BD21,0))</f>
        <v/>
      </c>
      <c r="CT21" s="64" t="inlineStr">
        <is>
          <t>máximo</t>
        </is>
      </c>
      <c r="CU21" s="64">
        <f>MAX(CU15:CW19)</f>
        <v/>
      </c>
    </row>
    <row r="22">
      <c r="G22" s="64" t="n">
        <v>26</v>
      </c>
      <c r="H22" s="64" t="n">
        <v>66.791</v>
      </c>
      <c r="I22" s="64" t="n">
        <v>35.719</v>
      </c>
      <c r="J22" s="64" t="n">
        <v>47.83</v>
      </c>
      <c r="L22" s="64">
        <f>TRUNC((_xlfn.NORM.INV((RAND()),$K$7,$K$8)),0)</f>
        <v/>
      </c>
      <c r="M22" s="64" t="n">
        <v>26</v>
      </c>
      <c r="N22" s="5" t="n">
        <v>19</v>
      </c>
      <c r="O22" s="5" t="n">
        <v>21</v>
      </c>
      <c r="P22" s="5" t="n">
        <v>14</v>
      </c>
      <c r="R22" s="2">
        <f>IF(N22&gt;Demand!AU39,0,(IF(((2*(Retailers!AJ21+Distributors_Cap!$P$47)-Retailers_Cap!$BB$7)*(Demand!AU39-Retailers_Cap!N22))&lt;0,0,((IF(BB22&gt;2*(Retailers!AJ21+Distributors_Cap!$P$47),0,(IF(BG22=0,ROUNDUP((2*(Retailers!AJ21+Distributors_Cap!$P$47)-BB22)^0.5,0),ROUNDUP((2*(Retailers!AJ21+Distributors_Cap!$P$47)-BB22)^0.5,0)))))))))</f>
        <v/>
      </c>
      <c r="S22" s="2">
        <f>IF(O22&gt;Demand!AV39,0,(IF(((2*(Retailers!AK21+Distributors_Cap!$P$47)-Retailers_Cap!$BB$7)*(Demand!AV39-Retailers_Cap!O22))&lt;0,0,((IF(BC22&gt;2*(Retailers!AK21+Distributors_Cap!$P$47),0,(IF(BH22=0,ROUNDUP((2*(Retailers!AK21+Distributors_Cap!$P$47)-BC22)^0.5,0),ROUNDUP((2*(Retailers!AK21+Distributors_Cap!$P$47)-BC22)^0.5,0)))))))))</f>
        <v/>
      </c>
      <c r="T22" s="2">
        <f>IF(P22&gt;Demand!AW39,0,(IF(((2*(Retailers!AL21+Distributors_Cap!$P$47)-Retailers_Cap!$BB$7)*(Demand!AW39-Retailers_Cap!P22))&lt;0,0,((IF(BD22&gt;2*(Retailers!AL21+Distributors_Cap!$P$47),0,(IF(BI22=0,ROUNDUP((2*(Retailers!AL21+Distributors_Cap!$P$47)-BD22)^0.5,0),ROUNDUP((2*(Retailers!AL21+Distributors_Cap!$P$47)-BD22)^0.5,0)))))))))</f>
        <v/>
      </c>
      <c r="W22" s="64" t="n">
        <v>26</v>
      </c>
      <c r="X22" s="9" t="n">
        <v>10</v>
      </c>
      <c r="Y22" s="9" t="n">
        <v>11</v>
      </c>
      <c r="Z22" s="9" t="n">
        <v>10</v>
      </c>
      <c r="AB22" s="2">
        <f>ROUNDDOWN(LOG((X22+1),2),0)</f>
        <v/>
      </c>
      <c r="AC22" s="2">
        <f>ROUNDDOWN(LOG((Y22+1),2),0)</f>
        <v/>
      </c>
      <c r="AD22" s="2">
        <f>ROUNDDOWN(LOG((Z22+1),2),0)</f>
        <v/>
      </c>
      <c r="AG22" s="64" t="n">
        <v>26</v>
      </c>
      <c r="AH22" s="9" t="n">
        <v>3</v>
      </c>
      <c r="AI22" s="9" t="n">
        <v>3</v>
      </c>
      <c r="AJ22" s="9" t="n">
        <v>3</v>
      </c>
      <c r="AQ22" s="64" t="n">
        <v>26</v>
      </c>
      <c r="AR22" s="64" t="n">
        <v>66.791</v>
      </c>
      <c r="AS22" s="64" t="n">
        <v>35.719</v>
      </c>
      <c r="AT22" s="64" t="n">
        <v>47.83</v>
      </c>
      <c r="AV22" s="64" t="n">
        <v>26</v>
      </c>
      <c r="AW22" s="64">
        <f>Beginning_stock!AT50</f>
        <v/>
      </c>
      <c r="AX22" s="64">
        <f>Beginning_stock!AU50</f>
        <v/>
      </c>
      <c r="AY22" s="64">
        <f>Beginning_stock!AV50</f>
        <v/>
      </c>
      <c r="BA22" s="64" t="n">
        <v>26</v>
      </c>
      <c r="BB22" s="64">
        <f>IF(Demand!AU39=Retailers_Cap!N22,"ret=0",(AW22/(Demand!AU39-Retailers_Cap!N22)))</f>
        <v/>
      </c>
      <c r="BC22" s="64">
        <f>IF(Demand!AV39=Retailers_Cap!O22,"ret=0",(AX22/(Demand!AV39-Retailers_Cap!O22)))</f>
        <v/>
      </c>
      <c r="BD22" s="64">
        <f>IF(Demand!AW39=Retailers_Cap!P22,"ret=0",(AY22/(Demand!AW39-Retailers_Cap!P22)))</f>
        <v/>
      </c>
      <c r="BF22" s="64" t="n">
        <v>26</v>
      </c>
      <c r="BG22" s="2">
        <f>IF(Demand!AU39&lt;=Retailers_Cap!N22,"ret=0",(IF(BB22&lt;=AR22+Distributors_Cap!$P$47,1,0)))</f>
        <v/>
      </c>
      <c r="BH22" s="2">
        <f>IF(Demand!AV39&lt;=Retailers_Cap!O22,"ret=0",(IF(BC22&lt;=AS22+Distributors_Cap!$P$47,1,0)))</f>
        <v/>
      </c>
      <c r="BI22" s="2">
        <f>IF(Demand!AW39&lt;=Retailers_Cap!P22,"ret=0",(IF(BD22&lt;=AT22+Distributors_Cap!$P$47,1,0)))</f>
        <v/>
      </c>
      <c r="BK22" s="64" t="n">
        <v>26</v>
      </c>
      <c r="BL22" s="64">
        <f>Retailers!BH21</f>
        <v/>
      </c>
      <c r="BM22" s="64">
        <f>Retailers!BI21</f>
        <v/>
      </c>
      <c r="BN22" s="64">
        <f>Retailers!BJ21</f>
        <v/>
      </c>
      <c r="BP22" s="64" t="n">
        <v>26</v>
      </c>
      <c r="BQ22" s="64">
        <f>#REF!</f>
        <v/>
      </c>
      <c r="BR22" s="64">
        <f>#REF!</f>
        <v/>
      </c>
      <c r="BS22" s="64">
        <f>#REF!</f>
        <v/>
      </c>
      <c r="BU22" s="64" t="n">
        <v>26</v>
      </c>
      <c r="BV22" s="64">
        <f>Retailers!AS21</f>
        <v/>
      </c>
      <c r="BW22" s="64">
        <f>Retailers!AT21</f>
        <v/>
      </c>
      <c r="BX22" s="64">
        <f>Retailers!AU21</f>
        <v/>
      </c>
      <c r="BZ22" s="64" t="n">
        <v>26</v>
      </c>
      <c r="CA22" s="64">
        <f>Results!#REF!</f>
        <v/>
      </c>
      <c r="CB22" s="64">
        <f>Results!#REF!</f>
        <v/>
      </c>
      <c r="CC22" s="64">
        <f>Results!#REF!</f>
        <v/>
      </c>
      <c r="CE22" s="64" t="n">
        <v>26</v>
      </c>
      <c r="CF22" s="64">
        <f>Retailers!BN21</f>
        <v/>
      </c>
      <c r="CG22" s="64">
        <f>Retailers!BO21</f>
        <v/>
      </c>
      <c r="CH22" s="64">
        <f>Retailers!BP21</f>
        <v/>
      </c>
      <c r="CJ22" s="64" t="n">
        <v>26</v>
      </c>
      <c r="CK22" s="64">
        <f>IF(BB22="ret=0",0,IF(BB22&gt;0,AR22+Distributors_Cap!$P$47-BB22,0))</f>
        <v/>
      </c>
      <c r="CL22" s="64">
        <f>IF(BC22="ret=0",0,IF(BC22&gt;0,AS22+Distributors_Cap!$P$47-BC22,0))</f>
        <v/>
      </c>
      <c r="CM22" s="64">
        <f>IF(BD22="ret=0",0,IF(BD22&gt;0,AT22+Distributors_Cap!$P$47-BD22,0))</f>
        <v/>
      </c>
    </row>
    <row r="23">
      <c r="G23" s="64" t="n">
        <v>27</v>
      </c>
      <c r="H23" s="64" t="n">
        <v>48.149</v>
      </c>
      <c r="I23" s="64" t="n">
        <v>45.611</v>
      </c>
      <c r="J23" s="64" t="n">
        <v>38.699</v>
      </c>
      <c r="L23" s="64">
        <f>TRUNC((_xlfn.NORM.INV((RAND()),$K$7,$K$8)),0)</f>
        <v/>
      </c>
      <c r="M23" s="64" t="n">
        <v>27</v>
      </c>
      <c r="N23" s="5" t="n">
        <v>24</v>
      </c>
      <c r="O23" s="5" t="n">
        <v>26</v>
      </c>
      <c r="P23" s="5" t="n">
        <v>20</v>
      </c>
      <c r="R23" s="2">
        <f>IF(N23&gt;Demand!AU40,0,(IF(((2*(Retailers!AJ22+Distributors_Cap!$P$47)-Retailers_Cap!$BB$7)*(Demand!AU40-Retailers_Cap!N23))&lt;0,0,((IF(BB23&gt;2*(Retailers!AJ22+Distributors_Cap!$P$47),0,(IF(BG23=0,ROUNDUP((2*(Retailers!AJ22+Distributors_Cap!$P$47)-BB23)^0.5,0),ROUNDUP((2*(Retailers!AJ22+Distributors_Cap!$P$47)-BB23)^0.5,0)))))))))</f>
        <v/>
      </c>
      <c r="S23" s="2">
        <f>IF(O23&gt;Demand!AV40,0,(IF(((2*(Retailers!AK22+Distributors_Cap!$P$47)-Retailers_Cap!$BB$7)*(Demand!AV40-Retailers_Cap!O23))&lt;0,0,((IF(BC23&gt;2*(Retailers!AK22+Distributors_Cap!$P$47),0,(IF(BH23=0,ROUNDUP((2*(Retailers!AK22+Distributors_Cap!$P$47)-BC23)^0.5,0),ROUNDUP((2*(Retailers!AK22+Distributors_Cap!$P$47)-BC23)^0.5,0)))))))))</f>
        <v/>
      </c>
      <c r="T23" s="2">
        <f>IF(P23&gt;Demand!AW40,0,(IF(((2*(Retailers!AL22+Distributors_Cap!$P$47)-Retailers_Cap!$BB$7)*(Demand!AW40-Retailers_Cap!P23))&lt;0,0,((IF(BD23&gt;2*(Retailers!AL22+Distributors_Cap!$P$47),0,(IF(BI23=0,ROUNDUP((2*(Retailers!AL22+Distributors_Cap!$P$47)-BD23)^0.5,0),ROUNDUP((2*(Retailers!AL22+Distributors_Cap!$P$47)-BD23)^0.5,0)))))))))</f>
        <v/>
      </c>
      <c r="W23" s="64" t="n">
        <v>27</v>
      </c>
      <c r="X23" s="9" t="n">
        <v>0</v>
      </c>
      <c r="Y23" s="9" t="n">
        <v>0</v>
      </c>
      <c r="Z23" s="9" t="n">
        <v>0</v>
      </c>
      <c r="AB23" s="2">
        <f>ROUNDDOWN(LOG((X23+1),2),0)</f>
        <v/>
      </c>
      <c r="AC23" s="2">
        <f>ROUNDDOWN(LOG((Y23+1),2),0)</f>
        <v/>
      </c>
      <c r="AD23" s="2">
        <f>ROUNDDOWN(LOG((Z23+1),2),0)</f>
        <v/>
      </c>
      <c r="AG23" s="64" t="n">
        <v>27</v>
      </c>
      <c r="AH23" s="9" t="n">
        <v>0</v>
      </c>
      <c r="AI23" s="9" t="n">
        <v>0</v>
      </c>
      <c r="AJ23" s="9" t="n">
        <v>0</v>
      </c>
      <c r="AQ23" s="64" t="n">
        <v>27</v>
      </c>
      <c r="AR23" s="64" t="n">
        <v>48.149</v>
      </c>
      <c r="AS23" s="64" t="n">
        <v>45.611</v>
      </c>
      <c r="AT23" s="64" t="n">
        <v>38.699</v>
      </c>
      <c r="AV23" s="64" t="n">
        <v>27</v>
      </c>
      <c r="AW23" s="64">
        <f>Beginning_stock!AT51</f>
        <v/>
      </c>
      <c r="AX23" s="64">
        <f>Beginning_stock!AU51</f>
        <v/>
      </c>
      <c r="AY23" s="64">
        <f>Beginning_stock!AV51</f>
        <v/>
      </c>
      <c r="BA23" s="64" t="n">
        <v>27</v>
      </c>
      <c r="BB23" s="64">
        <f>IF(Demand!AU40=Retailers_Cap!N23,"ret=0",(AW23/(Demand!AU40-Retailers_Cap!N23)))</f>
        <v/>
      </c>
      <c r="BC23" s="64">
        <f>IF(Demand!AV40=Retailers_Cap!O23,"ret=0",(AX23/(Demand!AV40-Retailers_Cap!O23)))</f>
        <v/>
      </c>
      <c r="BD23" s="64">
        <f>IF(Demand!AW40=Retailers_Cap!P23,"ret=0",(AY23/(Demand!AW40-Retailers_Cap!P23)))</f>
        <v/>
      </c>
      <c r="BF23" s="64" t="n">
        <v>27</v>
      </c>
      <c r="BG23" s="2">
        <f>IF(Demand!AU40&lt;=Retailers_Cap!N23,"ret=0",(IF(BB23&lt;=AR23+Distributors_Cap!$P$47,1,0)))</f>
        <v/>
      </c>
      <c r="BH23" s="2">
        <f>IF(Demand!AV40&lt;=Retailers_Cap!O23,"ret=0",(IF(BC23&lt;=AS23+Distributors_Cap!$P$47,1,0)))</f>
        <v/>
      </c>
      <c r="BI23" s="2">
        <f>IF(Demand!AW40&lt;=Retailers_Cap!P23,"ret=0",(IF(BD23&lt;=AT23+Distributors_Cap!$P$47,1,0)))</f>
        <v/>
      </c>
      <c r="BK23" s="64" t="n">
        <v>27</v>
      </c>
      <c r="BL23" s="64">
        <f>Retailers!BH22</f>
        <v/>
      </c>
      <c r="BM23" s="64">
        <f>Retailers!BI22</f>
        <v/>
      </c>
      <c r="BN23" s="64">
        <f>Retailers!BJ22</f>
        <v/>
      </c>
      <c r="BP23" s="64" t="n">
        <v>27</v>
      </c>
      <c r="BQ23" s="64">
        <f>#REF!</f>
        <v/>
      </c>
      <c r="BR23" s="64">
        <f>#REF!</f>
        <v/>
      </c>
      <c r="BS23" s="64">
        <f>#REF!</f>
        <v/>
      </c>
      <c r="BU23" s="64" t="n">
        <v>27</v>
      </c>
      <c r="BV23" s="64">
        <f>Retailers!AS22</f>
        <v/>
      </c>
      <c r="BW23" s="64">
        <f>Retailers!AT22</f>
        <v/>
      </c>
      <c r="BX23" s="64">
        <f>Retailers!AU22</f>
        <v/>
      </c>
      <c r="BZ23" s="64" t="n">
        <v>27</v>
      </c>
      <c r="CA23" s="64">
        <f>Results!#REF!</f>
        <v/>
      </c>
      <c r="CB23" s="64">
        <f>Results!#REF!</f>
        <v/>
      </c>
      <c r="CC23" s="64">
        <f>Results!#REF!</f>
        <v/>
      </c>
      <c r="CE23" s="64" t="n">
        <v>27</v>
      </c>
      <c r="CF23" s="64">
        <f>Retailers!BN22</f>
        <v/>
      </c>
      <c r="CG23" s="64">
        <f>Retailers!BO22</f>
        <v/>
      </c>
      <c r="CH23" s="64">
        <f>Retailers!BP22</f>
        <v/>
      </c>
      <c r="CJ23" s="64" t="n">
        <v>27</v>
      </c>
      <c r="CK23" s="64">
        <f>IF(BB23="ret=0",0,IF(BB23&gt;0,AR23+Distributors_Cap!$P$47-BB23,0))</f>
        <v/>
      </c>
      <c r="CL23" s="64">
        <f>IF(BC23="ret=0",0,IF(BC23&gt;0,AS23+Distributors_Cap!$P$47-BC23,0))</f>
        <v/>
      </c>
      <c r="CM23" s="64">
        <f>IF(BD23="ret=0",0,IF(BD23&gt;0,AT23+Distributors_Cap!$P$47-BD23,0))</f>
        <v/>
      </c>
      <c r="CU23" s="64" t="n">
        <v>19</v>
      </c>
      <c r="CV23" s="64" t="n">
        <v>20</v>
      </c>
      <c r="CW23" s="64" t="n">
        <v>21</v>
      </c>
    </row>
    <row r="24">
      <c r="G24" s="64" t="n">
        <v>28</v>
      </c>
      <c r="H24" s="64" t="n">
        <v>58.654</v>
      </c>
      <c r="I24" s="64" t="n">
        <v>42.139</v>
      </c>
      <c r="J24" s="64" t="n">
        <v>59.228</v>
      </c>
      <c r="L24" s="64">
        <f>TRUNC((_xlfn.NORM.INV((RAND()),$K$7,$K$8)),0)</f>
        <v/>
      </c>
      <c r="M24" s="64" t="n">
        <v>28</v>
      </c>
      <c r="N24" s="5" t="n">
        <v>14</v>
      </c>
      <c r="O24" s="5" t="n">
        <v>32</v>
      </c>
      <c r="P24" s="5" t="n">
        <v>28</v>
      </c>
      <c r="R24" s="2">
        <f>IF(N24&gt;Demand!AU41,0,(IF(((2*(Retailers!AJ23+Distributors_Cap!$P$47)-Retailers_Cap!$BB$7)*(Demand!AU41-Retailers_Cap!N24))&lt;0,0,((IF(BB24&gt;2*(Retailers!AJ23+Distributors_Cap!$P$47),0,(IF(BG24=0,ROUNDUP((2*(Retailers!AJ23+Distributors_Cap!$P$47)-BB24)^0.5,0),ROUNDUP((2*(Retailers!AJ23+Distributors_Cap!$P$47)-BB24)^0.5,0)))))))))</f>
        <v/>
      </c>
      <c r="S24" s="2">
        <f>IF(O24&gt;Demand!AV41,0,(IF(((2*(Retailers!AK23+Distributors_Cap!$P$47)-Retailers_Cap!$BB$7)*(Demand!AV41-Retailers_Cap!O24))&lt;0,0,((IF(BC24&gt;2*(Retailers!AK23+Distributors_Cap!$P$47),0,(IF(BH24=0,ROUNDUP((2*(Retailers!AK23+Distributors_Cap!$P$47)-BC24)^0.5,0),ROUNDUP((2*(Retailers!AK23+Distributors_Cap!$P$47)-BC24)^0.5,0)))))))))</f>
        <v/>
      </c>
      <c r="T24" s="2">
        <f>IF(P24&gt;Demand!AW41,0,(IF(((2*(Retailers!AL23+Distributors_Cap!$P$47)-Retailers_Cap!$BB$7)*(Demand!AW41-Retailers_Cap!P24))&lt;0,0,((IF(BD24&gt;2*(Retailers!AL23+Distributors_Cap!$P$47),0,(IF(BI24=0,ROUNDUP((2*(Retailers!AL23+Distributors_Cap!$P$47)-BD24)^0.5,0),ROUNDUP((2*(Retailers!AL23+Distributors_Cap!$P$47)-BD24)^0.5,0)))))))))</f>
        <v/>
      </c>
      <c r="W24" s="64" t="n">
        <v>28</v>
      </c>
      <c r="X24" s="9" t="n">
        <v>13</v>
      </c>
      <c r="Y24" s="9" t="n">
        <v>0</v>
      </c>
      <c r="Z24" s="9" t="n">
        <v>11</v>
      </c>
      <c r="AB24" s="2">
        <f>ROUNDDOWN(LOG((X24+1),2),0)</f>
        <v/>
      </c>
      <c r="AC24" s="2">
        <f>ROUNDDOWN(LOG((Y24+1),2),0)</f>
        <v/>
      </c>
      <c r="AD24" s="2">
        <f>ROUNDDOWN(LOG((Z24+1),2),0)</f>
        <v/>
      </c>
      <c r="AG24" s="64" t="n">
        <v>28</v>
      </c>
      <c r="AH24" s="9" t="n">
        <v>3</v>
      </c>
      <c r="AI24" s="9" t="n">
        <v>0</v>
      </c>
      <c r="AJ24" s="9" t="n">
        <v>3</v>
      </c>
      <c r="AQ24" s="64" t="n">
        <v>28</v>
      </c>
      <c r="AR24" s="64" t="n">
        <v>58.654</v>
      </c>
      <c r="AS24" s="64" t="n">
        <v>42.139</v>
      </c>
      <c r="AT24" s="64" t="n">
        <v>59.228</v>
      </c>
      <c r="AV24" s="64" t="n">
        <v>28</v>
      </c>
      <c r="AW24" s="64">
        <f>Beginning_stock!AT52</f>
        <v/>
      </c>
      <c r="AX24" s="64">
        <f>Beginning_stock!AU52</f>
        <v/>
      </c>
      <c r="AY24" s="64">
        <f>Beginning_stock!AV52</f>
        <v/>
      </c>
      <c r="BA24" s="64" t="n">
        <v>28</v>
      </c>
      <c r="BB24" s="64">
        <f>IF(Demand!AU41=Retailers_Cap!N24,"ret=0",(AW24/(Demand!AU41-Retailers_Cap!N24)))</f>
        <v/>
      </c>
      <c r="BC24" s="64">
        <f>IF(Demand!AV41=Retailers_Cap!O24,"ret=0",(AX24/(Demand!AV41-Retailers_Cap!O24)))</f>
        <v/>
      </c>
      <c r="BD24" s="64">
        <f>IF(Demand!AW41=Retailers_Cap!P24,"ret=0",(AY24/(Demand!AW41-Retailers_Cap!P24)))</f>
        <v/>
      </c>
      <c r="BF24" s="64" t="n">
        <v>28</v>
      </c>
      <c r="BG24" s="2">
        <f>IF(Demand!AU41&lt;=Retailers_Cap!N24,"ret=0",(IF(BB24&lt;=AR24+Distributors_Cap!$P$47,1,0)))</f>
        <v/>
      </c>
      <c r="BH24" s="2">
        <f>IF(Demand!AV41&lt;=Retailers_Cap!O24,"ret=0",(IF(BC24&lt;=AS24+Distributors_Cap!$P$47,1,0)))</f>
        <v/>
      </c>
      <c r="BI24" s="2">
        <f>IF(Demand!AW41&lt;=Retailers_Cap!P24,"ret=0",(IF(BD24&lt;=AT24+Distributors_Cap!$P$47,1,0)))</f>
        <v/>
      </c>
      <c r="BK24" s="64" t="n">
        <v>28</v>
      </c>
      <c r="BL24" s="64">
        <f>Retailers!BH23</f>
        <v/>
      </c>
      <c r="BM24" s="64">
        <f>Retailers!BI23</f>
        <v/>
      </c>
      <c r="BN24" s="64">
        <f>Retailers!BJ23</f>
        <v/>
      </c>
      <c r="BP24" s="64" t="n">
        <v>28</v>
      </c>
      <c r="BQ24" s="64">
        <f>#REF!</f>
        <v/>
      </c>
      <c r="BR24" s="64">
        <f>#REF!</f>
        <v/>
      </c>
      <c r="BS24" s="64">
        <f>#REF!</f>
        <v/>
      </c>
      <c r="BU24" s="64" t="n">
        <v>28</v>
      </c>
      <c r="BV24" s="64">
        <f>Retailers!AS23</f>
        <v/>
      </c>
      <c r="BW24" s="64">
        <f>Retailers!AT23</f>
        <v/>
      </c>
      <c r="BX24" s="64">
        <f>Retailers!AU23</f>
        <v/>
      </c>
      <c r="BZ24" s="64" t="n">
        <v>28</v>
      </c>
      <c r="CA24" s="64">
        <f>Results!#REF!</f>
        <v/>
      </c>
      <c r="CB24" s="64">
        <f>Results!#REF!</f>
        <v/>
      </c>
      <c r="CC24" s="64">
        <f>Results!#REF!</f>
        <v/>
      </c>
      <c r="CE24" s="64" t="n">
        <v>28</v>
      </c>
      <c r="CF24" s="64">
        <f>Retailers!BN23</f>
        <v/>
      </c>
      <c r="CG24" s="64">
        <f>Retailers!BO23</f>
        <v/>
      </c>
      <c r="CH24" s="64">
        <f>Retailers!BP23</f>
        <v/>
      </c>
      <c r="CJ24" s="64" t="n">
        <v>28</v>
      </c>
      <c r="CK24" s="64">
        <f>IF(BB24="ret=0",0,IF(BB24&gt;0,AR24+Distributors_Cap!$P$47-BB24,0))</f>
        <v/>
      </c>
      <c r="CL24" s="64">
        <f>IF(BC24="ret=0",0,IF(BC24&gt;0,AS24+Distributors_Cap!$P$47-BC24,0))</f>
        <v/>
      </c>
      <c r="CM24" s="64">
        <f>IF(BD24="ret=0",0,IF(BD24&gt;0,AT24+Distributors_Cap!$P$47-BD24,0))</f>
        <v/>
      </c>
      <c r="CS24" s="64" t="inlineStr">
        <is>
          <t>lambdad</t>
        </is>
      </c>
      <c r="CT24" s="64" t="n">
        <v>9</v>
      </c>
      <c r="CU24" s="64" t="n">
        <v>19.26</v>
      </c>
      <c r="CV24" s="64" t="n">
        <v>16.289</v>
      </c>
      <c r="CW24" s="64" t="n">
        <v>18.674</v>
      </c>
    </row>
    <row r="25">
      <c r="G25" s="64" t="n">
        <v>29</v>
      </c>
      <c r="H25" s="64" t="n">
        <v>74.997</v>
      </c>
      <c r="I25" s="64" t="n">
        <v>45.427</v>
      </c>
      <c r="J25" s="64" t="n">
        <v>54.332</v>
      </c>
      <c r="L25" s="64">
        <f>TRUNC((_xlfn.NORM.INV((RAND()),$K$7,$K$8)),0)</f>
        <v/>
      </c>
      <c r="M25" s="64" t="n">
        <v>29</v>
      </c>
      <c r="N25" s="5" t="n">
        <v>25</v>
      </c>
      <c r="O25" s="5" t="n">
        <v>26</v>
      </c>
      <c r="P25" s="5" t="n">
        <v>34</v>
      </c>
      <c r="R25" s="2">
        <f>IF(N25&gt;Demand!AU42,0,(IF(((2*(Retailers!AJ24+Distributors_Cap!$P$47)-Retailers_Cap!$BB$7)*(Demand!AU42-Retailers_Cap!N25))&lt;0,0,((IF(BB25&gt;2*(Retailers!AJ24+Distributors_Cap!$P$47),0,(IF(BG25=0,ROUNDUP((2*(Retailers!AJ24+Distributors_Cap!$P$47)-BB25)^0.5,0),ROUNDUP((2*(Retailers!AJ24+Distributors_Cap!$P$47)-BB25)^0.5,0)))))))))</f>
        <v/>
      </c>
      <c r="S25" s="2">
        <f>IF(O25&gt;Demand!AV42,0,(IF(((2*(Retailers!AK24+Distributors_Cap!$P$47)-Retailers_Cap!$BB$7)*(Demand!AV42-Retailers_Cap!O25))&lt;0,0,((IF(BC25&gt;2*(Retailers!AK24+Distributors_Cap!$P$47),0,(IF(BH25=0,ROUNDUP((2*(Retailers!AK24+Distributors_Cap!$P$47)-BC25)^0.5,0),ROUNDUP((2*(Retailers!AK24+Distributors_Cap!$P$47)-BC25)^0.5,0)))))))))</f>
        <v/>
      </c>
      <c r="T25" s="2">
        <f>IF(P25&gt;Demand!AW42,0,(IF(((2*(Retailers!AL24+Distributors_Cap!$P$47)-Retailers_Cap!$BB$7)*(Demand!AW42-Retailers_Cap!P25))&lt;0,0,((IF(BD25&gt;2*(Retailers!AL24+Distributors_Cap!$P$47),0,(IF(BI25=0,ROUNDUP((2*(Retailers!AL24+Distributors_Cap!$P$47)-BD25)^0.5,0),ROUNDUP((2*(Retailers!AL24+Distributors_Cap!$P$47)-BD25)^0.5,0)))))))))</f>
        <v/>
      </c>
      <c r="W25" s="64" t="n">
        <v>29</v>
      </c>
      <c r="X25" s="9" t="n">
        <v>0</v>
      </c>
      <c r="Y25" s="9" t="n">
        <v>0</v>
      </c>
      <c r="Z25" s="9" t="n">
        <v>0</v>
      </c>
      <c r="AB25" s="2">
        <f>ROUNDDOWN(LOG((X25+1),2),0)</f>
        <v/>
      </c>
      <c r="AC25" s="2">
        <f>ROUNDDOWN(LOG((Y25+1),2),0)</f>
        <v/>
      </c>
      <c r="AD25" s="2">
        <f>ROUNDDOWN(LOG((Z25+1),2),0)</f>
        <v/>
      </c>
      <c r="AG25" s="64" t="n">
        <v>29</v>
      </c>
      <c r="AH25" s="9" t="n">
        <v>0</v>
      </c>
      <c r="AI25" s="9" t="n">
        <v>0</v>
      </c>
      <c r="AJ25" s="9" t="n">
        <v>0</v>
      </c>
      <c r="AQ25" s="64" t="n">
        <v>29</v>
      </c>
      <c r="AR25" s="64" t="n">
        <v>74.997</v>
      </c>
      <c r="AS25" s="64" t="n">
        <v>45.427</v>
      </c>
      <c r="AT25" s="64" t="n">
        <v>54.332</v>
      </c>
      <c r="AV25" s="64" t="n">
        <v>29</v>
      </c>
      <c r="AW25" s="64">
        <f>Beginning_stock!AT53</f>
        <v/>
      </c>
      <c r="AX25" s="64">
        <f>Beginning_stock!AU53</f>
        <v/>
      </c>
      <c r="AY25" s="64">
        <f>Beginning_stock!AV53</f>
        <v/>
      </c>
      <c r="BA25" s="64" t="n">
        <v>29</v>
      </c>
      <c r="BB25" s="64">
        <f>IF(Demand!AU42=Retailers_Cap!N25,"ret=0",(AW25/(Demand!AU42-Retailers_Cap!N25)))</f>
        <v/>
      </c>
      <c r="BC25" s="64">
        <f>IF(Demand!AV42=Retailers_Cap!O25,"ret=0",(AX25/(Demand!AV42-Retailers_Cap!O25)))</f>
        <v/>
      </c>
      <c r="BD25" s="64">
        <f>IF(Demand!AW42=Retailers_Cap!P25,"ret=0",(AY25/(Demand!AW42-Retailers_Cap!P25)))</f>
        <v/>
      </c>
      <c r="BF25" s="64" t="n">
        <v>29</v>
      </c>
      <c r="BG25" s="2">
        <f>IF(Demand!AU42&lt;=Retailers_Cap!N25,"ret=0",(IF(BB25&lt;=AR25+Distributors_Cap!$P$47,1,0)))</f>
        <v/>
      </c>
      <c r="BH25" s="2">
        <f>IF(Demand!AV42&lt;=Retailers_Cap!O25,"ret=0",(IF(BC25&lt;=AS25+Distributors_Cap!$P$47,1,0)))</f>
        <v/>
      </c>
      <c r="BI25" s="2">
        <f>IF(Demand!AW42&lt;=Retailers_Cap!P25,"ret=0",(IF(BD25&lt;=AT25+Distributors_Cap!$P$47,1,0)))</f>
        <v/>
      </c>
      <c r="BK25" s="64" t="n">
        <v>29</v>
      </c>
      <c r="BL25" s="64">
        <f>Retailers!BH24</f>
        <v/>
      </c>
      <c r="BM25" s="64">
        <f>Retailers!BI24</f>
        <v/>
      </c>
      <c r="BN25" s="64">
        <f>Retailers!BJ24</f>
        <v/>
      </c>
      <c r="BP25" s="64" t="n">
        <v>29</v>
      </c>
      <c r="BQ25" s="64">
        <f>#REF!</f>
        <v/>
      </c>
      <c r="BR25" s="64">
        <f>#REF!</f>
        <v/>
      </c>
      <c r="BS25" s="64">
        <f>#REF!</f>
        <v/>
      </c>
      <c r="BU25" s="64" t="n">
        <v>29</v>
      </c>
      <c r="BV25" s="64">
        <f>Retailers!AS24</f>
        <v/>
      </c>
      <c r="BW25" s="64">
        <f>Retailers!AT24</f>
        <v/>
      </c>
      <c r="BX25" s="64">
        <f>Retailers!AU24</f>
        <v/>
      </c>
      <c r="BZ25" s="64" t="n">
        <v>29</v>
      </c>
      <c r="CA25" s="64">
        <f>Results!#REF!</f>
        <v/>
      </c>
      <c r="CB25" s="64">
        <f>Results!#REF!</f>
        <v/>
      </c>
      <c r="CC25" s="64">
        <f>Results!#REF!</f>
        <v/>
      </c>
      <c r="CE25" s="64" t="n">
        <v>29</v>
      </c>
      <c r="CF25" s="64">
        <f>Retailers!BN24</f>
        <v/>
      </c>
      <c r="CG25" s="64">
        <f>Retailers!BO24</f>
        <v/>
      </c>
      <c r="CH25" s="64">
        <f>Retailers!BP24</f>
        <v/>
      </c>
      <c r="CJ25" s="64" t="n">
        <v>29</v>
      </c>
      <c r="CK25" s="64">
        <f>IF(BB25="ret=0",0,IF(BB25&gt;0,AR25+Distributors_Cap!$P$47-BB25,0))</f>
        <v/>
      </c>
      <c r="CL25" s="64">
        <f>IF(BC25="ret=0",0,IF(BC25&gt;0,AS25+Distributors_Cap!$P$47-BC25,0))</f>
        <v/>
      </c>
      <c r="CM25" s="64">
        <f>IF(BD25="ret=0",0,IF(BD25&gt;0,AT25+Distributors_Cap!$P$47-BD25,0))</f>
        <v/>
      </c>
      <c r="CT25" s="64" t="n">
        <v>10</v>
      </c>
      <c r="CU25" s="64" t="n">
        <v>15.308</v>
      </c>
      <c r="CV25" s="64" t="n">
        <v>14.624</v>
      </c>
      <c r="CW25" s="64" t="n">
        <v>19.745</v>
      </c>
    </row>
    <row r="26">
      <c r="G26" s="64" t="n">
        <v>30</v>
      </c>
      <c r="H26" s="64" t="n">
        <v>54.744</v>
      </c>
      <c r="I26" s="64" t="n">
        <v>69.771</v>
      </c>
      <c r="J26" s="64" t="n">
        <v>54.29</v>
      </c>
      <c r="L26" s="64">
        <f>TRUNC((_xlfn.NORM.INV((RAND()),$K$7,$K$8)),0)</f>
        <v/>
      </c>
      <c r="M26" s="64" t="n">
        <v>30</v>
      </c>
      <c r="N26" s="5" t="n">
        <v>17</v>
      </c>
      <c r="O26" s="5" t="n">
        <v>33</v>
      </c>
      <c r="P26" s="5" t="n">
        <v>31</v>
      </c>
      <c r="R26" s="2">
        <f>IF(N26&gt;Demand!AU43,0,(IF(((2*(Retailers!AJ25+Distributors_Cap!$P$47)-Retailers_Cap!$BB$7)*(Demand!AU43-Retailers_Cap!N26))&lt;0,0,((IF(BB26&gt;2*(Retailers!AJ25+Distributors_Cap!$P$47),0,(IF(BG26=0,ROUNDUP((2*(Retailers!AJ25+Distributors_Cap!$P$47)-BB26)^0.5,0),ROUNDUP((2*(Retailers!AJ25+Distributors_Cap!$P$47)-BB26)^0.5,0)))))))))</f>
        <v/>
      </c>
      <c r="S26" s="2">
        <f>IF(O26&gt;Demand!AV43,0,(IF(((2*(Retailers!AK25+Distributors_Cap!$P$47)-Retailers_Cap!$BB$7)*(Demand!AV43-Retailers_Cap!O26))&lt;0,0,((IF(BC26&gt;2*(Retailers!AK25+Distributors_Cap!$P$47),0,(IF(BH26=0,ROUNDUP((2*(Retailers!AK25+Distributors_Cap!$P$47)-BC26)^0.5,0),ROUNDUP((2*(Retailers!AK25+Distributors_Cap!$P$47)-BC26)^0.5,0)))))))))</f>
        <v/>
      </c>
      <c r="T26" s="2">
        <f>IF(P26&gt;Demand!AW43,0,(IF(((2*(Retailers!AL25+Distributors_Cap!$P$47)-Retailers_Cap!$BB$7)*(Demand!AW43-Retailers_Cap!P26))&lt;0,0,((IF(BD26&gt;2*(Retailers!AL25+Distributors_Cap!$P$47),0,(IF(BI26=0,ROUNDUP((2*(Retailers!AL25+Distributors_Cap!$P$47)-BD26)^0.5,0),ROUNDUP((2*(Retailers!AL25+Distributors_Cap!$P$47)-BD26)^0.5,0)))))))))</f>
        <v/>
      </c>
      <c r="W26" s="64" t="n">
        <v>30</v>
      </c>
      <c r="X26" s="9" t="n">
        <v>12</v>
      </c>
      <c r="Y26" s="9" t="n">
        <v>0</v>
      </c>
      <c r="Z26" s="9" t="n">
        <v>0</v>
      </c>
      <c r="AB26" s="2">
        <f>ROUNDDOWN(LOG((X26+1),2),0)</f>
        <v/>
      </c>
      <c r="AC26" s="2">
        <f>ROUNDDOWN(LOG((Y26+1),2),0)</f>
        <v/>
      </c>
      <c r="AD26" s="2">
        <f>ROUNDDOWN(LOG((Z26+1),2),0)</f>
        <v/>
      </c>
      <c r="AG26" s="64" t="n">
        <v>30</v>
      </c>
      <c r="AH26" s="9" t="n">
        <v>3</v>
      </c>
      <c r="AI26" s="9" t="n">
        <v>0</v>
      </c>
      <c r="AJ26" s="9" t="n">
        <v>0</v>
      </c>
      <c r="AQ26" s="64" t="n">
        <v>30</v>
      </c>
      <c r="AR26" s="64" t="n">
        <v>54.744</v>
      </c>
      <c r="AS26" s="64" t="n">
        <v>69.771</v>
      </c>
      <c r="AT26" s="64" t="n">
        <v>54.29</v>
      </c>
      <c r="AV26" s="64" t="n">
        <v>30</v>
      </c>
      <c r="AW26" s="64">
        <f>Beginning_stock!AT54</f>
        <v/>
      </c>
      <c r="AX26" s="64">
        <f>Beginning_stock!AU54</f>
        <v/>
      </c>
      <c r="AY26" s="64">
        <f>Beginning_stock!AV54</f>
        <v/>
      </c>
      <c r="BA26" s="64" t="n">
        <v>30</v>
      </c>
      <c r="BB26" s="64">
        <f>IF(Demand!AU43=Retailers_Cap!N26,"ret=0",(AW26/(Demand!AU43-Retailers_Cap!N26)))</f>
        <v/>
      </c>
      <c r="BC26" s="64">
        <f>IF(Demand!AV43=Retailers_Cap!O26,"ret=0",(AX26/(Demand!AV43-Retailers_Cap!O26)))</f>
        <v/>
      </c>
      <c r="BD26" s="64">
        <f>IF(Demand!AW43=Retailers_Cap!P26,"ret=0",(AY26/(Demand!AW43-Retailers_Cap!P26)))</f>
        <v/>
      </c>
      <c r="BF26" s="64" t="n">
        <v>30</v>
      </c>
      <c r="BG26" s="2">
        <f>IF(Demand!AU43&lt;=Retailers_Cap!N26,"ret=0",(IF(BB26&lt;=AR26+Distributors_Cap!$P$47,1,0)))</f>
        <v/>
      </c>
      <c r="BH26" s="2">
        <f>IF(Demand!AV43&lt;=Retailers_Cap!O26,"ret=0",(IF(BC26&lt;=AS26+Distributors_Cap!$P$47,1,0)))</f>
        <v/>
      </c>
      <c r="BI26" s="2">
        <f>IF(Demand!AW43&lt;=Retailers_Cap!P26,"ret=0",(IF(BD26&lt;=AT26+Distributors_Cap!$P$47,1,0)))</f>
        <v/>
      </c>
      <c r="BK26" s="64" t="n">
        <v>30</v>
      </c>
      <c r="BL26" s="64">
        <f>Retailers!BH25</f>
        <v/>
      </c>
      <c r="BM26" s="64">
        <f>Retailers!BI25</f>
        <v/>
      </c>
      <c r="BN26" s="64">
        <f>Retailers!BJ25</f>
        <v/>
      </c>
      <c r="BP26" s="64" t="n">
        <v>30</v>
      </c>
      <c r="BQ26" s="64">
        <f>#REF!</f>
        <v/>
      </c>
      <c r="BR26" s="64">
        <f>#REF!</f>
        <v/>
      </c>
      <c r="BS26" s="64">
        <f>#REF!</f>
        <v/>
      </c>
      <c r="BU26" s="64" t="n">
        <v>30</v>
      </c>
      <c r="BV26" s="64">
        <f>Retailers!AS25</f>
        <v/>
      </c>
      <c r="BW26" s="64">
        <f>Retailers!AT25</f>
        <v/>
      </c>
      <c r="BX26" s="64">
        <f>Retailers!AU25</f>
        <v/>
      </c>
      <c r="BZ26" s="64" t="n">
        <v>30</v>
      </c>
      <c r="CA26" s="64">
        <f>Results!#REF!</f>
        <v/>
      </c>
      <c r="CB26" s="64">
        <f>Results!#REF!</f>
        <v/>
      </c>
      <c r="CC26" s="64">
        <f>Results!#REF!</f>
        <v/>
      </c>
      <c r="CE26" s="64" t="n">
        <v>30</v>
      </c>
      <c r="CF26" s="64">
        <f>Retailers!BN25</f>
        <v/>
      </c>
      <c r="CG26" s="64">
        <f>Retailers!BO25</f>
        <v/>
      </c>
      <c r="CH26" s="64">
        <f>Retailers!BP25</f>
        <v/>
      </c>
      <c r="CJ26" s="64" t="n">
        <v>30</v>
      </c>
      <c r="CK26" s="64">
        <f>IF(BB26="ret=0",0,IF(BB26&gt;0,AR26+Distributors_Cap!$P$47-BB26,0))</f>
        <v/>
      </c>
      <c r="CL26" s="64">
        <f>IF(BC26="ret=0",0,IF(BC26&gt;0,AS26+Distributors_Cap!$P$47-BC26,0))</f>
        <v/>
      </c>
      <c r="CM26" s="64">
        <f>IF(BD26="ret=0",0,IF(BD26&gt;0,AT26+Distributors_Cap!$P$47-BD26,0))</f>
        <v/>
      </c>
    </row>
    <row r="27">
      <c r="G27" s="64" t="n">
        <v>31</v>
      </c>
      <c r="H27" s="64" t="n">
        <v>65.696</v>
      </c>
      <c r="I27" s="64" t="n">
        <v>66.53</v>
      </c>
      <c r="J27" s="64" t="n">
        <v>49.735</v>
      </c>
      <c r="L27" s="64">
        <f>TRUNC((_xlfn.NORM.INV((RAND()),$K$7,$K$8)),0)</f>
        <v/>
      </c>
      <c r="M27" s="64" t="n">
        <v>31</v>
      </c>
      <c r="N27" s="5" t="n">
        <v>23</v>
      </c>
      <c r="O27" s="5" t="n">
        <v>32</v>
      </c>
      <c r="P27" s="5" t="n">
        <v>33</v>
      </c>
      <c r="R27" s="2">
        <f>IF(N27&gt;Demand!AU44,0,(IF(((2*(Retailers!AJ26+Distributors_Cap!$P$47)-Retailers_Cap!$BB$7)*(Demand!AU44-Retailers_Cap!N27))&lt;0,0,((IF(BB27&gt;2*(Retailers!AJ26+Distributors_Cap!$P$47),0,(IF(BG27=0,ROUNDUP((2*(Retailers!AJ26+Distributors_Cap!$P$47)-BB27)^0.5,0),ROUNDUP((2*(Retailers!AJ26+Distributors_Cap!$P$47)-BB27)^0.5,0)))))))))</f>
        <v/>
      </c>
      <c r="S27" s="2">
        <f>IF(O27&gt;Demand!AV44,0,(IF(((2*(Retailers!AK26+Distributors_Cap!$P$47)-Retailers_Cap!$BB$7)*(Demand!AV44-Retailers_Cap!O27))&lt;0,0,((IF(BC27&gt;2*(Retailers!AK26+Distributors_Cap!$P$47),0,(IF(BH27=0,ROUNDUP((2*(Retailers!AK26+Distributors_Cap!$P$47)-BC27)^0.5,0),ROUNDUP((2*(Retailers!AK26+Distributors_Cap!$P$47)-BC27)^0.5,0)))))))))</f>
        <v/>
      </c>
      <c r="T27" s="2">
        <f>IF(P27&gt;Demand!AW44,0,(IF(((2*(Retailers!AL26+Distributors_Cap!$P$47)-Retailers_Cap!$BB$7)*(Demand!AW44-Retailers_Cap!P27))&lt;0,0,((IF(BD27&gt;2*(Retailers!AL26+Distributors_Cap!$P$47),0,(IF(BI27=0,ROUNDUP((2*(Retailers!AL26+Distributors_Cap!$P$47)-BD27)^0.5,0),ROUNDUP((2*(Retailers!AL26+Distributors_Cap!$P$47)-BD27)^0.5,0)))))))))</f>
        <v/>
      </c>
      <c r="W27" s="64" t="n">
        <v>31</v>
      </c>
      <c r="X27" s="9" t="n">
        <v>0</v>
      </c>
      <c r="Y27" s="9" t="n">
        <v>0</v>
      </c>
      <c r="Z27" s="9" t="n">
        <v>10</v>
      </c>
      <c r="AB27" s="2">
        <f>ROUNDDOWN(LOG((X27+1),2),0)</f>
        <v/>
      </c>
      <c r="AC27" s="2">
        <f>ROUNDDOWN(LOG((Y27+1),2),0)</f>
        <v/>
      </c>
      <c r="AD27" s="2">
        <f>ROUNDDOWN(LOG((Z27+1),2),0)</f>
        <v/>
      </c>
      <c r="AG27" s="64" t="n">
        <v>31</v>
      </c>
      <c r="AH27" s="9" t="n">
        <v>0</v>
      </c>
      <c r="AI27" s="9" t="n">
        <v>0</v>
      </c>
      <c r="AJ27" s="9" t="n">
        <v>3</v>
      </c>
      <c r="AQ27" s="64" t="n">
        <v>31</v>
      </c>
      <c r="AR27" s="64" t="n">
        <v>65.696</v>
      </c>
      <c r="AS27" s="64" t="n">
        <v>66.53</v>
      </c>
      <c r="AT27" s="64" t="n">
        <v>49.735</v>
      </c>
      <c r="AV27" s="64" t="n">
        <v>31</v>
      </c>
      <c r="AW27" s="64">
        <f>Beginning_stock!AT55</f>
        <v/>
      </c>
      <c r="AX27" s="64">
        <f>Beginning_stock!AU55</f>
        <v/>
      </c>
      <c r="AY27" s="64">
        <f>Beginning_stock!AV55</f>
        <v/>
      </c>
      <c r="BA27" s="64" t="n">
        <v>31</v>
      </c>
      <c r="BB27" s="64">
        <f>IF(Demand!AU44=Retailers_Cap!N27,"ret=0",(AW27/(Demand!AU44-Retailers_Cap!N27)))</f>
        <v/>
      </c>
      <c r="BC27" s="64">
        <f>IF(Demand!AV44=Retailers_Cap!O27,"ret=0",(AX27/(Demand!AV44-Retailers_Cap!O27)))</f>
        <v/>
      </c>
      <c r="BD27" s="64">
        <f>IF(Demand!AW44=Retailers_Cap!P27,"ret=0",(AY27/(Demand!AW44-Retailers_Cap!P27)))</f>
        <v/>
      </c>
      <c r="BF27" s="64" t="n">
        <v>31</v>
      </c>
      <c r="BG27" s="2">
        <f>IF(Demand!AU44&lt;=Retailers_Cap!N27,"ret=0",(IF(BB27&lt;=AR27+Distributors_Cap!$P$47,1,0)))</f>
        <v/>
      </c>
      <c r="BH27" s="2">
        <f>IF(Demand!AV44&lt;=Retailers_Cap!O27,"ret=0",(IF(BC27&lt;=AS27+Distributors_Cap!$P$47,1,0)))</f>
        <v/>
      </c>
      <c r="BI27" s="2">
        <f>IF(Demand!AW44&lt;=Retailers_Cap!P27,"ret=0",(IF(BD27&lt;=AT27+Distributors_Cap!$P$47,1,0)))</f>
        <v/>
      </c>
      <c r="BK27" s="64" t="n">
        <v>31</v>
      </c>
      <c r="BL27" s="64">
        <f>Retailers!BH26</f>
        <v/>
      </c>
      <c r="BM27" s="64">
        <f>Retailers!BI26</f>
        <v/>
      </c>
      <c r="BN27" s="64">
        <f>Retailers!BJ26</f>
        <v/>
      </c>
      <c r="BP27" s="64" t="n">
        <v>31</v>
      </c>
      <c r="BQ27" s="64">
        <f>#REF!</f>
        <v/>
      </c>
      <c r="BR27" s="64">
        <f>#REF!</f>
        <v/>
      </c>
      <c r="BS27" s="64">
        <f>#REF!</f>
        <v/>
      </c>
      <c r="BU27" s="64" t="n">
        <v>31</v>
      </c>
      <c r="BV27" s="64">
        <f>Retailers!AS26</f>
        <v/>
      </c>
      <c r="BW27" s="64">
        <f>Retailers!AT26</f>
        <v/>
      </c>
      <c r="BX27" s="64">
        <f>Retailers!AU26</f>
        <v/>
      </c>
      <c r="BZ27" s="64" t="n">
        <v>31</v>
      </c>
      <c r="CA27" s="64">
        <f>Results!#REF!</f>
        <v/>
      </c>
      <c r="CB27" s="64">
        <f>Results!#REF!</f>
        <v/>
      </c>
      <c r="CC27" s="64">
        <f>Results!#REF!</f>
        <v/>
      </c>
      <c r="CE27" s="64" t="n">
        <v>31</v>
      </c>
      <c r="CF27" s="64">
        <f>Retailers!BN26</f>
        <v/>
      </c>
      <c r="CG27" s="64">
        <f>Retailers!BO26</f>
        <v/>
      </c>
      <c r="CH27" s="64">
        <f>Retailers!BP26</f>
        <v/>
      </c>
      <c r="CJ27" s="64" t="n">
        <v>31</v>
      </c>
      <c r="CK27" s="64">
        <f>IF(BB27="ret=0",0,IF(BB27&gt;0,AR27+Distributors_Cap!$P$47-BB27,0))</f>
        <v/>
      </c>
      <c r="CL27" s="64">
        <f>IF(BC27="ret=0",0,IF(BC27&gt;0,AS27+Distributors_Cap!$P$47-BC27,0))</f>
        <v/>
      </c>
      <c r="CM27" s="64">
        <f>IF(BD27="ret=0",0,IF(BD27&gt;0,AT27+Distributors_Cap!$P$47-BD27,0))</f>
        <v/>
      </c>
      <c r="CT27" s="64" t="inlineStr">
        <is>
          <t>máximo</t>
        </is>
      </c>
      <c r="CU27" s="64">
        <f>MAX(CU24:CW25)</f>
        <v/>
      </c>
    </row>
    <row r="28">
      <c r="G28" s="64" t="n">
        <v>32</v>
      </c>
      <c r="H28" s="64" t="n">
        <v>71.468</v>
      </c>
      <c r="I28" s="64" t="n">
        <v>35.687</v>
      </c>
      <c r="J28" s="64" t="n">
        <v>51.613</v>
      </c>
      <c r="L28" s="64">
        <f>TRUNC((_xlfn.NORM.INV((RAND()),$K$7,$K$8)),0)</f>
        <v/>
      </c>
      <c r="M28" s="64" t="n">
        <v>32</v>
      </c>
      <c r="N28" s="5" t="n">
        <v>30</v>
      </c>
      <c r="O28" s="5" t="n">
        <v>31</v>
      </c>
      <c r="P28" s="5" t="n">
        <v>16</v>
      </c>
      <c r="R28" s="2">
        <f>IF(N28&gt;Demand!AU45,0,(IF(((2*(Retailers!AJ27+Distributors_Cap!$P$47)-Retailers_Cap!$BB$7)*(Demand!AU45-Retailers_Cap!N28))&lt;0,0,((IF(BB28&gt;2*(Retailers!AJ27+Distributors_Cap!$P$47),0,(IF(BG28=0,ROUNDUP((2*(Retailers!AJ27+Distributors_Cap!$P$47)-BB28)^0.5,0),ROUNDUP((2*(Retailers!AJ27+Distributors_Cap!$P$47)-BB28)^0.5,0)))))))))</f>
        <v/>
      </c>
      <c r="S28" s="2">
        <f>IF(O28&gt;Demand!AV45,0,(IF(((2*(Retailers!AK27+Distributors_Cap!$P$47)-Retailers_Cap!$BB$7)*(Demand!AV45-Retailers_Cap!O28))&lt;0,0,((IF(BC28&gt;2*(Retailers!AK27+Distributors_Cap!$P$47),0,(IF(BH28=0,ROUNDUP((2*(Retailers!AK27+Distributors_Cap!$P$47)-BC28)^0.5,0),ROUNDUP((2*(Retailers!AK27+Distributors_Cap!$P$47)-BC28)^0.5,0)))))))))</f>
        <v/>
      </c>
      <c r="T28" s="2">
        <f>IF(P28&gt;Demand!AW45,0,(IF(((2*(Retailers!AL27+Distributors_Cap!$P$47)-Retailers_Cap!$BB$7)*(Demand!AW45-Retailers_Cap!P28))&lt;0,0,((IF(BD28&gt;2*(Retailers!AL27+Distributors_Cap!$P$47),0,(IF(BI28=0,ROUNDUP((2*(Retailers!AL27+Distributors_Cap!$P$47)-BD28)^0.5,0),ROUNDUP((2*(Retailers!AL27+Distributors_Cap!$P$47)-BD28)^0.5,0)))))))))</f>
        <v/>
      </c>
      <c r="W28" s="64" t="n">
        <v>32</v>
      </c>
      <c r="X28" s="9" t="n">
        <v>0</v>
      </c>
      <c r="Y28" s="9" t="n">
        <v>0</v>
      </c>
      <c r="Z28" s="9" t="n">
        <v>12</v>
      </c>
      <c r="AB28" s="2">
        <f>ROUNDDOWN(LOG((X28+1),2),0)</f>
        <v/>
      </c>
      <c r="AC28" s="2">
        <f>ROUNDDOWN(LOG((Y28+1),2),0)</f>
        <v/>
      </c>
      <c r="AD28" s="2">
        <f>ROUNDDOWN(LOG((Z28+1),2),0)</f>
        <v/>
      </c>
      <c r="AG28" s="64" t="n">
        <v>32</v>
      </c>
      <c r="AH28" s="9" t="n">
        <v>0</v>
      </c>
      <c r="AI28" s="9" t="n">
        <v>0</v>
      </c>
      <c r="AJ28" s="9" t="n">
        <v>3</v>
      </c>
      <c r="AQ28" s="64" t="n">
        <v>32</v>
      </c>
      <c r="AR28" s="64" t="n">
        <v>71.468</v>
      </c>
      <c r="AS28" s="64" t="n">
        <v>35.687</v>
      </c>
      <c r="AT28" s="64" t="n">
        <v>51.613</v>
      </c>
      <c r="AV28" s="64" t="n">
        <v>32</v>
      </c>
      <c r="AW28" s="64">
        <f>Beginning_stock!AT56</f>
        <v/>
      </c>
      <c r="AX28" s="64">
        <f>Beginning_stock!AU56</f>
        <v/>
      </c>
      <c r="AY28" s="64">
        <f>Beginning_stock!AV56</f>
        <v/>
      </c>
      <c r="BA28" s="64" t="n">
        <v>32</v>
      </c>
      <c r="BB28" s="64">
        <f>IF(Demand!AU45=Retailers_Cap!N28,"ret=0",(AW28/(Demand!AU45-Retailers_Cap!N28)))</f>
        <v/>
      </c>
      <c r="BC28" s="64">
        <f>IF(Demand!AV45=Retailers_Cap!O28,"ret=0",(AX28/(Demand!AV45-Retailers_Cap!O28)))</f>
        <v/>
      </c>
      <c r="BD28" s="64">
        <f>IF(Demand!AW45=Retailers_Cap!P28,"ret=0",(AY28/(Demand!AW45-Retailers_Cap!P28)))</f>
        <v/>
      </c>
      <c r="BF28" s="64" t="n">
        <v>32</v>
      </c>
      <c r="BG28" s="2">
        <f>IF(Demand!AU45&lt;=Retailers_Cap!N28,"ret=0",(IF(BB28&lt;=AR28+Distributors_Cap!$P$47,1,0)))</f>
        <v/>
      </c>
      <c r="BH28" s="2">
        <f>IF(Demand!AV45&lt;=Retailers_Cap!O28,"ret=0",(IF(BC28&lt;=AS28+Distributors_Cap!$P$47,1,0)))</f>
        <v/>
      </c>
      <c r="BI28" s="2">
        <f>IF(Demand!AW45&lt;=Retailers_Cap!P28,"ret=0",(IF(BD28&lt;=AT28+Distributors_Cap!$P$47,1,0)))</f>
        <v/>
      </c>
      <c r="BK28" s="64" t="n">
        <v>32</v>
      </c>
      <c r="BL28" s="64">
        <f>Retailers!BH27</f>
        <v/>
      </c>
      <c r="BM28" s="64">
        <f>Retailers!BI27</f>
        <v/>
      </c>
      <c r="BN28" s="64">
        <f>Retailers!BJ27</f>
        <v/>
      </c>
      <c r="BP28" s="64" t="n">
        <v>32</v>
      </c>
      <c r="BQ28" s="64">
        <f>#REF!</f>
        <v/>
      </c>
      <c r="BR28" s="64">
        <f>#REF!</f>
        <v/>
      </c>
      <c r="BS28" s="64">
        <f>#REF!</f>
        <v/>
      </c>
      <c r="BU28" s="64" t="n">
        <v>32</v>
      </c>
      <c r="BV28" s="64">
        <f>Retailers!AS27</f>
        <v/>
      </c>
      <c r="BW28" s="64">
        <f>Retailers!AT27</f>
        <v/>
      </c>
      <c r="BX28" s="64">
        <f>Retailers!AU27</f>
        <v/>
      </c>
      <c r="BZ28" s="64" t="n">
        <v>32</v>
      </c>
      <c r="CA28" s="64">
        <f>Results!#REF!</f>
        <v/>
      </c>
      <c r="CB28" s="64">
        <f>Results!#REF!</f>
        <v/>
      </c>
      <c r="CC28" s="64">
        <f>Results!#REF!</f>
        <v/>
      </c>
      <c r="CE28" s="64" t="n">
        <v>32</v>
      </c>
      <c r="CF28" s="64">
        <f>Retailers!BN27</f>
        <v/>
      </c>
      <c r="CG28" s="64">
        <f>Retailers!BO27</f>
        <v/>
      </c>
      <c r="CH28" s="64">
        <f>Retailers!BP27</f>
        <v/>
      </c>
      <c r="CJ28" s="64" t="n">
        <v>32</v>
      </c>
      <c r="CK28" s="64">
        <f>IF(BB28="ret=0",0,IF(BB28&gt;0,AR28+Distributors_Cap!$P$47-BB28,0))</f>
        <v/>
      </c>
      <c r="CL28" s="64">
        <f>IF(BC28="ret=0",0,IF(BC28&gt;0,AS28+Distributors_Cap!$P$47-BC28,0))</f>
        <v/>
      </c>
      <c r="CM28" s="64">
        <f>IF(BD28="ret=0",0,IF(BD28&gt;0,AT28+Distributors_Cap!$P$47-BD28,0))</f>
        <v/>
      </c>
    </row>
    <row r="29">
      <c r="G29" s="64" t="n">
        <v>33</v>
      </c>
      <c r="H29" s="64" t="n">
        <v>67.304</v>
      </c>
      <c r="I29" s="64" t="n">
        <v>53.203</v>
      </c>
      <c r="J29" s="64" t="n">
        <v>55.226</v>
      </c>
      <c r="L29" s="64">
        <f>TRUNC((_xlfn.NORM.INV((RAND()),$K$7,$K$8)),0)</f>
        <v/>
      </c>
      <c r="M29" s="64" t="n">
        <v>33</v>
      </c>
      <c r="N29" s="5" t="n">
        <v>21</v>
      </c>
      <c r="O29" s="5" t="n">
        <v>23</v>
      </c>
      <c r="P29" s="5" t="n">
        <v>13</v>
      </c>
      <c r="R29" s="2">
        <f>IF(N29&gt;Demand!AU46,0,(IF(((2*(Retailers!AJ28+Distributors_Cap!$P$47)-Retailers_Cap!$BB$7)*(Demand!AU46-Retailers_Cap!N29))&lt;0,0,((IF(BB29&gt;2*(Retailers!AJ28+Distributors_Cap!$P$47),0,(IF(BG29=0,ROUNDUP((2*(Retailers!AJ28+Distributors_Cap!$P$47)-BB29)^0.5,0),ROUNDUP((2*(Retailers!AJ28+Distributors_Cap!$P$47)-BB29)^0.5,0)))))))))</f>
        <v/>
      </c>
      <c r="S29" s="2">
        <f>IF(O29&gt;Demand!AV46,0,(IF(((2*(Retailers!AK28+Distributors_Cap!$P$47)-Retailers_Cap!$BB$7)*(Demand!AV46-Retailers_Cap!O29))&lt;0,0,((IF(BC29&gt;2*(Retailers!AK28+Distributors_Cap!$P$47),0,(IF(BH29=0,ROUNDUP((2*(Retailers!AK28+Distributors_Cap!$P$47)-BC29)^0.5,0),ROUNDUP((2*(Retailers!AK28+Distributors_Cap!$P$47)-BC29)^0.5,0)))))))))</f>
        <v/>
      </c>
      <c r="T29" s="2">
        <f>IF(P29&gt;Demand!AW46,0,(IF(((2*(Retailers!AL28+Distributors_Cap!$P$47)-Retailers_Cap!$BB$7)*(Demand!AW46-Retailers_Cap!P29))&lt;0,0,((IF(BD29&gt;2*(Retailers!AL28+Distributors_Cap!$P$47),0,(IF(BI29=0,ROUNDUP((2*(Retailers!AL28+Distributors_Cap!$P$47)-BD29)^0.5,0),ROUNDUP((2*(Retailers!AL28+Distributors_Cap!$P$47)-BD29)^0.5,0)))))))))</f>
        <v/>
      </c>
      <c r="W29" s="64" t="n">
        <v>33</v>
      </c>
      <c r="X29" s="9" t="n">
        <v>11</v>
      </c>
      <c r="Y29" s="9" t="n">
        <v>11</v>
      </c>
      <c r="Z29" s="9" t="n">
        <v>13</v>
      </c>
      <c r="AB29" s="2">
        <f>ROUNDDOWN(LOG((X29+1),2),0)</f>
        <v/>
      </c>
      <c r="AC29" s="2">
        <f>ROUNDDOWN(LOG((Y29+1),2),0)</f>
        <v/>
      </c>
      <c r="AD29" s="2">
        <f>ROUNDDOWN(LOG((Z29+1),2),0)</f>
        <v/>
      </c>
      <c r="AG29" s="64" t="n">
        <v>33</v>
      </c>
      <c r="AH29" s="9" t="n">
        <v>3</v>
      </c>
      <c r="AI29" s="9" t="n">
        <v>3</v>
      </c>
      <c r="AJ29" s="9" t="n">
        <v>3</v>
      </c>
      <c r="AQ29" s="64" t="n">
        <v>33</v>
      </c>
      <c r="AR29" s="64" t="n">
        <v>67.304</v>
      </c>
      <c r="AS29" s="64" t="n">
        <v>53.203</v>
      </c>
      <c r="AT29" s="64" t="n">
        <v>55.226</v>
      </c>
      <c r="AV29" s="64" t="n">
        <v>33</v>
      </c>
      <c r="AW29" s="64">
        <f>Beginning_stock!AT57</f>
        <v/>
      </c>
      <c r="AX29" s="64">
        <f>Beginning_stock!AU57</f>
        <v/>
      </c>
      <c r="AY29" s="64">
        <f>Beginning_stock!AV57</f>
        <v/>
      </c>
      <c r="BA29" s="64" t="n">
        <v>33</v>
      </c>
      <c r="BB29" s="64">
        <f>IF(Demand!AU46=Retailers_Cap!N29,"ret=0",(AW29/(Demand!AU46-Retailers_Cap!N29)))</f>
        <v/>
      </c>
      <c r="BC29" s="64">
        <f>IF(Demand!AV46=Retailers_Cap!O29,"ret=0",(AX29/(Demand!AV46-Retailers_Cap!O29)))</f>
        <v/>
      </c>
      <c r="BD29" s="64">
        <f>IF(Demand!AW46=Retailers_Cap!P29,"ret=0",(AY29/(Demand!AW46-Retailers_Cap!P29)))</f>
        <v/>
      </c>
      <c r="BF29" s="64" t="n">
        <v>33</v>
      </c>
      <c r="BG29" s="2">
        <f>IF(Demand!AU46&lt;=Retailers_Cap!N29,"ret=0",(IF(BB29&lt;=AR29+Distributors_Cap!$P$47,1,0)))</f>
        <v/>
      </c>
      <c r="BH29" s="2">
        <f>IF(Demand!AV46&lt;=Retailers_Cap!O29,"ret=0",(IF(BC29&lt;=AS29+Distributors_Cap!$P$47,1,0)))</f>
        <v/>
      </c>
      <c r="BI29" s="2">
        <f>IF(Demand!AW46&lt;=Retailers_Cap!P29,"ret=0",(IF(BD29&lt;=AT29+Distributors_Cap!$P$47,1,0)))</f>
        <v/>
      </c>
      <c r="BK29" s="64" t="n">
        <v>33</v>
      </c>
      <c r="BL29" s="64">
        <f>Retailers!BH28</f>
        <v/>
      </c>
      <c r="BM29" s="64">
        <f>Retailers!BI28</f>
        <v/>
      </c>
      <c r="BN29" s="64">
        <f>Retailers!BJ28</f>
        <v/>
      </c>
      <c r="BP29" s="64" t="n">
        <v>33</v>
      </c>
      <c r="BQ29" s="64">
        <f>#REF!</f>
        <v/>
      </c>
      <c r="BR29" s="64">
        <f>#REF!</f>
        <v/>
      </c>
      <c r="BS29" s="64">
        <f>#REF!</f>
        <v/>
      </c>
      <c r="BU29" s="64" t="n">
        <v>33</v>
      </c>
      <c r="BV29" s="64">
        <f>Retailers!AS28</f>
        <v/>
      </c>
      <c r="BW29" s="64">
        <f>Retailers!AT28</f>
        <v/>
      </c>
      <c r="BX29" s="64">
        <f>Retailers!AU28</f>
        <v/>
      </c>
      <c r="BZ29" s="64" t="n">
        <v>33</v>
      </c>
      <c r="CA29" s="64">
        <f>Results!#REF!</f>
        <v/>
      </c>
      <c r="CB29" s="64">
        <f>Results!#REF!</f>
        <v/>
      </c>
      <c r="CC29" s="64">
        <f>Results!#REF!</f>
        <v/>
      </c>
      <c r="CE29" s="64" t="n">
        <v>33</v>
      </c>
      <c r="CF29" s="64">
        <f>Retailers!BN28</f>
        <v/>
      </c>
      <c r="CG29" s="64">
        <f>Retailers!BO28</f>
        <v/>
      </c>
      <c r="CH29" s="64">
        <f>Retailers!BP28</f>
        <v/>
      </c>
      <c r="CJ29" s="64" t="n">
        <v>33</v>
      </c>
      <c r="CK29" s="64">
        <f>IF(BB29="ret=0",0,IF(BB29&gt;0,AR29+Distributors_Cap!$P$47-BB29,0))</f>
        <v/>
      </c>
      <c r="CL29" s="64">
        <f>IF(BC29="ret=0",0,IF(BC29&gt;0,AS29+Distributors_Cap!$P$47-BC29,0))</f>
        <v/>
      </c>
      <c r="CM29" s="64">
        <f>IF(BD29="ret=0",0,IF(BD29&gt;0,AT29+Distributors_Cap!$P$47-BD29,0))</f>
        <v/>
      </c>
    </row>
    <row r="30">
      <c r="G30" s="64" t="n">
        <v>34</v>
      </c>
      <c r="H30" s="64" t="n">
        <v>61.695</v>
      </c>
      <c r="I30" s="64" t="n">
        <v>33.083</v>
      </c>
      <c r="J30" s="64" t="n">
        <v>48.755</v>
      </c>
      <c r="L30" s="64">
        <f>TRUNC((_xlfn.NORM.INV((RAND()),$K$7,$K$8)),0)</f>
        <v/>
      </c>
      <c r="M30" s="64" t="n">
        <v>34</v>
      </c>
      <c r="N30" s="5" t="n">
        <v>32</v>
      </c>
      <c r="O30" s="5" t="n">
        <v>40</v>
      </c>
      <c r="P30" s="5" t="n">
        <v>28</v>
      </c>
      <c r="R30" s="2">
        <f>IF(N30&gt;Demand!AU47,0,(IF(((2*(Retailers!AJ29+Distributors_Cap!$P$47)-Retailers_Cap!$BB$7)*(Demand!AU47-Retailers_Cap!N30))&lt;0,0,((IF(BB30&gt;2*(Retailers!AJ29+Distributors_Cap!$P$47),0,(IF(BG30=0,ROUNDUP((2*(Retailers!AJ29+Distributors_Cap!$P$47)-BB30)^0.5,0),ROUNDUP((2*(Retailers!AJ29+Distributors_Cap!$P$47)-BB30)^0.5,0)))))))))</f>
        <v/>
      </c>
      <c r="S30" s="2">
        <f>IF(O30&gt;Demand!AV47,0,(IF(((2*(Retailers!AK29+Distributors_Cap!$P$47)-Retailers_Cap!$BB$7)*(Demand!AV47-Retailers_Cap!O30))&lt;0,0,((IF(BC30&gt;2*(Retailers!AK29+Distributors_Cap!$P$47),0,(IF(BH30=0,ROUNDUP((2*(Retailers!AK29+Distributors_Cap!$P$47)-BC30)^0.5,0),ROUNDUP((2*(Retailers!AK29+Distributors_Cap!$P$47)-BC30)^0.5,0)))))))))</f>
        <v/>
      </c>
      <c r="T30" s="2">
        <f>IF(P30&gt;Demand!AW47,0,(IF(((2*(Retailers!AL29+Distributors_Cap!$P$47)-Retailers_Cap!$BB$7)*(Demand!AW47-Retailers_Cap!P30))&lt;0,0,((IF(BD30&gt;2*(Retailers!AL29+Distributors_Cap!$P$47),0,(IF(BI30=0,ROUNDUP((2*(Retailers!AL29+Distributors_Cap!$P$47)-BD30)^0.5,0),ROUNDUP((2*(Retailers!AL29+Distributors_Cap!$P$47)-BD30)^0.5,0)))))))))</f>
        <v/>
      </c>
      <c r="W30" s="64" t="n">
        <v>34</v>
      </c>
      <c r="X30" s="9" t="n">
        <v>0</v>
      </c>
      <c r="Y30" s="9" t="n">
        <v>0</v>
      </c>
      <c r="Z30" s="9" t="n">
        <v>10</v>
      </c>
      <c r="AB30" s="2">
        <f>ROUNDDOWN(LOG((X30+1),2),0)</f>
        <v/>
      </c>
      <c r="AC30" s="2">
        <f>ROUNDDOWN(LOG((Y30+1),2),0)</f>
        <v/>
      </c>
      <c r="AD30" s="2">
        <f>ROUNDDOWN(LOG((Z30+1),2),0)</f>
        <v/>
      </c>
      <c r="AG30" s="64" t="n">
        <v>34</v>
      </c>
      <c r="AH30" s="9" t="n">
        <v>0</v>
      </c>
      <c r="AI30" s="9" t="n">
        <v>0</v>
      </c>
      <c r="AJ30" s="9" t="n">
        <v>3</v>
      </c>
      <c r="AQ30" s="64" t="n">
        <v>34</v>
      </c>
      <c r="AR30" s="64" t="n">
        <v>61.695</v>
      </c>
      <c r="AS30" s="64" t="n">
        <v>33.083</v>
      </c>
      <c r="AT30" s="64" t="n">
        <v>48.755</v>
      </c>
      <c r="AV30" s="64" t="n">
        <v>34</v>
      </c>
      <c r="AW30" s="64">
        <f>Beginning_stock!AT58</f>
        <v/>
      </c>
      <c r="AX30" s="64">
        <f>Beginning_stock!AU58</f>
        <v/>
      </c>
      <c r="AY30" s="64">
        <f>Beginning_stock!AV58</f>
        <v/>
      </c>
      <c r="BA30" s="64" t="n">
        <v>34</v>
      </c>
      <c r="BB30" s="64">
        <f>IF(Demand!AU47=Retailers_Cap!N30,"ret=0",(AW30/(Demand!AU47-Retailers_Cap!N30)))</f>
        <v/>
      </c>
      <c r="BC30" s="64">
        <f>IF(Demand!AV47=Retailers_Cap!O30,"ret=0",(AX30/(Demand!AV47-Retailers_Cap!O30)))</f>
        <v/>
      </c>
      <c r="BD30" s="64">
        <f>IF(Demand!AW47=Retailers_Cap!P30,"ret=0",(AY30/(Demand!AW47-Retailers_Cap!P30)))</f>
        <v/>
      </c>
      <c r="BF30" s="64" t="n">
        <v>34</v>
      </c>
      <c r="BG30" s="2">
        <f>IF(Demand!AU47&lt;=Retailers_Cap!N30,"ret=0",(IF(BB30&lt;=AR30+Distributors_Cap!$P$47,1,0)))</f>
        <v/>
      </c>
      <c r="BH30" s="2">
        <f>IF(Demand!AV47&lt;=Retailers_Cap!O30,"ret=0",(IF(BC30&lt;=AS30+Distributors_Cap!$P$47,1,0)))</f>
        <v/>
      </c>
      <c r="BI30" s="2">
        <f>IF(Demand!AW47&lt;=Retailers_Cap!P30,"ret=0",(IF(BD30&lt;=AT30+Distributors_Cap!$P$47,1,0)))</f>
        <v/>
      </c>
      <c r="BK30" s="64" t="n">
        <v>34</v>
      </c>
      <c r="BL30" s="64">
        <f>Retailers!BH29</f>
        <v/>
      </c>
      <c r="BM30" s="64">
        <f>Retailers!BI29</f>
        <v/>
      </c>
      <c r="BN30" s="64">
        <f>Retailers!BJ29</f>
        <v/>
      </c>
      <c r="BP30" s="64" t="n">
        <v>34</v>
      </c>
      <c r="BQ30" s="64">
        <f>#REF!</f>
        <v/>
      </c>
      <c r="BR30" s="64">
        <f>#REF!</f>
        <v/>
      </c>
      <c r="BS30" s="64">
        <f>#REF!</f>
        <v/>
      </c>
      <c r="BU30" s="64" t="n">
        <v>34</v>
      </c>
      <c r="BV30" s="64">
        <f>Retailers!AS29</f>
        <v/>
      </c>
      <c r="BW30" s="64">
        <f>Retailers!AT29</f>
        <v/>
      </c>
      <c r="BX30" s="64">
        <f>Retailers!AU29</f>
        <v/>
      </c>
      <c r="BZ30" s="64" t="n">
        <v>34</v>
      </c>
      <c r="CA30" s="64">
        <f>Results!#REF!</f>
        <v/>
      </c>
      <c r="CB30" s="64">
        <f>Results!#REF!</f>
        <v/>
      </c>
      <c r="CC30" s="64">
        <f>Results!#REF!</f>
        <v/>
      </c>
      <c r="CE30" s="64" t="n">
        <v>34</v>
      </c>
      <c r="CF30" s="64">
        <f>Retailers!BN29</f>
        <v/>
      </c>
      <c r="CG30" s="64">
        <f>Retailers!BO29</f>
        <v/>
      </c>
      <c r="CH30" s="64">
        <f>Retailers!BP29</f>
        <v/>
      </c>
      <c r="CJ30" s="64" t="n">
        <v>34</v>
      </c>
      <c r="CK30" s="64">
        <f>IF(BB30="ret=0",0,IF(BB30&gt;0,AR30+Distributors_Cap!$P$47-BB30,0))</f>
        <v/>
      </c>
      <c r="CL30" s="64">
        <f>IF(BC30="ret=0",0,IF(BC30&gt;0,AS30+Distributors_Cap!$P$47-BC30,0))</f>
        <v/>
      </c>
      <c r="CM30" s="64">
        <f>IF(BD30="ret=0",0,IF(BD30&gt;0,AT30+Distributors_Cap!$P$47-BD30,0))</f>
        <v/>
      </c>
    </row>
    <row r="31">
      <c r="G31" s="64" t="n">
        <v>35</v>
      </c>
      <c r="H31" s="64" t="n">
        <v>68.51300000000001</v>
      </c>
      <c r="I31" s="64" t="n">
        <v>45.747</v>
      </c>
      <c r="J31" s="64" t="n">
        <v>67.163</v>
      </c>
      <c r="L31" s="64">
        <f>TRUNC((_xlfn.NORM.INV((RAND()),$K$7,$K$8)),0)</f>
        <v/>
      </c>
      <c r="M31" s="64" t="n">
        <v>35</v>
      </c>
      <c r="N31" s="5" t="n">
        <v>15</v>
      </c>
      <c r="O31" s="5" t="n">
        <v>31</v>
      </c>
      <c r="P31" s="5" t="n">
        <v>26</v>
      </c>
      <c r="R31" s="2">
        <f>IF(N31&gt;Demand!AU48,0,(IF(((2*(Retailers!AJ30+Distributors_Cap!$P$47)-Retailers_Cap!$BB$7)*(Demand!AU48-Retailers_Cap!N31))&lt;0,0,((IF(BB31&gt;2*(Retailers!AJ30+Distributors_Cap!$P$47),0,(IF(BG31=0,ROUNDUP((2*(Retailers!AJ30+Distributors_Cap!$P$47)-BB31)^0.5,0),ROUNDUP((2*(Retailers!AJ30+Distributors_Cap!$P$47)-BB31)^0.5,0)))))))))</f>
        <v/>
      </c>
      <c r="S31" s="2">
        <f>IF(O31&gt;Demand!AV48,0,(IF(((2*(Retailers!AK30+Distributors_Cap!$P$47)-Retailers_Cap!$BB$7)*(Demand!AV48-Retailers_Cap!O31))&lt;0,0,((IF(BC31&gt;2*(Retailers!AK30+Distributors_Cap!$P$47),0,(IF(BH31=0,ROUNDUP((2*(Retailers!AK30+Distributors_Cap!$P$47)-BC31)^0.5,0),ROUNDUP((2*(Retailers!AK30+Distributors_Cap!$P$47)-BC31)^0.5,0)))))))))</f>
        <v/>
      </c>
      <c r="T31" s="2">
        <f>IF(P31&gt;Demand!AW48,0,(IF(((2*(Retailers!AL30+Distributors_Cap!$P$47)-Retailers_Cap!$BB$7)*(Demand!AW48-Retailers_Cap!P31))&lt;0,0,((IF(BD31&gt;2*(Retailers!AL30+Distributors_Cap!$P$47),0,(IF(BI31=0,ROUNDUP((2*(Retailers!AL30+Distributors_Cap!$P$47)-BD31)^0.5,0),ROUNDUP((2*(Retailers!AL30+Distributors_Cap!$P$47)-BD31)^0.5,0)))))))))</f>
        <v/>
      </c>
      <c r="W31" s="64" t="n">
        <v>35</v>
      </c>
      <c r="X31" s="9" t="n">
        <v>13</v>
      </c>
      <c r="Y31" s="9" t="n">
        <v>0</v>
      </c>
      <c r="Z31" s="9" t="n">
        <v>14</v>
      </c>
      <c r="AB31" s="2">
        <f>ROUNDDOWN(LOG((X31+1),2),0)</f>
        <v/>
      </c>
      <c r="AC31" s="2">
        <f>ROUNDDOWN(LOG((Y31+1),2),0)</f>
        <v/>
      </c>
      <c r="AD31" s="2">
        <f>ROUNDDOWN(LOG((Z31+1),2),0)</f>
        <v/>
      </c>
      <c r="AG31" s="64" t="n">
        <v>35</v>
      </c>
      <c r="AH31" s="9" t="n">
        <v>3</v>
      </c>
      <c r="AI31" s="9" t="n">
        <v>0</v>
      </c>
      <c r="AJ31" s="9" t="n">
        <v>3</v>
      </c>
      <c r="AQ31" s="64" t="n">
        <v>35</v>
      </c>
      <c r="AR31" s="64" t="n">
        <v>68.51300000000001</v>
      </c>
      <c r="AS31" s="64" t="n">
        <v>45.747</v>
      </c>
      <c r="AT31" s="64" t="n">
        <v>67.163</v>
      </c>
      <c r="AV31" s="64" t="n">
        <v>35</v>
      </c>
      <c r="AW31" s="64">
        <f>Beginning_stock!AT59</f>
        <v/>
      </c>
      <c r="AX31" s="64">
        <f>Beginning_stock!AU59</f>
        <v/>
      </c>
      <c r="AY31" s="64">
        <f>Beginning_stock!AV59</f>
        <v/>
      </c>
      <c r="BA31" s="64" t="n">
        <v>35</v>
      </c>
      <c r="BB31" s="64">
        <f>IF(Demand!AU48=Retailers_Cap!N31,"ret=0",(AW31/(Demand!AU48-Retailers_Cap!N31)))</f>
        <v/>
      </c>
      <c r="BC31" s="64">
        <f>IF(Demand!AV48=Retailers_Cap!O31,"ret=0",(AX31/(Demand!AV48-Retailers_Cap!O31)))</f>
        <v/>
      </c>
      <c r="BD31" s="64">
        <f>IF(Demand!AW48=Retailers_Cap!P31,"ret=0",(AY31/(Demand!AW48-Retailers_Cap!P31)))</f>
        <v/>
      </c>
      <c r="BF31" s="64" t="n">
        <v>35</v>
      </c>
      <c r="BG31" s="2">
        <f>IF(Demand!AU48&lt;=Retailers_Cap!N31,"ret=0",(IF(BB31&lt;=AR31+Distributors_Cap!$P$47,1,0)))</f>
        <v/>
      </c>
      <c r="BH31" s="2">
        <f>IF(Demand!AV48&lt;=Retailers_Cap!O31,"ret=0",(IF(BC31&lt;=AS31+Distributors_Cap!$P$47,1,0)))</f>
        <v/>
      </c>
      <c r="BI31" s="2">
        <f>IF(Demand!AW48&lt;=Retailers_Cap!P31,"ret=0",(IF(BD31&lt;=AT31+Distributors_Cap!$P$47,1,0)))</f>
        <v/>
      </c>
      <c r="BK31" s="64" t="n">
        <v>35</v>
      </c>
      <c r="BL31" s="64">
        <f>Retailers!BH30</f>
        <v/>
      </c>
      <c r="BM31" s="64">
        <f>Retailers!BI30</f>
        <v/>
      </c>
      <c r="BN31" s="64">
        <f>Retailers!BJ30</f>
        <v/>
      </c>
      <c r="BP31" s="64" t="n">
        <v>35</v>
      </c>
      <c r="BQ31" s="64">
        <f>#REF!</f>
        <v/>
      </c>
      <c r="BR31" s="64">
        <f>#REF!</f>
        <v/>
      </c>
      <c r="BS31" s="64">
        <f>#REF!</f>
        <v/>
      </c>
      <c r="BU31" s="64" t="n">
        <v>35</v>
      </c>
      <c r="BV31" s="64">
        <f>Retailers!AS30</f>
        <v/>
      </c>
      <c r="BW31" s="64">
        <f>Retailers!AT30</f>
        <v/>
      </c>
      <c r="BX31" s="64">
        <f>Retailers!AU30</f>
        <v/>
      </c>
      <c r="BZ31" s="64" t="n">
        <v>35</v>
      </c>
      <c r="CA31" s="64">
        <f>Results!#REF!</f>
        <v/>
      </c>
      <c r="CB31" s="64">
        <f>Results!#REF!</f>
        <v/>
      </c>
      <c r="CC31" s="64">
        <f>Results!#REF!</f>
        <v/>
      </c>
      <c r="CE31" s="64" t="n">
        <v>35</v>
      </c>
      <c r="CF31" s="64">
        <f>Retailers!BN30</f>
        <v/>
      </c>
      <c r="CG31" s="64">
        <f>Retailers!BO30</f>
        <v/>
      </c>
      <c r="CH31" s="64">
        <f>Retailers!BP30</f>
        <v/>
      </c>
      <c r="CJ31" s="64" t="n">
        <v>35</v>
      </c>
      <c r="CK31" s="64">
        <f>IF(BB31="ret=0",0,IF(BB31&gt;0,AR31+Distributors_Cap!$P$47-BB31,0))</f>
        <v/>
      </c>
      <c r="CL31" s="64">
        <f>IF(BC31="ret=0",0,IF(BC31&gt;0,AS31+Distributors_Cap!$P$47-BC31,0))</f>
        <v/>
      </c>
      <c r="CM31" s="64">
        <f>IF(BD31="ret=0",0,IF(BD31&gt;0,AT31+Distributors_Cap!$P$47-BD31,0))</f>
        <v/>
      </c>
    </row>
    <row r="32">
      <c r="G32" s="64" t="n">
        <v>36</v>
      </c>
      <c r="H32" s="64" t="n">
        <v>58.349</v>
      </c>
      <c r="I32" s="64" t="n">
        <v>62.475</v>
      </c>
      <c r="J32" s="64" t="n">
        <v>98.17400000000001</v>
      </c>
      <c r="L32" s="64">
        <f>TRUNC((_xlfn.NORM.INV((RAND()),$K$7,$K$8)),0)</f>
        <v/>
      </c>
      <c r="M32" s="64" t="n">
        <v>36</v>
      </c>
      <c r="N32" s="5" t="n">
        <v>40</v>
      </c>
      <c r="O32" s="5" t="n">
        <v>23</v>
      </c>
      <c r="P32" s="5" t="n">
        <v>32</v>
      </c>
      <c r="R32" s="2">
        <f>IF(N32&gt;Demand!AU49,0,(IF(((2*(Retailers!AJ31+Distributors_Cap!$P$47)-Retailers_Cap!$BB$7)*(Demand!AU49-Retailers_Cap!N32))&lt;0,0,((IF(BB32&gt;2*(Retailers!AJ31+Distributors_Cap!$P$47),0,(IF(BG32=0,ROUNDUP((2*(Retailers!AJ31+Distributors_Cap!$P$47)-BB32)^0.5,0),ROUNDUP((2*(Retailers!AJ31+Distributors_Cap!$P$47)-BB32)^0.5,0)))))))))</f>
        <v/>
      </c>
      <c r="S32" s="2">
        <f>IF(O32&gt;Demand!AV49,0,(IF(((2*(Retailers!AK31+Distributors_Cap!$P$47)-Retailers_Cap!$BB$7)*(Demand!AV49-Retailers_Cap!O32))&lt;0,0,((IF(BC32&gt;2*(Retailers!AK31+Distributors_Cap!$P$47),0,(IF(BH32=0,ROUNDUP((2*(Retailers!AK31+Distributors_Cap!$P$47)-BC32)^0.5,0),ROUNDUP((2*(Retailers!AK31+Distributors_Cap!$P$47)-BC32)^0.5,0)))))))))</f>
        <v/>
      </c>
      <c r="T32" s="2">
        <f>IF(P32&gt;Demand!AW49,0,(IF(((2*(Retailers!AL31+Distributors_Cap!$P$47)-Retailers_Cap!$BB$7)*(Demand!AW49-Retailers_Cap!P32))&lt;0,0,((IF(BD32&gt;2*(Retailers!AL31+Distributors_Cap!$P$47),0,(IF(BI32=0,ROUNDUP((2*(Retailers!AL31+Distributors_Cap!$P$47)-BD32)^0.5,0),ROUNDUP((2*(Retailers!AL31+Distributors_Cap!$P$47)-BD32)^0.5,0)))))))))</f>
        <v/>
      </c>
      <c r="W32" s="64" t="n">
        <v>36</v>
      </c>
      <c r="X32" s="9" t="n">
        <v>0</v>
      </c>
      <c r="Y32" s="9" t="n">
        <v>13</v>
      </c>
      <c r="Z32" s="9" t="n">
        <v>15</v>
      </c>
      <c r="AB32" s="2">
        <f>ROUNDDOWN(LOG((X32+1),2),0)</f>
        <v/>
      </c>
      <c r="AC32" s="2">
        <f>ROUNDDOWN(LOG((Y32+1),2),0)</f>
        <v/>
      </c>
      <c r="AD32" s="2">
        <f>ROUNDDOWN(LOG((Z32+1),2),0)</f>
        <v/>
      </c>
      <c r="AG32" s="64" t="n">
        <v>36</v>
      </c>
      <c r="AH32" s="9" t="n">
        <v>0</v>
      </c>
      <c r="AI32" s="9" t="n">
        <v>3</v>
      </c>
      <c r="AJ32" s="9" t="n">
        <v>4</v>
      </c>
      <c r="AQ32" s="64" t="n">
        <v>36</v>
      </c>
      <c r="AR32" s="64" t="n">
        <v>58.349</v>
      </c>
      <c r="AS32" s="64" t="n">
        <v>62.475</v>
      </c>
      <c r="AT32" s="64" t="n">
        <v>98.17400000000001</v>
      </c>
      <c r="AV32" s="64" t="n">
        <v>36</v>
      </c>
      <c r="AW32" s="64">
        <f>Beginning_stock!AT60</f>
        <v/>
      </c>
      <c r="AX32" s="64">
        <f>Beginning_stock!AU60</f>
        <v/>
      </c>
      <c r="AY32" s="64">
        <f>Beginning_stock!AV60</f>
        <v/>
      </c>
      <c r="BA32" s="64" t="n">
        <v>36</v>
      </c>
      <c r="BB32" s="64">
        <f>IF(Demand!AU49=Retailers_Cap!N32,"ret=0",(AW32/(Demand!AU49-Retailers_Cap!N32)))</f>
        <v/>
      </c>
      <c r="BC32" s="64">
        <f>IF(Demand!AV49=Retailers_Cap!O32,"ret=0",(AX32/(Demand!AV49-Retailers_Cap!O32)))</f>
        <v/>
      </c>
      <c r="BD32" s="64">
        <f>IF(Demand!AW49=Retailers_Cap!P32,"ret=0",(AY32/(Demand!AW49-Retailers_Cap!P32)))</f>
        <v/>
      </c>
      <c r="BF32" s="64" t="n">
        <v>36</v>
      </c>
      <c r="BG32" s="2">
        <f>IF(Demand!AU49&lt;=Retailers_Cap!N32,"ret=0",(IF(BB32&lt;=AR32+Distributors_Cap!$P$47,1,0)))</f>
        <v/>
      </c>
      <c r="BH32" s="2">
        <f>IF(Demand!AV49&lt;=Retailers_Cap!O32,"ret=0",(IF(BC32&lt;=AS32+Distributors_Cap!$P$47,1,0)))</f>
        <v/>
      </c>
      <c r="BI32" s="2">
        <f>IF(Demand!AW49&lt;=Retailers_Cap!P32,"ret=0",(IF(BD32&lt;=AT32+Distributors_Cap!$P$47,1,0)))</f>
        <v/>
      </c>
      <c r="BK32" s="64" t="n">
        <v>36</v>
      </c>
      <c r="BL32" s="64">
        <f>Retailers!BH31</f>
        <v/>
      </c>
      <c r="BM32" s="64">
        <f>Retailers!BI31</f>
        <v/>
      </c>
      <c r="BN32" s="64">
        <f>Retailers!BJ31</f>
        <v/>
      </c>
      <c r="BP32" s="64" t="n">
        <v>36</v>
      </c>
      <c r="BQ32" s="64">
        <f>#REF!</f>
        <v/>
      </c>
      <c r="BR32" s="64">
        <f>#REF!</f>
        <v/>
      </c>
      <c r="BS32" s="64">
        <f>#REF!</f>
        <v/>
      </c>
      <c r="BU32" s="64" t="n">
        <v>36</v>
      </c>
      <c r="BV32" s="64">
        <f>Retailers!AS31</f>
        <v/>
      </c>
      <c r="BW32" s="64">
        <f>Retailers!AT31</f>
        <v/>
      </c>
      <c r="BX32" s="64">
        <f>Retailers!AU31</f>
        <v/>
      </c>
      <c r="BZ32" s="64" t="n">
        <v>36</v>
      </c>
      <c r="CA32" s="64">
        <f>Results!#REF!</f>
        <v/>
      </c>
      <c r="CB32" s="64">
        <f>Results!#REF!</f>
        <v/>
      </c>
      <c r="CC32" s="64">
        <f>Results!#REF!</f>
        <v/>
      </c>
      <c r="CE32" s="64" t="n">
        <v>36</v>
      </c>
      <c r="CF32" s="64">
        <f>Retailers!BN31</f>
        <v/>
      </c>
      <c r="CG32" s="64">
        <f>Retailers!BO31</f>
        <v/>
      </c>
      <c r="CH32" s="64">
        <f>Retailers!BP31</f>
        <v/>
      </c>
      <c r="CJ32" s="64" t="n">
        <v>36</v>
      </c>
      <c r="CK32" s="64">
        <f>IF(BB32="ret=0",0,IF(BB32&gt;0,AR32+Distributors_Cap!$P$47-BB32,0))</f>
        <v/>
      </c>
      <c r="CL32" s="64">
        <f>IF(BC32="ret=0",0,IF(BC32&gt;0,AS32+Distributors_Cap!$P$47-BC32,0))</f>
        <v/>
      </c>
      <c r="CM32" s="64">
        <f>IF(BD32="ret=0",0,IF(BD32&gt;0,AT32+Distributors_Cap!$P$47-BD32,0))</f>
        <v/>
      </c>
    </row>
    <row r="33">
      <c r="G33" s="64" t="n">
        <v>37</v>
      </c>
      <c r="H33" s="64" t="n">
        <v>50.638</v>
      </c>
      <c r="I33" s="64" t="n">
        <v>52.521</v>
      </c>
      <c r="J33" s="64" t="n">
        <v>85.3</v>
      </c>
      <c r="L33" s="64">
        <f>TRUNC((_xlfn.NORM.INV((RAND()),$K$7,$K$8)),0)</f>
        <v/>
      </c>
      <c r="M33" s="64" t="n">
        <v>37</v>
      </c>
      <c r="N33" s="5" t="n">
        <v>32</v>
      </c>
      <c r="O33" s="5" t="n">
        <v>25</v>
      </c>
      <c r="P33" s="5" t="n">
        <v>33</v>
      </c>
      <c r="R33" s="2">
        <f>IF(N33&gt;Demand!AU50,0,(IF(((2*(Retailers!AJ32+Distributors_Cap!$P$47)-Retailers_Cap!$BB$7)*(Demand!AU50-Retailers_Cap!N33))&lt;0,0,((IF(BB33&gt;2*(Retailers!AJ32+Distributors_Cap!$P$47),0,(IF(BG33=0,ROUNDUP((2*(Retailers!AJ32+Distributors_Cap!$P$47)-BB33)^0.5,0),ROUNDUP((2*(Retailers!AJ32+Distributors_Cap!$P$47)-BB33)^0.5,0)))))))))</f>
        <v/>
      </c>
      <c r="S33" s="2">
        <f>IF(O33&gt;Demand!AV50,0,(IF(((2*(Retailers!AK32+Distributors_Cap!$P$47)-Retailers_Cap!$BB$7)*(Demand!AV50-Retailers_Cap!O33))&lt;0,0,((IF(BC33&gt;2*(Retailers!AK32+Distributors_Cap!$P$47),0,(IF(BH33=0,ROUNDUP((2*(Retailers!AK32+Distributors_Cap!$P$47)-BC33)^0.5,0),ROUNDUP((2*(Retailers!AK32+Distributors_Cap!$P$47)-BC33)^0.5,0)))))))))</f>
        <v/>
      </c>
      <c r="T33" s="2">
        <f>IF(P33&gt;Demand!AW50,0,(IF(((2*(Retailers!AL32+Distributors_Cap!$P$47)-Retailers_Cap!$BB$7)*(Demand!AW50-Retailers_Cap!P33))&lt;0,0,((IF(BD33&gt;2*(Retailers!AL32+Distributors_Cap!$P$47),0,(IF(BI33=0,ROUNDUP((2*(Retailers!AL32+Distributors_Cap!$P$47)-BD33)^0.5,0),ROUNDUP((2*(Retailers!AL32+Distributors_Cap!$P$47)-BD33)^0.5,0)))))))))</f>
        <v/>
      </c>
      <c r="W33" s="64" t="n">
        <v>37</v>
      </c>
      <c r="X33" s="9" t="n">
        <v>8</v>
      </c>
      <c r="Y33" s="9" t="n">
        <v>12</v>
      </c>
      <c r="Z33" s="9" t="n">
        <v>0</v>
      </c>
      <c r="AB33" s="2">
        <f>ROUNDDOWN(LOG((X33+1),2),0)</f>
        <v/>
      </c>
      <c r="AC33" s="2">
        <f>ROUNDDOWN(LOG((Y33+1),2),0)</f>
        <v/>
      </c>
      <c r="AD33" s="2">
        <f>ROUNDDOWN(LOG((Z33+1),2),0)</f>
        <v/>
      </c>
      <c r="AG33" s="64" t="n">
        <v>37</v>
      </c>
      <c r="AH33" s="9" t="n">
        <v>3</v>
      </c>
      <c r="AI33" s="9" t="n">
        <v>3</v>
      </c>
      <c r="AJ33" s="9" t="n">
        <v>0</v>
      </c>
      <c r="AQ33" s="64" t="n">
        <v>37</v>
      </c>
      <c r="AR33" s="64" t="n">
        <v>50.638</v>
      </c>
      <c r="AS33" s="64" t="n">
        <v>52.521</v>
      </c>
      <c r="AT33" s="64" t="n">
        <v>85.3</v>
      </c>
      <c r="AV33" s="64" t="n">
        <v>37</v>
      </c>
      <c r="AW33" s="64">
        <f>Beginning_stock!AT61</f>
        <v/>
      </c>
      <c r="AX33" s="64">
        <f>Beginning_stock!AU61</f>
        <v/>
      </c>
      <c r="AY33" s="64">
        <f>Beginning_stock!AV61</f>
        <v/>
      </c>
      <c r="BA33" s="64" t="n">
        <v>37</v>
      </c>
      <c r="BB33" s="64">
        <f>IF(Demand!AU50=Retailers_Cap!N33,"ret=0",(AW33/(Demand!AU50-Retailers_Cap!N33)))</f>
        <v/>
      </c>
      <c r="BC33" s="64">
        <f>IF(Demand!AV50=Retailers_Cap!O33,"ret=0",(AX33/(Demand!AV50-Retailers_Cap!O33)))</f>
        <v/>
      </c>
      <c r="BD33" s="64">
        <f>IF(Demand!AW50=Retailers_Cap!P33,"ret=0",(AY33/(Demand!AW50-Retailers_Cap!P33)))</f>
        <v/>
      </c>
      <c r="BF33" s="64" t="n">
        <v>37</v>
      </c>
      <c r="BG33" s="2">
        <f>IF(Demand!AU50&lt;=Retailers_Cap!N33,"ret=0",(IF(BB33&lt;=AR33+Distributors_Cap!$P$47,1,0)))</f>
        <v/>
      </c>
      <c r="BH33" s="2">
        <f>IF(Demand!AV50&lt;=Retailers_Cap!O33,"ret=0",(IF(BC33&lt;=AS33+Distributors_Cap!$P$47,1,0)))</f>
        <v/>
      </c>
      <c r="BI33" s="2">
        <f>IF(Demand!AW50&lt;=Retailers_Cap!P33,"ret=0",(IF(BD33&lt;=AT33+Distributors_Cap!$P$47,1,0)))</f>
        <v/>
      </c>
      <c r="BK33" s="64" t="n">
        <v>37</v>
      </c>
      <c r="BL33" s="64">
        <f>Retailers!BH32</f>
        <v/>
      </c>
      <c r="BM33" s="64">
        <f>Retailers!BI32</f>
        <v/>
      </c>
      <c r="BN33" s="64">
        <f>Retailers!BJ32</f>
        <v/>
      </c>
      <c r="BP33" s="64" t="n">
        <v>37</v>
      </c>
      <c r="BQ33" s="64">
        <f>#REF!</f>
        <v/>
      </c>
      <c r="BR33" s="64">
        <f>#REF!</f>
        <v/>
      </c>
      <c r="BS33" s="64">
        <f>#REF!</f>
        <v/>
      </c>
      <c r="BU33" s="64" t="n">
        <v>37</v>
      </c>
      <c r="BV33" s="64">
        <f>Retailers!AS32</f>
        <v/>
      </c>
      <c r="BW33" s="64">
        <f>Retailers!AT32</f>
        <v/>
      </c>
      <c r="BX33" s="64">
        <f>Retailers!AU32</f>
        <v/>
      </c>
      <c r="BZ33" s="64" t="n">
        <v>37</v>
      </c>
      <c r="CA33" s="64">
        <f>Results!#REF!</f>
        <v/>
      </c>
      <c r="CB33" s="64">
        <f>Results!#REF!</f>
        <v/>
      </c>
      <c r="CC33" s="64">
        <f>Results!#REF!</f>
        <v/>
      </c>
      <c r="CE33" s="64" t="n">
        <v>37</v>
      </c>
      <c r="CF33" s="64">
        <f>Retailers!BN32</f>
        <v/>
      </c>
      <c r="CG33" s="64">
        <f>Retailers!BO32</f>
        <v/>
      </c>
      <c r="CH33" s="64">
        <f>Retailers!BP32</f>
        <v/>
      </c>
      <c r="CJ33" s="64" t="n">
        <v>37</v>
      </c>
      <c r="CK33" s="64">
        <f>IF(BB33="ret=0",0,IF(BB33&gt;0,AR33+Distributors_Cap!$P$47-BB33,0))</f>
        <v/>
      </c>
      <c r="CL33" s="64">
        <f>IF(BC33="ret=0",0,IF(BC33&gt;0,AS33+Distributors_Cap!$P$47-BC33,0))</f>
        <v/>
      </c>
      <c r="CM33" s="64">
        <f>IF(BD33="ret=0",0,IF(BD33&gt;0,AT33+Distributors_Cap!$P$47-BD33,0))</f>
        <v/>
      </c>
    </row>
    <row r="34">
      <c r="G34" s="64" t="n">
        <v>38</v>
      </c>
      <c r="H34" s="64" t="n">
        <v>53.028</v>
      </c>
      <c r="I34" s="64" t="n">
        <v>47.693</v>
      </c>
      <c r="J34" s="64" t="n">
        <v>57.554</v>
      </c>
      <c r="L34" s="64">
        <f>TRUNC((_xlfn.NORM.INV((RAND()),$K$7,$K$8)),0)</f>
        <v/>
      </c>
      <c r="M34" s="64" t="n">
        <v>38</v>
      </c>
      <c r="N34" s="5" t="n">
        <v>16</v>
      </c>
      <c r="O34" s="5" t="n">
        <v>30</v>
      </c>
      <c r="P34" s="5" t="n">
        <v>29</v>
      </c>
      <c r="R34" s="2">
        <f>IF(N34&gt;Demand!AU51,0,(IF(((2*(Retailers!AJ33+Distributors_Cap!$P$47)-Retailers_Cap!$BB$7)*(Demand!AU51-Retailers_Cap!N34))&lt;0,0,((IF(BB34&gt;2*(Retailers!AJ33+Distributors_Cap!$P$47),0,(IF(BG34=0,ROUNDUP((2*(Retailers!AJ33+Distributors_Cap!$P$47)-BB34)^0.5,0),ROUNDUP((2*(Retailers!AJ33+Distributors_Cap!$P$47)-BB34)^0.5,0)))))))))</f>
        <v/>
      </c>
      <c r="S34" s="2">
        <f>IF(O34&gt;Demand!AV51,0,(IF(((2*(Retailers!AK33+Distributors_Cap!$P$47)-Retailers_Cap!$BB$7)*(Demand!AV51-Retailers_Cap!O34))&lt;0,0,((IF(BC34&gt;2*(Retailers!AK33+Distributors_Cap!$P$47),0,(IF(BH34=0,ROUNDUP((2*(Retailers!AK33+Distributors_Cap!$P$47)-BC34)^0.5,0),ROUNDUP((2*(Retailers!AK33+Distributors_Cap!$P$47)-BC34)^0.5,0)))))))))</f>
        <v/>
      </c>
      <c r="T34" s="2">
        <f>IF(P34&gt;Demand!AW51,0,(IF(((2*(Retailers!AL33+Distributors_Cap!$P$47)-Retailers_Cap!$BB$7)*(Demand!AW51-Retailers_Cap!P34))&lt;0,0,((IF(BD34&gt;2*(Retailers!AL33+Distributors_Cap!$P$47),0,(IF(BI34=0,ROUNDUP((2*(Retailers!AL33+Distributors_Cap!$P$47)-BD34)^0.5,0),ROUNDUP((2*(Retailers!AL33+Distributors_Cap!$P$47)-BD34)^0.5,0)))))))))</f>
        <v/>
      </c>
      <c r="W34" s="64" t="n">
        <v>38</v>
      </c>
      <c r="X34" s="9" t="n">
        <v>11</v>
      </c>
      <c r="Y34" s="9" t="n">
        <v>0</v>
      </c>
      <c r="Z34" s="9" t="n">
        <v>0</v>
      </c>
      <c r="AB34" s="2">
        <f>ROUNDDOWN(LOG((X34+1),2),0)</f>
        <v/>
      </c>
      <c r="AC34" s="2">
        <f>ROUNDDOWN(LOG((Y34+1),2),0)</f>
        <v/>
      </c>
      <c r="AD34" s="2">
        <f>ROUNDDOWN(LOG((Z34+1),2),0)</f>
        <v/>
      </c>
      <c r="AG34" s="64" t="n">
        <v>38</v>
      </c>
      <c r="AH34" s="9" t="n">
        <v>3</v>
      </c>
      <c r="AI34" s="9" t="n">
        <v>0</v>
      </c>
      <c r="AJ34" s="9" t="n">
        <v>0</v>
      </c>
      <c r="AQ34" s="64" t="n">
        <v>38</v>
      </c>
      <c r="AR34" s="64" t="n">
        <v>53.028</v>
      </c>
      <c r="AS34" s="64" t="n">
        <v>47.693</v>
      </c>
      <c r="AT34" s="64" t="n">
        <v>57.554</v>
      </c>
      <c r="AV34" s="64" t="n">
        <v>38</v>
      </c>
      <c r="AW34" s="64">
        <f>Beginning_stock!AT62</f>
        <v/>
      </c>
      <c r="AX34" s="64">
        <f>Beginning_stock!AU62</f>
        <v/>
      </c>
      <c r="AY34" s="64">
        <f>Beginning_stock!AV62</f>
        <v/>
      </c>
      <c r="BA34" s="64" t="n">
        <v>38</v>
      </c>
      <c r="BB34" s="64">
        <f>IF(Demand!AU51=Retailers_Cap!N34,"ret=0",(AW34/(Demand!AU51-Retailers_Cap!N34)))</f>
        <v/>
      </c>
      <c r="BC34" s="64">
        <f>IF(Demand!AV51=Retailers_Cap!O34,"ret=0",(AX34/(Demand!AV51-Retailers_Cap!O34)))</f>
        <v/>
      </c>
      <c r="BD34" s="64">
        <f>IF(Demand!AW51=Retailers_Cap!P34,"ret=0",(AY34/(Demand!AW51-Retailers_Cap!P34)))</f>
        <v/>
      </c>
      <c r="BF34" s="64" t="n">
        <v>38</v>
      </c>
      <c r="BG34" s="2">
        <f>IF(Demand!AU51&lt;=Retailers_Cap!N34,"ret=0",(IF(BB34&lt;=AR34+Distributors_Cap!$P$47,1,0)))</f>
        <v/>
      </c>
      <c r="BH34" s="2">
        <f>IF(Demand!AV51&lt;=Retailers_Cap!O34,"ret=0",(IF(BC34&lt;=AS34+Distributors_Cap!$P$47,1,0)))</f>
        <v/>
      </c>
      <c r="BI34" s="2">
        <f>IF(Demand!AW51&lt;=Retailers_Cap!P34,"ret=0",(IF(BD34&lt;=AT34+Distributors_Cap!$P$47,1,0)))</f>
        <v/>
      </c>
      <c r="BK34" s="64" t="n">
        <v>38</v>
      </c>
      <c r="BL34" s="64">
        <f>Retailers!BH33</f>
        <v/>
      </c>
      <c r="BM34" s="64">
        <f>Retailers!BI33</f>
        <v/>
      </c>
      <c r="BN34" s="64">
        <f>Retailers!BJ33</f>
        <v/>
      </c>
      <c r="BP34" s="64" t="n">
        <v>38</v>
      </c>
      <c r="BQ34" s="64">
        <f>#REF!</f>
        <v/>
      </c>
      <c r="BR34" s="64">
        <f>#REF!</f>
        <v/>
      </c>
      <c r="BS34" s="64">
        <f>#REF!</f>
        <v/>
      </c>
      <c r="BU34" s="64" t="n">
        <v>38</v>
      </c>
      <c r="BV34" s="64">
        <f>Retailers!AS33</f>
        <v/>
      </c>
      <c r="BW34" s="64">
        <f>Retailers!AT33</f>
        <v/>
      </c>
      <c r="BX34" s="64">
        <f>Retailers!AU33</f>
        <v/>
      </c>
      <c r="BZ34" s="64" t="n">
        <v>38</v>
      </c>
      <c r="CA34" s="64">
        <f>Results!#REF!</f>
        <v/>
      </c>
      <c r="CB34" s="64">
        <f>Results!#REF!</f>
        <v/>
      </c>
      <c r="CC34" s="64">
        <f>Results!#REF!</f>
        <v/>
      </c>
      <c r="CE34" s="64" t="n">
        <v>38</v>
      </c>
      <c r="CF34" s="64">
        <f>Retailers!BN33</f>
        <v/>
      </c>
      <c r="CG34" s="64">
        <f>Retailers!BO33</f>
        <v/>
      </c>
      <c r="CH34" s="64">
        <f>Retailers!BP33</f>
        <v/>
      </c>
      <c r="CJ34" s="64" t="n">
        <v>38</v>
      </c>
      <c r="CK34" s="64">
        <f>IF(BB34="ret=0",0,IF(BB34&gt;0,AR34+Distributors_Cap!$P$47-BB34,0))</f>
        <v/>
      </c>
      <c r="CL34" s="64">
        <f>IF(BC34="ret=0",0,IF(BC34&gt;0,AS34+Distributors_Cap!$P$47-BC34,0))</f>
        <v/>
      </c>
      <c r="CM34" s="64">
        <f>IF(BD34="ret=0",0,IF(BD34&gt;0,AT34+Distributors_Cap!$P$47-BD34,0))</f>
        <v/>
      </c>
    </row>
    <row r="35">
      <c r="G35" s="64" t="n">
        <v>39</v>
      </c>
      <c r="H35" s="64" t="n">
        <v>66.75</v>
      </c>
      <c r="I35" s="64" t="n">
        <v>50.137</v>
      </c>
      <c r="J35" s="64" t="n">
        <v>61.721</v>
      </c>
      <c r="L35" s="64">
        <f>TRUNC((_xlfn.NORM.INV((RAND()),$K$7,$K$8)),0)</f>
        <v/>
      </c>
      <c r="M35" s="64" t="n">
        <v>39</v>
      </c>
      <c r="N35" s="5" t="n">
        <v>33</v>
      </c>
      <c r="O35" s="5" t="n">
        <v>44</v>
      </c>
      <c r="P35" s="5" t="n">
        <v>39</v>
      </c>
      <c r="R35" s="2">
        <f>IF(N35&gt;Demand!AU52,0,(IF(((2*(Retailers!AJ34+Distributors_Cap!$P$47)-Retailers_Cap!$BB$7)*(Demand!AU52-Retailers_Cap!N35))&lt;0,0,((IF(BB35&gt;2*(Retailers!AJ34+Distributors_Cap!$P$47),0,(IF(BG35=0,ROUNDUP((2*(Retailers!AJ34+Distributors_Cap!$P$47)-BB35)^0.5,0),ROUNDUP((2*(Retailers!AJ34+Distributors_Cap!$P$47)-BB35)^0.5,0)))))))))</f>
        <v/>
      </c>
      <c r="S35" s="2">
        <f>IF(O35&gt;Demand!AV52,0,(IF(((2*(Retailers!AK34+Distributors_Cap!$P$47)-Retailers_Cap!$BB$7)*(Demand!AV52-Retailers_Cap!O35))&lt;0,0,((IF(BC35&gt;2*(Retailers!AK34+Distributors_Cap!$P$47),0,(IF(BH35=0,ROUNDUP((2*(Retailers!AK34+Distributors_Cap!$P$47)-BC35)^0.5,0),ROUNDUP((2*(Retailers!AK34+Distributors_Cap!$P$47)-BC35)^0.5,0)))))))))</f>
        <v/>
      </c>
      <c r="T35" s="2">
        <f>IF(P35&gt;Demand!AW52,0,(IF(((2*(Retailers!AL34+Distributors_Cap!$P$47)-Retailers_Cap!$BB$7)*(Demand!AW52-Retailers_Cap!P35))&lt;0,0,((IF(BD35&gt;2*(Retailers!AL34+Distributors_Cap!$P$47),0,(IF(BI35=0,ROUNDUP((2*(Retailers!AL34+Distributors_Cap!$P$47)-BD35)^0.5,0),ROUNDUP((2*(Retailers!AL34+Distributors_Cap!$P$47)-BD35)^0.5,0)))))))))</f>
        <v/>
      </c>
      <c r="W35" s="64" t="n">
        <v>39</v>
      </c>
      <c r="X35" s="9" t="n">
        <v>0</v>
      </c>
      <c r="Y35" s="9" t="n">
        <v>0</v>
      </c>
      <c r="Z35" s="9" t="n">
        <v>0</v>
      </c>
      <c r="AB35" s="2">
        <f>ROUNDDOWN(LOG((X35+1),2),0)</f>
        <v/>
      </c>
      <c r="AC35" s="2">
        <f>ROUNDDOWN(LOG((Y35+1),2),0)</f>
        <v/>
      </c>
      <c r="AD35" s="2">
        <f>ROUNDDOWN(LOG((Z35+1),2),0)</f>
        <v/>
      </c>
      <c r="AG35" s="64" t="n">
        <v>39</v>
      </c>
      <c r="AH35" s="9" t="n">
        <v>0</v>
      </c>
      <c r="AI35" s="9" t="n">
        <v>0</v>
      </c>
      <c r="AJ35" s="9" t="n">
        <v>0</v>
      </c>
      <c r="AQ35" s="64" t="n">
        <v>39</v>
      </c>
      <c r="AR35" s="64" t="n">
        <v>66.75</v>
      </c>
      <c r="AS35" s="64" t="n">
        <v>50.137</v>
      </c>
      <c r="AT35" s="64" t="n">
        <v>61.721</v>
      </c>
      <c r="AV35" s="64" t="n">
        <v>39</v>
      </c>
      <c r="AW35" s="64">
        <f>Beginning_stock!AT63</f>
        <v/>
      </c>
      <c r="AX35" s="64">
        <f>Beginning_stock!AU63</f>
        <v/>
      </c>
      <c r="AY35" s="64">
        <f>Beginning_stock!AV63</f>
        <v/>
      </c>
      <c r="BA35" s="64" t="n">
        <v>39</v>
      </c>
      <c r="BB35" s="64">
        <f>IF(Demand!AU52=Retailers_Cap!N35,"ret=0",(AW35/(Demand!AU52-Retailers_Cap!N35)))</f>
        <v/>
      </c>
      <c r="BC35" s="64">
        <f>IF(Demand!AV52=Retailers_Cap!O35,"ret=0",(AX35/(Demand!AV52-Retailers_Cap!O35)))</f>
        <v/>
      </c>
      <c r="BD35" s="64">
        <f>IF(Demand!AW52=Retailers_Cap!P35,"ret=0",(AY35/(Demand!AW52-Retailers_Cap!P35)))</f>
        <v/>
      </c>
      <c r="BF35" s="64" t="n">
        <v>39</v>
      </c>
      <c r="BG35" s="2">
        <f>IF(Demand!AU52&lt;=Retailers_Cap!N35,"ret=0",(IF(BB35&lt;=AR35+Distributors_Cap!$P$47,1,0)))</f>
        <v/>
      </c>
      <c r="BH35" s="2">
        <f>IF(Demand!AV52&lt;=Retailers_Cap!O35,"ret=0",(IF(BC35&lt;=AS35+Distributors_Cap!$P$47,1,0)))</f>
        <v/>
      </c>
      <c r="BI35" s="2">
        <f>IF(Demand!AW52&lt;=Retailers_Cap!P35,"ret=0",(IF(BD35&lt;=AT35+Distributors_Cap!$P$47,1,0)))</f>
        <v/>
      </c>
      <c r="BK35" s="64" t="n">
        <v>39</v>
      </c>
      <c r="BL35" s="64">
        <f>Retailers!BH34</f>
        <v/>
      </c>
      <c r="BM35" s="64">
        <f>Retailers!BI34</f>
        <v/>
      </c>
      <c r="BN35" s="64">
        <f>Retailers!BJ34</f>
        <v/>
      </c>
      <c r="BP35" s="64" t="n">
        <v>39</v>
      </c>
      <c r="BQ35" s="64">
        <f>#REF!</f>
        <v/>
      </c>
      <c r="BR35" s="64">
        <f>#REF!</f>
        <v/>
      </c>
      <c r="BS35" s="64">
        <f>#REF!</f>
        <v/>
      </c>
      <c r="BU35" s="64" t="n">
        <v>39</v>
      </c>
      <c r="BV35" s="64">
        <f>Retailers!AS34</f>
        <v/>
      </c>
      <c r="BW35" s="64">
        <f>Retailers!AT34</f>
        <v/>
      </c>
      <c r="BX35" s="64">
        <f>Retailers!AU34</f>
        <v/>
      </c>
      <c r="BZ35" s="64" t="n">
        <v>39</v>
      </c>
      <c r="CA35" s="64">
        <f>Results!#REF!</f>
        <v/>
      </c>
      <c r="CB35" s="64">
        <f>Results!#REF!</f>
        <v/>
      </c>
      <c r="CC35" s="64">
        <f>Results!#REF!</f>
        <v/>
      </c>
      <c r="CE35" s="64" t="n">
        <v>39</v>
      </c>
      <c r="CF35" s="64">
        <f>Retailers!BN34</f>
        <v/>
      </c>
      <c r="CG35" s="64">
        <f>Retailers!BO34</f>
        <v/>
      </c>
      <c r="CH35" s="64">
        <f>Retailers!BP34</f>
        <v/>
      </c>
      <c r="CJ35" s="64" t="n">
        <v>39</v>
      </c>
      <c r="CK35" s="64">
        <f>IF(BB35="ret=0",0,IF(BB35&gt;0,AR35+Distributors_Cap!$P$47-BB35,0))</f>
        <v/>
      </c>
      <c r="CL35" s="64">
        <f>IF(BC35="ret=0",0,IF(BC35&gt;0,AS35+Distributors_Cap!$P$47-BC35,0))</f>
        <v/>
      </c>
      <c r="CM35" s="64">
        <f>IF(BD35="ret=0",0,IF(BD35&gt;0,AT35+Distributors_Cap!$P$47-BD35,0))</f>
        <v/>
      </c>
    </row>
    <row r="36">
      <c r="G36" s="64" t="n">
        <v>40</v>
      </c>
      <c r="H36" s="64" t="n">
        <v>94.301</v>
      </c>
      <c r="I36" s="64" t="n">
        <v>43.167</v>
      </c>
      <c r="J36" s="64" t="n">
        <v>71.48</v>
      </c>
      <c r="L36" s="64">
        <f>TRUNC((_xlfn.NORM.INV((RAND()),$K$7,$K$8)),0)</f>
        <v/>
      </c>
      <c r="M36" s="64" t="n">
        <v>40</v>
      </c>
      <c r="N36" s="5" t="n">
        <v>39</v>
      </c>
      <c r="O36" s="5" t="n">
        <v>29</v>
      </c>
      <c r="P36" s="5" t="n">
        <v>25</v>
      </c>
      <c r="R36" s="2">
        <f>IF(N36&gt;Demand!AU53,0,(IF(((2*(Retailers!AJ35+Distributors_Cap!$P$47)-Retailers_Cap!$BB$7)*(Demand!AU53-Retailers_Cap!N36))&lt;0,0,((IF(BB36&gt;2*(Retailers!AJ35+Distributors_Cap!$P$47),0,(IF(BG36=0,ROUNDUP((2*(Retailers!AJ35+Distributors_Cap!$P$47)-BB36)^0.5,0),ROUNDUP((2*(Retailers!AJ35+Distributors_Cap!$P$47)-BB36)^0.5,0)))))))))</f>
        <v/>
      </c>
      <c r="S36" s="2">
        <f>IF(O36&gt;Demand!AV53,0,(IF(((2*(Retailers!AK35+Distributors_Cap!$P$47)-Retailers_Cap!$BB$7)*(Demand!AV53-Retailers_Cap!O36))&lt;0,0,((IF(BC36&gt;2*(Retailers!AK35+Distributors_Cap!$P$47),0,(IF(BH36=0,ROUNDUP((2*(Retailers!AK35+Distributors_Cap!$P$47)-BC36)^0.5,0),ROUNDUP((2*(Retailers!AK35+Distributors_Cap!$P$47)-BC36)^0.5,0)))))))))</f>
        <v/>
      </c>
      <c r="T36" s="2">
        <f>IF(P36&gt;Demand!AW53,0,(IF(((2*(Retailers!AL35+Distributors_Cap!$P$47)-Retailers_Cap!$BB$7)*(Demand!AW53-Retailers_Cap!P36))&lt;0,0,((IF(BD36&gt;2*(Retailers!AL35+Distributors_Cap!$P$47),0,(IF(BI36=0,ROUNDUP((2*(Retailers!AL35+Distributors_Cap!$P$47)-BD36)^0.5,0),ROUNDUP((2*(Retailers!AL35+Distributors_Cap!$P$47)-BD36)^0.5,0)))))))))</f>
        <v/>
      </c>
      <c r="W36" s="64" t="n">
        <v>40</v>
      </c>
      <c r="X36" s="9" t="n">
        <v>0</v>
      </c>
      <c r="Y36" s="9" t="n">
        <v>0</v>
      </c>
      <c r="Z36" s="9" t="n">
        <v>0</v>
      </c>
      <c r="AB36" s="2">
        <f>ROUNDDOWN(LOG((X36+1),2),0)</f>
        <v/>
      </c>
      <c r="AC36" s="2">
        <f>ROUNDDOWN(LOG((Y36+1),2),0)</f>
        <v/>
      </c>
      <c r="AD36" s="2">
        <f>ROUNDDOWN(LOG((Z36+1),2),0)</f>
        <v/>
      </c>
      <c r="AG36" s="64" t="n">
        <v>40</v>
      </c>
      <c r="AH36" s="9" t="n">
        <v>0</v>
      </c>
      <c r="AI36" s="9" t="n">
        <v>0</v>
      </c>
      <c r="AJ36" s="9" t="n">
        <v>0</v>
      </c>
      <c r="AQ36" s="64" t="n">
        <v>40</v>
      </c>
      <c r="AR36" s="64" t="n">
        <v>94.301</v>
      </c>
      <c r="AS36" s="64" t="n">
        <v>43.167</v>
      </c>
      <c r="AT36" s="64" t="n">
        <v>71.48</v>
      </c>
      <c r="AV36" s="64" t="n">
        <v>40</v>
      </c>
      <c r="AW36" s="64">
        <f>Beginning_stock!AT64</f>
        <v/>
      </c>
      <c r="AX36" s="64">
        <f>Beginning_stock!AU64</f>
        <v/>
      </c>
      <c r="AY36" s="64">
        <f>Beginning_stock!AV64</f>
        <v/>
      </c>
      <c r="BA36" s="64" t="n">
        <v>40</v>
      </c>
      <c r="BB36" s="64">
        <f>IF(Demand!AU53=Retailers_Cap!N36,"ret=0",(AW36/(Demand!AU53-Retailers_Cap!N36)))</f>
        <v/>
      </c>
      <c r="BC36" s="64">
        <f>IF(Demand!AV53=Retailers_Cap!O36,"ret=0",(AX36/(Demand!AV53-Retailers_Cap!O36)))</f>
        <v/>
      </c>
      <c r="BD36" s="64">
        <f>IF(Demand!AW53=Retailers_Cap!P36,"ret=0",(AY36/(Demand!AW53-Retailers_Cap!P36)))</f>
        <v/>
      </c>
      <c r="BF36" s="64" t="n">
        <v>40</v>
      </c>
      <c r="BG36" s="2">
        <f>IF(Demand!AU53&lt;=Retailers_Cap!N36,"ret=0",(IF(BB36&lt;=AR36+Distributors_Cap!$P$47,1,0)))</f>
        <v/>
      </c>
      <c r="BH36" s="2">
        <f>IF(Demand!AV53&lt;=Retailers_Cap!O36,"ret=0",(IF(BC36&lt;=AS36+Distributors_Cap!$P$47,1,0)))</f>
        <v/>
      </c>
      <c r="BI36" s="2">
        <f>IF(Demand!AW53&lt;=Retailers_Cap!P36,"ret=0",(IF(BD36&lt;=AT36+Distributors_Cap!$P$47,1,0)))</f>
        <v/>
      </c>
      <c r="BK36" s="64" t="n">
        <v>40</v>
      </c>
      <c r="BL36" s="64">
        <f>Retailers!BH35</f>
        <v/>
      </c>
      <c r="BM36" s="64">
        <f>Retailers!BI35</f>
        <v/>
      </c>
      <c r="BN36" s="64">
        <f>Retailers!BJ35</f>
        <v/>
      </c>
      <c r="BP36" s="64" t="n">
        <v>40</v>
      </c>
      <c r="BQ36" s="64">
        <f>#REF!</f>
        <v/>
      </c>
      <c r="BR36" s="64">
        <f>#REF!</f>
        <v/>
      </c>
      <c r="BS36" s="64">
        <f>#REF!</f>
        <v/>
      </c>
      <c r="BU36" s="64" t="n">
        <v>40</v>
      </c>
      <c r="BV36" s="64">
        <f>Retailers!AS35</f>
        <v/>
      </c>
      <c r="BW36" s="64">
        <f>Retailers!AT35</f>
        <v/>
      </c>
      <c r="BX36" s="64">
        <f>Retailers!AU35</f>
        <v/>
      </c>
      <c r="BZ36" s="64" t="n">
        <v>40</v>
      </c>
      <c r="CA36" s="64">
        <f>Results!#REF!</f>
        <v/>
      </c>
      <c r="CB36" s="64">
        <f>Results!#REF!</f>
        <v/>
      </c>
      <c r="CC36" s="64">
        <f>Results!#REF!</f>
        <v/>
      </c>
      <c r="CE36" s="64" t="n">
        <v>40</v>
      </c>
      <c r="CF36" s="64">
        <f>Retailers!BN35</f>
        <v/>
      </c>
      <c r="CG36" s="64">
        <f>Retailers!BO35</f>
        <v/>
      </c>
      <c r="CH36" s="64">
        <f>Retailers!BP35</f>
        <v/>
      </c>
      <c r="CJ36" s="64" t="n">
        <v>40</v>
      </c>
      <c r="CK36" s="64">
        <f>IF(BB36="ret=0",0,IF(BB36&gt;0,AR36+Distributors_Cap!$P$47-BB36,0))</f>
        <v/>
      </c>
      <c r="CL36" s="64">
        <f>IF(BC36="ret=0",0,IF(BC36&gt;0,AS36+Distributors_Cap!$P$47-BC36,0))</f>
        <v/>
      </c>
      <c r="CM36" s="64">
        <f>IF(BD36="ret=0",0,IF(BD36&gt;0,AT36+Distributors_Cap!$P$47-BD36,0))</f>
        <v/>
      </c>
    </row>
    <row r="37">
      <c r="G37" s="64" t="n">
        <v>41</v>
      </c>
      <c r="H37" s="64" t="n">
        <v>77.779</v>
      </c>
      <c r="I37" s="64" t="n">
        <v>55.93</v>
      </c>
      <c r="J37" s="64" t="n">
        <v>54.943</v>
      </c>
      <c r="L37" s="64">
        <f>TRUNC((_xlfn.NORM.INV((RAND()),$K$7,$K$8)),0)</f>
        <v/>
      </c>
      <c r="M37" s="64" t="n">
        <v>41</v>
      </c>
      <c r="N37" s="5" t="n">
        <v>44</v>
      </c>
      <c r="O37" s="5" t="n">
        <v>26</v>
      </c>
      <c r="P37" s="5" t="n">
        <v>28</v>
      </c>
      <c r="R37" s="2">
        <f>IF(N37&gt;Demand!AU54,0,(IF(((2*(Retailers!AJ36+Distributors_Cap!$P$47)-Retailers_Cap!$BB$7)*(Demand!AU54-Retailers_Cap!N37))&lt;0,0,((IF(BB37&gt;2*(Retailers!AJ36+Distributors_Cap!$P$47),0,(IF(BG37=0,ROUNDUP((2*(Retailers!AJ36+Distributors_Cap!$P$47)-BB37)^0.5,0),ROUNDUP((2*(Retailers!AJ36+Distributors_Cap!$P$47)-BB37)^0.5,0)))))))))</f>
        <v/>
      </c>
      <c r="S37" s="2">
        <f>IF(O37&gt;Demand!AV54,0,(IF(((2*(Retailers!AK36+Distributors_Cap!$P$47)-Retailers_Cap!$BB$7)*(Demand!AV54-Retailers_Cap!O37))&lt;0,0,((IF(BC37&gt;2*(Retailers!AK36+Distributors_Cap!$P$47),0,(IF(BH37=0,ROUNDUP((2*(Retailers!AK36+Distributors_Cap!$P$47)-BC37)^0.5,0),ROUNDUP((2*(Retailers!AK36+Distributors_Cap!$P$47)-BC37)^0.5,0)))))))))</f>
        <v/>
      </c>
      <c r="T37" s="2">
        <f>IF(P37&gt;Demand!AW54,0,(IF(((2*(Retailers!AL36+Distributors_Cap!$P$47)-Retailers_Cap!$BB$7)*(Demand!AW54-Retailers_Cap!P37))&lt;0,0,((IF(BD37&gt;2*(Retailers!AL36+Distributors_Cap!$P$47),0,(IF(BI37=0,ROUNDUP((2*(Retailers!AL36+Distributors_Cap!$P$47)-BD37)^0.5,0),ROUNDUP((2*(Retailers!AL36+Distributors_Cap!$P$47)-BD37)^0.5,0)))))))))</f>
        <v/>
      </c>
      <c r="W37" s="64" t="n">
        <v>41</v>
      </c>
      <c r="X37" s="9" t="n">
        <v>0</v>
      </c>
      <c r="Y37" s="9" t="n">
        <v>11</v>
      </c>
      <c r="Z37" s="9" t="n">
        <v>0</v>
      </c>
      <c r="AB37" s="2">
        <f>ROUNDDOWN(LOG((X37+1),2),0)</f>
        <v/>
      </c>
      <c r="AC37" s="2">
        <f>ROUNDDOWN(LOG((Y37+1),2),0)</f>
        <v/>
      </c>
      <c r="AD37" s="2">
        <f>ROUNDDOWN(LOG((Z37+1),2),0)</f>
        <v/>
      </c>
      <c r="AG37" s="64" t="n">
        <v>41</v>
      </c>
      <c r="AH37" s="9" t="n">
        <v>0</v>
      </c>
      <c r="AI37" s="9" t="n">
        <v>3</v>
      </c>
      <c r="AJ37" s="9" t="n">
        <v>0</v>
      </c>
      <c r="AQ37" s="64" t="n">
        <v>41</v>
      </c>
      <c r="AR37" s="64" t="n">
        <v>77.779</v>
      </c>
      <c r="AS37" s="64" t="n">
        <v>55.93</v>
      </c>
      <c r="AT37" s="64" t="n">
        <v>54.943</v>
      </c>
      <c r="AV37" s="64" t="n">
        <v>41</v>
      </c>
      <c r="AW37" s="64">
        <f>Beginning_stock!AT65</f>
        <v/>
      </c>
      <c r="AX37" s="64">
        <f>Beginning_stock!AU65</f>
        <v/>
      </c>
      <c r="AY37" s="64">
        <f>Beginning_stock!AV65</f>
        <v/>
      </c>
      <c r="BA37" s="64" t="n">
        <v>41</v>
      </c>
      <c r="BB37" s="64">
        <f>IF(Demand!AU54=Retailers_Cap!N37,"ret=0",(AW37/(Demand!AU54-Retailers_Cap!N37)))</f>
        <v/>
      </c>
      <c r="BC37" s="64">
        <f>IF(Demand!AV54=Retailers_Cap!O37,"ret=0",(AX37/(Demand!AV54-Retailers_Cap!O37)))</f>
        <v/>
      </c>
      <c r="BD37" s="64">
        <f>IF(Demand!AW54=Retailers_Cap!P37,"ret=0",(AY37/(Demand!AW54-Retailers_Cap!P37)))</f>
        <v/>
      </c>
      <c r="BF37" s="64" t="n">
        <v>41</v>
      </c>
      <c r="BG37" s="2">
        <f>IF(Demand!AU54&lt;=Retailers_Cap!N37,"ret=0",(IF(BB37&lt;=AR37+Distributors_Cap!$P$47,1,0)))</f>
        <v/>
      </c>
      <c r="BH37" s="2">
        <f>IF(Demand!AV54&lt;=Retailers_Cap!O37,"ret=0",(IF(BC37&lt;=AS37+Distributors_Cap!$P$47,1,0)))</f>
        <v/>
      </c>
      <c r="BI37" s="2">
        <f>IF(Demand!AW54&lt;=Retailers_Cap!P37,"ret=0",(IF(BD37&lt;=AT37+Distributors_Cap!$P$47,1,0)))</f>
        <v/>
      </c>
      <c r="BK37" s="64" t="n">
        <v>41</v>
      </c>
      <c r="BL37" s="64">
        <f>Retailers!BH36</f>
        <v/>
      </c>
      <c r="BM37" s="64">
        <f>Retailers!BI36</f>
        <v/>
      </c>
      <c r="BN37" s="64">
        <f>Retailers!BJ36</f>
        <v/>
      </c>
      <c r="BP37" s="64" t="n">
        <v>41</v>
      </c>
      <c r="BQ37" s="64">
        <f>#REF!</f>
        <v/>
      </c>
      <c r="BR37" s="64">
        <f>#REF!</f>
        <v/>
      </c>
      <c r="BS37" s="64">
        <f>#REF!</f>
        <v/>
      </c>
      <c r="BU37" s="64" t="n">
        <v>41</v>
      </c>
      <c r="BV37" s="64">
        <f>Retailers!AS36</f>
        <v/>
      </c>
      <c r="BW37" s="64">
        <f>Retailers!AT36</f>
        <v/>
      </c>
      <c r="BX37" s="64">
        <f>Retailers!AU36</f>
        <v/>
      </c>
      <c r="BZ37" s="64" t="n">
        <v>41</v>
      </c>
      <c r="CA37" s="64">
        <f>Results!#REF!</f>
        <v/>
      </c>
      <c r="CB37" s="64">
        <f>Results!#REF!</f>
        <v/>
      </c>
      <c r="CC37" s="64">
        <f>Results!#REF!</f>
        <v/>
      </c>
      <c r="CE37" s="64" t="n">
        <v>41</v>
      </c>
      <c r="CF37" s="64">
        <f>Retailers!BN36</f>
        <v/>
      </c>
      <c r="CG37" s="64">
        <f>Retailers!BO36</f>
        <v/>
      </c>
      <c r="CH37" s="64">
        <f>Retailers!BP36</f>
        <v/>
      </c>
      <c r="CJ37" s="64" t="n">
        <v>41</v>
      </c>
      <c r="CK37" s="64">
        <f>IF(BB37="ret=0",0,IF(BB37&gt;0,AR37+Distributors_Cap!$P$47-BB37,0))</f>
        <v/>
      </c>
      <c r="CL37" s="64">
        <f>IF(BC37="ret=0",0,IF(BC37&gt;0,AS37+Distributors_Cap!$P$47-BC37,0))</f>
        <v/>
      </c>
      <c r="CM37" s="64">
        <f>IF(BD37="ret=0",0,IF(BD37&gt;0,AT37+Distributors_Cap!$P$47-BD37,0))</f>
        <v/>
      </c>
    </row>
    <row r="38">
      <c r="G38" s="64" t="n">
        <v>42</v>
      </c>
      <c r="H38" s="64" t="n">
        <v>63.59</v>
      </c>
      <c r="I38" s="64" t="n">
        <v>78.036</v>
      </c>
      <c r="J38" s="64" t="n">
        <v>38.118</v>
      </c>
      <c r="L38" s="64">
        <f>TRUNC((_xlfn.NORM.INV((RAND()),$K$7,$K$8)),0)</f>
        <v/>
      </c>
      <c r="M38" s="64" t="n">
        <v>42</v>
      </c>
      <c r="N38" s="5" t="n">
        <v>29</v>
      </c>
      <c r="O38" s="5" t="n">
        <v>23</v>
      </c>
      <c r="P38" s="5" t="n">
        <v>23</v>
      </c>
      <c r="R38" s="2">
        <f>IF(N38&gt;Demand!AU55,0,(IF(((2*(Retailers!AJ37+Distributors_Cap!$P$47)-Retailers_Cap!$BB$7)*(Demand!AU55-Retailers_Cap!N38))&lt;0,0,((IF(BB38&gt;2*(Retailers!AJ37+Distributors_Cap!$P$47),0,(IF(BG38=0,ROUNDUP((2*(Retailers!AJ37+Distributors_Cap!$P$47)-BB38)^0.5,0),ROUNDUP((2*(Retailers!AJ37+Distributors_Cap!$P$47)-BB38)^0.5,0)))))))))</f>
        <v/>
      </c>
      <c r="S38" s="2">
        <f>IF(O38&gt;Demand!AV55,0,(IF(((2*(Retailers!AK37+Distributors_Cap!$P$47)-Retailers_Cap!$BB$7)*(Demand!AV55-Retailers_Cap!O38))&lt;0,0,((IF(BC38&gt;2*(Retailers!AK37+Distributors_Cap!$P$47),0,(IF(BH38=0,ROUNDUP((2*(Retailers!AK37+Distributors_Cap!$P$47)-BC38)^0.5,0),ROUNDUP((2*(Retailers!AK37+Distributors_Cap!$P$47)-BC38)^0.5,0)))))))))</f>
        <v/>
      </c>
      <c r="T38" s="2">
        <f>IF(P38&gt;Demand!AW55,0,(IF(((2*(Retailers!AL37+Distributors_Cap!$P$47)-Retailers_Cap!$BB$7)*(Demand!AW55-Retailers_Cap!P38))&lt;0,0,((IF(BD38&gt;2*(Retailers!AL37+Distributors_Cap!$P$47),0,(IF(BI38=0,ROUNDUP((2*(Retailers!AL37+Distributors_Cap!$P$47)-BD38)^0.5,0),ROUNDUP((2*(Retailers!AL37+Distributors_Cap!$P$47)-BD38)^0.5,0)))))))))</f>
        <v/>
      </c>
      <c r="W38" s="64" t="n">
        <v>42</v>
      </c>
      <c r="X38" s="9" t="n">
        <v>0</v>
      </c>
      <c r="Y38" s="9" t="n">
        <v>0</v>
      </c>
      <c r="Z38" s="9" t="n">
        <v>0</v>
      </c>
      <c r="AB38" s="2">
        <f>ROUNDDOWN(LOG((X38+1),2),0)</f>
        <v/>
      </c>
      <c r="AC38" s="2">
        <f>ROUNDDOWN(LOG((Y38+1),2),0)</f>
        <v/>
      </c>
      <c r="AD38" s="2">
        <f>ROUNDDOWN(LOG((Z38+1),2),0)</f>
        <v/>
      </c>
      <c r="AG38" s="64" t="n">
        <v>42</v>
      </c>
      <c r="AH38" s="9" t="n">
        <v>0</v>
      </c>
      <c r="AI38" s="9" t="n">
        <v>0</v>
      </c>
      <c r="AJ38" s="9" t="n">
        <v>0</v>
      </c>
      <c r="AQ38" s="64" t="n">
        <v>42</v>
      </c>
      <c r="AR38" s="64" t="n">
        <v>63.59</v>
      </c>
      <c r="AS38" s="64" t="n">
        <v>78.036</v>
      </c>
      <c r="AT38" s="64" t="n">
        <v>38.118</v>
      </c>
      <c r="AV38" s="64" t="n">
        <v>42</v>
      </c>
      <c r="AW38" s="64">
        <f>Beginning_stock!AT66</f>
        <v/>
      </c>
      <c r="AX38" s="64">
        <f>Beginning_stock!AU66</f>
        <v/>
      </c>
      <c r="AY38" s="64">
        <f>Beginning_stock!AV66</f>
        <v/>
      </c>
      <c r="BA38" s="64" t="n">
        <v>42</v>
      </c>
      <c r="BB38" s="64">
        <f>IF(Demand!AU55=Retailers_Cap!N38,"ret=0",(AW38/(Demand!AU55-Retailers_Cap!N38)))</f>
        <v/>
      </c>
      <c r="BC38" s="64">
        <f>IF(Demand!AV55=Retailers_Cap!O38,"ret=0",(AX38/(Demand!AV55-Retailers_Cap!O38)))</f>
        <v/>
      </c>
      <c r="BD38" s="64">
        <f>IF(Demand!AW55=Retailers_Cap!P38,"ret=0",(AY38/(Demand!AW55-Retailers_Cap!P38)))</f>
        <v/>
      </c>
      <c r="BF38" s="64" t="n">
        <v>42</v>
      </c>
      <c r="BG38" s="2">
        <f>IF(Demand!AU55&lt;=Retailers_Cap!N38,"ret=0",(IF(BB38&lt;=AR38+Distributors_Cap!$P$47,1,0)))</f>
        <v/>
      </c>
      <c r="BH38" s="2">
        <f>IF(Demand!AV55&lt;=Retailers_Cap!O38,"ret=0",(IF(BC38&lt;=AS38+Distributors_Cap!$P$47,1,0)))</f>
        <v/>
      </c>
      <c r="BI38" s="2">
        <f>IF(Demand!AW55&lt;=Retailers_Cap!P38,"ret=0",(IF(BD38&lt;=AT38+Distributors_Cap!$P$47,1,0)))</f>
        <v/>
      </c>
      <c r="BK38" s="64" t="n">
        <v>42</v>
      </c>
      <c r="BL38" s="64">
        <f>Retailers!BH37</f>
        <v/>
      </c>
      <c r="BM38" s="64">
        <f>Retailers!BI37</f>
        <v/>
      </c>
      <c r="BN38" s="64">
        <f>Retailers!BJ37</f>
        <v/>
      </c>
      <c r="BP38" s="64" t="n">
        <v>42</v>
      </c>
      <c r="BQ38" s="64">
        <f>#REF!</f>
        <v/>
      </c>
      <c r="BR38" s="64">
        <f>#REF!</f>
        <v/>
      </c>
      <c r="BS38" s="64">
        <f>#REF!</f>
        <v/>
      </c>
      <c r="BU38" s="64" t="n">
        <v>42</v>
      </c>
      <c r="BV38" s="64">
        <f>Retailers!AS37</f>
        <v/>
      </c>
      <c r="BW38" s="64">
        <f>Retailers!AT37</f>
        <v/>
      </c>
      <c r="BX38" s="64">
        <f>Retailers!AU37</f>
        <v/>
      </c>
      <c r="BZ38" s="64" t="n">
        <v>42</v>
      </c>
      <c r="CA38" s="64">
        <f>Results!#REF!</f>
        <v/>
      </c>
      <c r="CB38" s="64">
        <f>Results!#REF!</f>
        <v/>
      </c>
      <c r="CC38" s="64">
        <f>Results!#REF!</f>
        <v/>
      </c>
      <c r="CE38" s="64" t="n">
        <v>42</v>
      </c>
      <c r="CF38" s="64">
        <f>Retailers!BN37</f>
        <v/>
      </c>
      <c r="CG38" s="64">
        <f>Retailers!BO37</f>
        <v/>
      </c>
      <c r="CH38" s="64">
        <f>Retailers!BP37</f>
        <v/>
      </c>
      <c r="CJ38" s="64" t="n">
        <v>42</v>
      </c>
      <c r="CK38" s="64">
        <f>IF(BB38="ret=0",0,IF(BB38&gt;0,AR38+Distributors_Cap!$P$47-BB38,0))</f>
        <v/>
      </c>
      <c r="CL38" s="64">
        <f>IF(BC38="ret=0",0,IF(BC38&gt;0,AS38+Distributors_Cap!$P$47-BC38,0))</f>
        <v/>
      </c>
      <c r="CM38" s="64">
        <f>IF(BD38="ret=0",0,IF(BD38&gt;0,AT38+Distributors_Cap!$P$47-BD38,0))</f>
        <v/>
      </c>
    </row>
    <row r="39">
      <c r="G39" s="64" t="n">
        <v>43</v>
      </c>
      <c r="H39" s="64" t="n">
        <v>47.243</v>
      </c>
      <c r="I39" s="64" t="n">
        <v>44.416</v>
      </c>
      <c r="J39" s="64" t="n">
        <v>71.06699999999999</v>
      </c>
      <c r="L39" s="64">
        <f>TRUNC((_xlfn.NORM.INV((RAND()),$K$7,$K$8)),0)</f>
        <v/>
      </c>
      <c r="M39" s="64" t="n">
        <v>43</v>
      </c>
      <c r="N39" s="5" t="n">
        <v>21</v>
      </c>
      <c r="O39" s="5" t="n">
        <v>10</v>
      </c>
      <c r="P39" s="5" t="n">
        <v>23</v>
      </c>
      <c r="R39" s="2">
        <f>IF(N39&gt;Demand!AU56,0,(IF(((2*(Retailers!AJ38+Distributors_Cap!$P$47)-Retailers_Cap!$BB$7)*(Demand!AU56-Retailers_Cap!N39))&lt;0,0,((IF(BB39&gt;2*(Retailers!AJ38+Distributors_Cap!$P$47),0,(IF(BG39=0,ROUNDUP((2*(Retailers!AJ38+Distributors_Cap!$P$47)-BB39)^0.5,0),ROUNDUP((2*(Retailers!AJ38+Distributors_Cap!$P$47)-BB39)^0.5,0)))))))))</f>
        <v/>
      </c>
      <c r="S39" s="2">
        <f>IF(O39&gt;Demand!AV56,0,(IF(((2*(Retailers!AK38+Distributors_Cap!$P$47)-Retailers_Cap!$BB$7)*(Demand!AV56-Retailers_Cap!O39))&lt;0,0,((IF(BC39&gt;2*(Retailers!AK38+Distributors_Cap!$P$47),0,(IF(BH39=0,ROUNDUP((2*(Retailers!AK38+Distributors_Cap!$P$47)-BC39)^0.5,0),ROUNDUP((2*(Retailers!AK38+Distributors_Cap!$P$47)-BC39)^0.5,0)))))))))</f>
        <v/>
      </c>
      <c r="T39" s="2">
        <f>IF(P39&gt;Demand!AW56,0,(IF(((2*(Retailers!AL38+Distributors_Cap!$P$47)-Retailers_Cap!$BB$7)*(Demand!AW56-Retailers_Cap!P39))&lt;0,0,((IF(BD39&gt;2*(Retailers!AL38+Distributors_Cap!$P$47),0,(IF(BI39=0,ROUNDUP((2*(Retailers!AL38+Distributors_Cap!$P$47)-BD39)^0.5,0),ROUNDUP((2*(Retailers!AL38+Distributors_Cap!$P$47)-BD39)^0.5,0)))))))))</f>
        <v/>
      </c>
      <c r="W39" s="64" t="n">
        <v>43</v>
      </c>
      <c r="X39" s="9" t="n">
        <v>12</v>
      </c>
      <c r="Y39" s="9" t="n">
        <v>12</v>
      </c>
      <c r="Z39" s="9" t="n">
        <v>12</v>
      </c>
      <c r="AB39" s="2">
        <f>ROUNDDOWN(LOG((X39+1),2),0)</f>
        <v/>
      </c>
      <c r="AC39" s="2">
        <f>ROUNDDOWN(LOG((Y39+1),2),0)</f>
        <v/>
      </c>
      <c r="AD39" s="2">
        <f>ROUNDDOWN(LOG((Z39+1),2),0)</f>
        <v/>
      </c>
      <c r="AG39" s="64" t="n">
        <v>43</v>
      </c>
      <c r="AH39" s="9" t="n">
        <v>3</v>
      </c>
      <c r="AI39" s="9" t="n">
        <v>3</v>
      </c>
      <c r="AJ39" s="9" t="n">
        <v>3</v>
      </c>
      <c r="AQ39" s="64" t="n">
        <v>43</v>
      </c>
      <c r="AR39" s="64" t="n">
        <v>47.243</v>
      </c>
      <c r="AS39" s="64" t="n">
        <v>44.416</v>
      </c>
      <c r="AT39" s="64" t="n">
        <v>71.06699999999999</v>
      </c>
      <c r="AV39" s="64" t="n">
        <v>43</v>
      </c>
      <c r="AW39" s="64">
        <f>Beginning_stock!AT67</f>
        <v/>
      </c>
      <c r="AX39" s="64">
        <f>Beginning_stock!AU67</f>
        <v/>
      </c>
      <c r="AY39" s="64">
        <f>Beginning_stock!AV67</f>
        <v/>
      </c>
      <c r="BA39" s="64" t="n">
        <v>43</v>
      </c>
      <c r="BB39" s="64">
        <f>IF(Demand!AU56=Retailers_Cap!N39,"ret=0",(AW39/(Demand!AU56-Retailers_Cap!N39)))</f>
        <v/>
      </c>
      <c r="BC39" s="64">
        <f>IF(Demand!AV56=Retailers_Cap!O39,"ret=0",(AX39/(Demand!AV56-Retailers_Cap!O39)))</f>
        <v/>
      </c>
      <c r="BD39" s="64">
        <f>IF(Demand!AW56=Retailers_Cap!P39,"ret=0",(AY39/(Demand!AW56-Retailers_Cap!P39)))</f>
        <v/>
      </c>
      <c r="BF39" s="64" t="n">
        <v>43</v>
      </c>
      <c r="BG39" s="2">
        <f>IF(Demand!AU56&lt;=Retailers_Cap!N39,"ret=0",(IF(BB39&lt;=AR39+Distributors_Cap!$P$47,1,0)))</f>
        <v/>
      </c>
      <c r="BH39" s="2">
        <f>IF(Demand!AV56&lt;=Retailers_Cap!O39,"ret=0",(IF(BC39&lt;=AS39+Distributors_Cap!$P$47,1,0)))</f>
        <v/>
      </c>
      <c r="BI39" s="2">
        <f>IF(Demand!AW56&lt;=Retailers_Cap!P39,"ret=0",(IF(BD39&lt;=AT39+Distributors_Cap!$P$47,1,0)))</f>
        <v/>
      </c>
      <c r="BK39" s="64" t="n">
        <v>43</v>
      </c>
      <c r="BL39" s="64">
        <f>Retailers!BH38</f>
        <v/>
      </c>
      <c r="BM39" s="64">
        <f>Retailers!BI38</f>
        <v/>
      </c>
      <c r="BN39" s="64">
        <f>Retailers!BJ38</f>
        <v/>
      </c>
      <c r="BP39" s="64" t="n">
        <v>43</v>
      </c>
      <c r="BQ39" s="64">
        <f>#REF!</f>
        <v/>
      </c>
      <c r="BR39" s="64">
        <f>#REF!</f>
        <v/>
      </c>
      <c r="BS39" s="64">
        <f>#REF!</f>
        <v/>
      </c>
      <c r="BU39" s="64" t="n">
        <v>43</v>
      </c>
      <c r="BV39" s="64">
        <f>Retailers!AS38</f>
        <v/>
      </c>
      <c r="BW39" s="64">
        <f>Retailers!AT38</f>
        <v/>
      </c>
      <c r="BX39" s="64">
        <f>Retailers!AU38</f>
        <v/>
      </c>
      <c r="BZ39" s="64" t="n">
        <v>43</v>
      </c>
      <c r="CA39" s="64">
        <f>Results!#REF!</f>
        <v/>
      </c>
      <c r="CB39" s="64">
        <f>Results!#REF!</f>
        <v/>
      </c>
      <c r="CC39" s="64">
        <f>Results!#REF!</f>
        <v/>
      </c>
      <c r="CE39" s="64" t="n">
        <v>43</v>
      </c>
      <c r="CF39" s="64">
        <f>Retailers!BN38</f>
        <v/>
      </c>
      <c r="CG39" s="64">
        <f>Retailers!BO38</f>
        <v/>
      </c>
      <c r="CH39" s="64">
        <f>Retailers!BP38</f>
        <v/>
      </c>
      <c r="CJ39" s="64" t="n">
        <v>43</v>
      </c>
      <c r="CK39" s="64">
        <f>IF(BB39="ret=0",0,IF(BB39&gt;0,AR39+Distributors_Cap!$P$47-BB39,0))</f>
        <v/>
      </c>
      <c r="CL39" s="64">
        <f>IF(BC39="ret=0",0,IF(BC39&gt;0,AS39+Distributors_Cap!$P$47-BC39,0))</f>
        <v/>
      </c>
      <c r="CM39" s="64">
        <f>IF(BD39="ret=0",0,IF(BD39&gt;0,AT39+Distributors_Cap!$P$47-BD39,0))</f>
        <v/>
      </c>
    </row>
    <row r="40">
      <c r="G40" s="64" t="n">
        <v>44</v>
      </c>
      <c r="H40" s="64" t="n">
        <v>68.708</v>
      </c>
      <c r="I40" s="64" t="n">
        <v>81.249</v>
      </c>
      <c r="J40" s="64" t="n">
        <v>71.997</v>
      </c>
      <c r="L40" s="64">
        <f>TRUNC((_xlfn.NORM.INV((RAND()),$K$7,$K$8)),0)</f>
        <v/>
      </c>
      <c r="M40" s="64" t="n">
        <v>44</v>
      </c>
      <c r="N40" s="5" t="n">
        <v>32</v>
      </c>
      <c r="O40" s="5" t="n">
        <v>26</v>
      </c>
      <c r="P40" s="5" t="n">
        <v>28</v>
      </c>
      <c r="R40" s="2">
        <f>IF(N40&gt;Demand!AU57,0,(IF(((2*(Retailers!AJ39+Distributors_Cap!$P$47)-Retailers_Cap!$BB$7)*(Demand!AU57-Retailers_Cap!N40))&lt;0,0,((IF(BB40&gt;2*(Retailers!AJ39+Distributors_Cap!$P$47),0,(IF(BG40=0,ROUNDUP((2*(Retailers!AJ39+Distributors_Cap!$P$47)-BB40)^0.5,0),ROUNDUP((2*(Retailers!AJ39+Distributors_Cap!$P$47)-BB40)^0.5,0)))))))))</f>
        <v/>
      </c>
      <c r="S40" s="2">
        <f>IF(O40&gt;Demand!AV57,0,(IF(((2*(Retailers!AK39+Distributors_Cap!$P$47)-Retailers_Cap!$BB$7)*(Demand!AV57-Retailers_Cap!O40))&lt;0,0,((IF(BC40&gt;2*(Retailers!AK39+Distributors_Cap!$P$47),0,(IF(BH40=0,ROUNDUP((2*(Retailers!AK39+Distributors_Cap!$P$47)-BC40)^0.5,0),ROUNDUP((2*(Retailers!AK39+Distributors_Cap!$P$47)-BC40)^0.5,0)))))))))</f>
        <v/>
      </c>
      <c r="T40" s="2">
        <f>IF(P40&gt;Demand!AW57,0,(IF(((2*(Retailers!AL39+Distributors_Cap!$P$47)-Retailers_Cap!$BB$7)*(Demand!AW57-Retailers_Cap!P40))&lt;0,0,((IF(BD40&gt;2*(Retailers!AL39+Distributors_Cap!$P$47),0,(IF(BI40=0,ROUNDUP((2*(Retailers!AL39+Distributors_Cap!$P$47)-BD40)^0.5,0),ROUNDUP((2*(Retailers!AL39+Distributors_Cap!$P$47)-BD40)^0.5,0)))))))))</f>
        <v/>
      </c>
      <c r="W40" s="64" t="n">
        <v>44</v>
      </c>
      <c r="X40" s="9" t="n">
        <v>0</v>
      </c>
      <c r="Y40" s="9" t="n">
        <v>0</v>
      </c>
      <c r="Z40" s="9" t="n">
        <v>9</v>
      </c>
      <c r="AB40" s="2">
        <f>ROUNDDOWN(LOG((X40+1),2),0)</f>
        <v/>
      </c>
      <c r="AC40" s="2">
        <f>ROUNDDOWN(LOG((Y40+1),2),0)</f>
        <v/>
      </c>
      <c r="AD40" s="2">
        <f>ROUNDDOWN(LOG((Z40+1),2),0)</f>
        <v/>
      </c>
      <c r="AG40" s="64" t="n">
        <v>44</v>
      </c>
      <c r="AH40" s="9" t="n">
        <v>0</v>
      </c>
      <c r="AI40" s="9" t="n">
        <v>0</v>
      </c>
      <c r="AJ40" s="9" t="n">
        <v>3</v>
      </c>
      <c r="AQ40" s="64" t="n">
        <v>44</v>
      </c>
      <c r="AR40" s="64" t="n">
        <v>68.708</v>
      </c>
      <c r="AS40" s="64" t="n">
        <v>81.249</v>
      </c>
      <c r="AT40" s="64" t="n">
        <v>71.997</v>
      </c>
      <c r="AV40" s="64" t="n">
        <v>44</v>
      </c>
      <c r="AW40" s="64">
        <f>Beginning_stock!AT68</f>
        <v/>
      </c>
      <c r="AX40" s="64">
        <f>Beginning_stock!AU68</f>
        <v/>
      </c>
      <c r="AY40" s="64">
        <f>Beginning_stock!AV68</f>
        <v/>
      </c>
      <c r="BA40" s="64" t="n">
        <v>44</v>
      </c>
      <c r="BB40" s="64">
        <f>IF(Demand!AU57=Retailers_Cap!N40,"ret=0",(AW40/(Demand!AU57-Retailers_Cap!N40)))</f>
        <v/>
      </c>
      <c r="BC40" s="64">
        <f>IF(Demand!AV57=Retailers_Cap!O40,"ret=0",(AX40/(Demand!AV57-Retailers_Cap!O40)))</f>
        <v/>
      </c>
      <c r="BD40" s="64">
        <f>IF(Demand!AW57=Retailers_Cap!P40,"ret=0",(AY40/(Demand!AW57-Retailers_Cap!P40)))</f>
        <v/>
      </c>
      <c r="BF40" s="64" t="n">
        <v>44</v>
      </c>
      <c r="BG40" s="2">
        <f>IF(Demand!AU57&lt;=Retailers_Cap!N40,"ret=0",(IF(BB40&lt;=AR40+Distributors_Cap!$P$47,1,0)))</f>
        <v/>
      </c>
      <c r="BH40" s="2">
        <f>IF(Demand!AV57&lt;=Retailers_Cap!O40,"ret=0",(IF(BC40&lt;=AS40+Distributors_Cap!$P$47,1,0)))</f>
        <v/>
      </c>
      <c r="BI40" s="2">
        <f>IF(Demand!AW57&lt;=Retailers_Cap!P40,"ret=0",(IF(BD40&lt;=AT40+Distributors_Cap!$P$47,1,0)))</f>
        <v/>
      </c>
      <c r="BK40" s="64" t="n">
        <v>44</v>
      </c>
      <c r="BL40" s="64">
        <f>Retailers!BH39</f>
        <v/>
      </c>
      <c r="BM40" s="64">
        <f>Retailers!BI39</f>
        <v/>
      </c>
      <c r="BN40" s="64">
        <f>Retailers!BJ39</f>
        <v/>
      </c>
      <c r="BP40" s="64" t="n">
        <v>44</v>
      </c>
      <c r="BQ40" s="64">
        <f>#REF!</f>
        <v/>
      </c>
      <c r="BR40" s="64">
        <f>#REF!</f>
        <v/>
      </c>
      <c r="BS40" s="64">
        <f>#REF!</f>
        <v/>
      </c>
      <c r="BU40" s="64" t="n">
        <v>44</v>
      </c>
      <c r="BV40" s="64">
        <f>Retailers!AS39</f>
        <v/>
      </c>
      <c r="BW40" s="64">
        <f>Retailers!AT39</f>
        <v/>
      </c>
      <c r="BX40" s="64">
        <f>Retailers!AU39</f>
        <v/>
      </c>
      <c r="BZ40" s="64" t="n">
        <v>44</v>
      </c>
      <c r="CA40" s="64">
        <f>Results!#REF!</f>
        <v/>
      </c>
      <c r="CB40" s="64">
        <f>Results!#REF!</f>
        <v/>
      </c>
      <c r="CC40" s="64">
        <f>Results!#REF!</f>
        <v/>
      </c>
      <c r="CE40" s="64" t="n">
        <v>44</v>
      </c>
      <c r="CF40" s="64">
        <f>Retailers!BN39</f>
        <v/>
      </c>
      <c r="CG40" s="64">
        <f>Retailers!BO39</f>
        <v/>
      </c>
      <c r="CH40" s="64">
        <f>Retailers!BP39</f>
        <v/>
      </c>
      <c r="CJ40" s="64" t="n">
        <v>44</v>
      </c>
      <c r="CK40" s="64">
        <f>IF(BB40="ret=0",0,IF(BB40&gt;0,AR40+Distributors_Cap!$P$47-BB40,0))</f>
        <v/>
      </c>
      <c r="CL40" s="64">
        <f>IF(BC40="ret=0",0,IF(BC40&gt;0,AS40+Distributors_Cap!$P$47-BC40,0))</f>
        <v/>
      </c>
      <c r="CM40" s="64">
        <f>IF(BD40="ret=0",0,IF(BD40&gt;0,AT40+Distributors_Cap!$P$47-BD40,0))</f>
        <v/>
      </c>
    </row>
    <row r="41">
      <c r="G41" s="64" t="n">
        <v>45</v>
      </c>
      <c r="H41" s="64" t="n">
        <v>80.925</v>
      </c>
      <c r="I41" s="64" t="n">
        <v>54.896</v>
      </c>
      <c r="J41" s="64" t="n">
        <v>64.851</v>
      </c>
      <c r="L41" s="64">
        <f>TRUNC((_xlfn.NORM.INV((RAND()),$K$7,$K$8)),0)</f>
        <v/>
      </c>
      <c r="M41" s="64" t="n">
        <v>45</v>
      </c>
      <c r="N41" s="5" t="n">
        <v>23</v>
      </c>
      <c r="O41" s="5" t="n">
        <v>22</v>
      </c>
      <c r="P41" s="5" t="n">
        <v>18</v>
      </c>
      <c r="R41" s="2">
        <f>IF(N41&gt;Demand!AU58,0,(IF(((2*(Retailers!AJ40+Distributors_Cap!$P$47)-Retailers_Cap!$BB$7)*(Demand!AU58-Retailers_Cap!N41))&lt;0,0,((IF(BB41&gt;2*(Retailers!AJ40+Distributors_Cap!$P$47),0,(IF(BG41=0,ROUNDUP((2*(Retailers!AJ40+Distributors_Cap!$P$47)-BB41)^0.5,0),ROUNDUP((2*(Retailers!AJ40+Distributors_Cap!$P$47)-BB41)^0.5,0)))))))))</f>
        <v/>
      </c>
      <c r="S41" s="2">
        <f>IF(O41&gt;Demand!AV58,0,(IF(((2*(Retailers!AK40+Distributors_Cap!$P$47)-Retailers_Cap!$BB$7)*(Demand!AV58-Retailers_Cap!O41))&lt;0,0,((IF(BC41&gt;2*(Retailers!AK40+Distributors_Cap!$P$47),0,(IF(BH41=0,ROUNDUP((2*(Retailers!AK40+Distributors_Cap!$P$47)-BC41)^0.5,0),ROUNDUP((2*(Retailers!AK40+Distributors_Cap!$P$47)-BC41)^0.5,0)))))))))</f>
        <v/>
      </c>
      <c r="T41" s="2">
        <f>IF(P41&gt;Demand!AW58,0,(IF(((2*(Retailers!AL40+Distributors_Cap!$P$47)-Retailers_Cap!$BB$7)*(Demand!AW58-Retailers_Cap!P41))&lt;0,0,((IF(BD41&gt;2*(Retailers!AL40+Distributors_Cap!$P$47),0,(IF(BI41=0,ROUNDUP((2*(Retailers!AL40+Distributors_Cap!$P$47)-BD41)^0.5,0),ROUNDUP((2*(Retailers!AL40+Distributors_Cap!$P$47)-BD41)^0.5,0)))))))))</f>
        <v/>
      </c>
      <c r="W41" s="64" t="n">
        <v>45</v>
      </c>
      <c r="X41" s="9" t="n">
        <v>0</v>
      </c>
      <c r="Y41" s="9" t="n">
        <v>0</v>
      </c>
      <c r="Z41" s="9" t="n">
        <v>13</v>
      </c>
      <c r="AB41" s="2">
        <f>ROUNDDOWN(LOG((X41+1),2),0)</f>
        <v/>
      </c>
      <c r="AC41" s="2">
        <f>ROUNDDOWN(LOG((Y41+1),2),0)</f>
        <v/>
      </c>
      <c r="AD41" s="2">
        <f>ROUNDDOWN(LOG((Z41+1),2),0)</f>
        <v/>
      </c>
      <c r="AG41" s="64" t="n">
        <v>45</v>
      </c>
      <c r="AH41" s="9" t="n">
        <v>0</v>
      </c>
      <c r="AI41" s="9" t="n">
        <v>0</v>
      </c>
      <c r="AJ41" s="9" t="n">
        <v>3</v>
      </c>
      <c r="AQ41" s="64" t="n">
        <v>45</v>
      </c>
      <c r="AR41" s="64" t="n">
        <v>80.925</v>
      </c>
      <c r="AS41" s="64" t="n">
        <v>54.896</v>
      </c>
      <c r="AT41" s="64" t="n">
        <v>64.851</v>
      </c>
      <c r="AV41" s="64" t="n">
        <v>45</v>
      </c>
      <c r="AW41" s="64">
        <f>Beginning_stock!AT69</f>
        <v/>
      </c>
      <c r="AX41" s="64">
        <f>Beginning_stock!AU69</f>
        <v/>
      </c>
      <c r="AY41" s="64">
        <f>Beginning_stock!AV69</f>
        <v/>
      </c>
      <c r="BA41" s="64" t="n">
        <v>45</v>
      </c>
      <c r="BB41" s="64">
        <f>IF(Demand!AU58=Retailers_Cap!N41,"ret=0",(AW41/(Demand!AU58-Retailers_Cap!N41)))</f>
        <v/>
      </c>
      <c r="BC41" s="64">
        <f>IF(Demand!AV58=Retailers_Cap!O41,"ret=0",(AX41/(Demand!AV58-Retailers_Cap!O41)))</f>
        <v/>
      </c>
      <c r="BD41" s="64">
        <f>IF(Demand!AW58=Retailers_Cap!P41,"ret=0",(AY41/(Demand!AW58-Retailers_Cap!P41)))</f>
        <v/>
      </c>
      <c r="BF41" s="64" t="n">
        <v>45</v>
      </c>
      <c r="BG41" s="2">
        <f>IF(Demand!AU58&lt;=Retailers_Cap!N41,"ret=0",(IF(BB41&lt;=AR41+Distributors_Cap!$P$47,1,0)))</f>
        <v/>
      </c>
      <c r="BH41" s="2">
        <f>IF(Demand!AV58&lt;=Retailers_Cap!O41,"ret=0",(IF(BC41&lt;=AS41+Distributors_Cap!$P$47,1,0)))</f>
        <v/>
      </c>
      <c r="BI41" s="2">
        <f>IF(Demand!AW58&lt;=Retailers_Cap!P41,"ret=0",(IF(BD41&lt;=AT41+Distributors_Cap!$P$47,1,0)))</f>
        <v/>
      </c>
      <c r="BK41" s="64" t="n">
        <v>45</v>
      </c>
      <c r="BL41" s="64">
        <f>Retailers!BH40</f>
        <v/>
      </c>
      <c r="BM41" s="64">
        <f>Retailers!BI40</f>
        <v/>
      </c>
      <c r="BN41" s="64">
        <f>Retailers!BJ40</f>
        <v/>
      </c>
      <c r="BP41" s="64" t="n">
        <v>45</v>
      </c>
      <c r="BQ41" s="64">
        <f>#REF!</f>
        <v/>
      </c>
      <c r="BR41" s="64">
        <f>#REF!</f>
        <v/>
      </c>
      <c r="BS41" s="64">
        <f>#REF!</f>
        <v/>
      </c>
      <c r="BU41" s="64" t="n">
        <v>45</v>
      </c>
      <c r="BV41" s="64">
        <f>Retailers!AS40</f>
        <v/>
      </c>
      <c r="BW41" s="64">
        <f>Retailers!AT40</f>
        <v/>
      </c>
      <c r="BX41" s="64">
        <f>Retailers!AU40</f>
        <v/>
      </c>
      <c r="BZ41" s="64" t="n">
        <v>45</v>
      </c>
      <c r="CA41" s="64">
        <f>Results!#REF!</f>
        <v/>
      </c>
      <c r="CB41" s="64">
        <f>Results!#REF!</f>
        <v/>
      </c>
      <c r="CC41" s="64">
        <f>Results!#REF!</f>
        <v/>
      </c>
      <c r="CE41" s="64" t="n">
        <v>45</v>
      </c>
      <c r="CF41" s="64">
        <f>Retailers!BN40</f>
        <v/>
      </c>
      <c r="CG41" s="64">
        <f>Retailers!BO40</f>
        <v/>
      </c>
      <c r="CH41" s="64">
        <f>Retailers!BP40</f>
        <v/>
      </c>
      <c r="CJ41" s="64" t="n">
        <v>45</v>
      </c>
      <c r="CK41" s="64">
        <f>IF(BB41="ret=0",0,IF(BB41&gt;0,AR41+Distributors_Cap!$P$47-BB41,0))</f>
        <v/>
      </c>
      <c r="CL41" s="64">
        <f>IF(BC41="ret=0",0,IF(BC41&gt;0,AS41+Distributors_Cap!$P$47-BC41,0))</f>
        <v/>
      </c>
      <c r="CM41" s="64">
        <f>IF(BD41="ret=0",0,IF(BD41&gt;0,AT41+Distributors_Cap!$P$47-BD41,0))</f>
        <v/>
      </c>
    </row>
    <row r="42">
      <c r="G42" s="64" t="n">
        <v>46</v>
      </c>
      <c r="H42" s="64" t="n">
        <v>47.123</v>
      </c>
      <c r="I42" s="64" t="n">
        <v>62.216</v>
      </c>
      <c r="J42" s="64" t="n">
        <v>85.279</v>
      </c>
      <c r="L42" s="64">
        <f>TRUNC((_xlfn.NORM.INV((RAND()),$K$7,$K$8)),0)</f>
        <v/>
      </c>
      <c r="M42" s="64" t="n">
        <v>46</v>
      </c>
      <c r="N42" s="5" t="n">
        <v>34</v>
      </c>
      <c r="O42" s="5" t="n">
        <v>24</v>
      </c>
      <c r="P42" s="5" t="n">
        <v>19</v>
      </c>
      <c r="R42" s="2">
        <f>IF(N42&gt;Demand!AU59,0,(IF(((2*(Retailers!AJ41+Distributors_Cap!$P$47)-Retailers_Cap!$BB$7)*(Demand!AU59-Retailers_Cap!N42))&lt;0,0,((IF(BB42&gt;2*(Retailers!AJ41+Distributors_Cap!$P$47),0,(IF(BG42=0,ROUNDUP((2*(Retailers!AJ41+Distributors_Cap!$P$47)-BB42)^0.5,0),ROUNDUP((2*(Retailers!AJ41+Distributors_Cap!$P$47)-BB42)^0.5,0)))))))))</f>
        <v/>
      </c>
      <c r="S42" s="2">
        <f>IF(O42&gt;Demand!AV59,0,(IF(((2*(Retailers!AK41+Distributors_Cap!$P$47)-Retailers_Cap!$BB$7)*(Demand!AV59-Retailers_Cap!O42))&lt;0,0,((IF(BC42&gt;2*(Retailers!AK41+Distributors_Cap!$P$47),0,(IF(BH42=0,ROUNDUP((2*(Retailers!AK41+Distributors_Cap!$P$47)-BC42)^0.5,0),ROUNDUP((2*(Retailers!AK41+Distributors_Cap!$P$47)-BC42)^0.5,0)))))))))</f>
        <v/>
      </c>
      <c r="T42" s="2">
        <f>IF(P42&gt;Demand!AW59,0,(IF(((2*(Retailers!AL41+Distributors_Cap!$P$47)-Retailers_Cap!$BB$7)*(Demand!AW59-Retailers_Cap!P42))&lt;0,0,((IF(BD42&gt;2*(Retailers!AL41+Distributors_Cap!$P$47),0,(IF(BI42=0,ROUNDUP((2*(Retailers!AL41+Distributors_Cap!$P$47)-BD42)^0.5,0),ROUNDUP((2*(Retailers!AL41+Distributors_Cap!$P$47)-BD42)^0.5,0)))))))))</f>
        <v/>
      </c>
      <c r="W42" s="64" t="n">
        <v>46</v>
      </c>
      <c r="X42" s="9" t="n">
        <v>0</v>
      </c>
      <c r="Y42" s="9" t="n">
        <v>13</v>
      </c>
      <c r="Z42" s="9" t="n">
        <v>15</v>
      </c>
      <c r="AB42" s="2">
        <f>ROUNDDOWN(LOG((X42+1),2),0)</f>
        <v/>
      </c>
      <c r="AC42" s="2">
        <f>ROUNDDOWN(LOG((Y42+1),2),0)</f>
        <v/>
      </c>
      <c r="AD42" s="2">
        <f>ROUNDDOWN(LOG((Z42+1),2),0)</f>
        <v/>
      </c>
      <c r="AG42" s="64" t="n">
        <v>46</v>
      </c>
      <c r="AH42" s="9" t="n">
        <v>0</v>
      </c>
      <c r="AI42" s="9" t="n">
        <v>3</v>
      </c>
      <c r="AJ42" s="9" t="n">
        <v>4</v>
      </c>
      <c r="AQ42" s="64" t="n">
        <v>46</v>
      </c>
      <c r="AR42" s="64" t="n">
        <v>47.123</v>
      </c>
      <c r="AS42" s="64" t="n">
        <v>62.216</v>
      </c>
      <c r="AT42" s="64" t="n">
        <v>85.279</v>
      </c>
      <c r="AV42" s="64" t="n">
        <v>46</v>
      </c>
      <c r="AW42" s="64">
        <f>Beginning_stock!AT70</f>
        <v/>
      </c>
      <c r="AX42" s="64">
        <f>Beginning_stock!AU70</f>
        <v/>
      </c>
      <c r="AY42" s="64">
        <f>Beginning_stock!AV70</f>
        <v/>
      </c>
      <c r="BA42" s="64" t="n">
        <v>46</v>
      </c>
      <c r="BB42" s="64">
        <f>IF(Demand!AU59=Retailers_Cap!N42,"ret=0",(AW42/(Demand!AU59-Retailers_Cap!N42)))</f>
        <v/>
      </c>
      <c r="BC42" s="64">
        <f>IF(Demand!AV59=Retailers_Cap!O42,"ret=0",(AX42/(Demand!AV59-Retailers_Cap!O42)))</f>
        <v/>
      </c>
      <c r="BD42" s="64">
        <f>IF(Demand!AW59=Retailers_Cap!P42,"ret=0",(AY42/(Demand!AW59-Retailers_Cap!P42)))</f>
        <v/>
      </c>
      <c r="BF42" s="64" t="n">
        <v>46</v>
      </c>
      <c r="BG42" s="2">
        <f>IF(Demand!AU59&lt;=Retailers_Cap!N42,"ret=0",(IF(BB42&lt;=AR42+Distributors_Cap!$P$47,1,0)))</f>
        <v/>
      </c>
      <c r="BH42" s="2">
        <f>IF(Demand!AV59&lt;=Retailers_Cap!O42,"ret=0",(IF(BC42&lt;=AS42+Distributors_Cap!$P$47,1,0)))</f>
        <v/>
      </c>
      <c r="BI42" s="2">
        <f>IF(Demand!AW59&lt;=Retailers_Cap!P42,"ret=0",(IF(BD42&lt;=AT42+Distributors_Cap!$P$47,1,0)))</f>
        <v/>
      </c>
      <c r="BK42" s="64" t="n">
        <v>46</v>
      </c>
      <c r="BL42" s="64">
        <f>Retailers!BH41</f>
        <v/>
      </c>
      <c r="BM42" s="64">
        <f>Retailers!BI41</f>
        <v/>
      </c>
      <c r="BN42" s="64">
        <f>Retailers!BJ41</f>
        <v/>
      </c>
      <c r="BP42" s="64" t="n">
        <v>46</v>
      </c>
      <c r="BQ42" s="64">
        <f>#REF!</f>
        <v/>
      </c>
      <c r="BR42" s="64">
        <f>#REF!</f>
        <v/>
      </c>
      <c r="BS42" s="64">
        <f>#REF!</f>
        <v/>
      </c>
      <c r="BU42" s="64" t="n">
        <v>46</v>
      </c>
      <c r="BV42" s="64">
        <f>Retailers!AS41</f>
        <v/>
      </c>
      <c r="BW42" s="64">
        <f>Retailers!AT41</f>
        <v/>
      </c>
      <c r="BX42" s="64">
        <f>Retailers!AU41</f>
        <v/>
      </c>
      <c r="BZ42" s="64" t="n">
        <v>46</v>
      </c>
      <c r="CA42" s="64">
        <f>Results!#REF!</f>
        <v/>
      </c>
      <c r="CB42" s="64">
        <f>Results!#REF!</f>
        <v/>
      </c>
      <c r="CC42" s="64">
        <f>Results!#REF!</f>
        <v/>
      </c>
      <c r="CE42" s="64" t="n">
        <v>46</v>
      </c>
      <c r="CF42" s="64">
        <f>Retailers!BN41</f>
        <v/>
      </c>
      <c r="CG42" s="64">
        <f>Retailers!BO41</f>
        <v/>
      </c>
      <c r="CH42" s="64">
        <f>Retailers!BP41</f>
        <v/>
      </c>
      <c r="CJ42" s="64" t="n">
        <v>46</v>
      </c>
      <c r="CK42" s="64">
        <f>IF(BB42="ret=0",0,IF(BB42&gt;0,AR42+Distributors_Cap!$P$47-BB42,0))</f>
        <v/>
      </c>
      <c r="CL42" s="64">
        <f>IF(BC42="ret=0",0,IF(BC42&gt;0,AS42+Distributors_Cap!$P$47-BC42,0))</f>
        <v/>
      </c>
      <c r="CM42" s="64">
        <f>IF(BD42="ret=0",0,IF(BD42&gt;0,AT42+Distributors_Cap!$P$47-BD42,0))</f>
        <v/>
      </c>
    </row>
    <row r="43">
      <c r="G43" s="64" t="n">
        <v>47</v>
      </c>
      <c r="H43" s="64" t="n">
        <v>63.343</v>
      </c>
      <c r="I43" s="64" t="n">
        <v>64.31</v>
      </c>
      <c r="J43" s="64" t="n">
        <v>65.268</v>
      </c>
      <c r="L43" s="64">
        <f>TRUNC((_xlfn.NORM.INV((RAND()),$K$7,$K$8)),0)</f>
        <v/>
      </c>
      <c r="M43" s="64" t="n">
        <v>47</v>
      </c>
      <c r="N43" s="5" t="n">
        <v>26</v>
      </c>
      <c r="O43" s="5" t="n">
        <v>31</v>
      </c>
      <c r="P43" s="5" t="n">
        <v>29</v>
      </c>
      <c r="R43" s="2">
        <f>IF(N43&gt;Demand!AU60,0,(IF(((2*(Retailers!AJ42+Distributors_Cap!$P$47)-Retailers_Cap!$BB$7)*(Demand!AU60-Retailers_Cap!N43))&lt;0,0,((IF(BB43&gt;2*(Retailers!AJ42+Distributors_Cap!$P$47),0,(IF(BG43=0,ROUNDUP((2*(Retailers!AJ42+Distributors_Cap!$P$47)-BB43)^0.5,0),ROUNDUP((2*(Retailers!AJ42+Distributors_Cap!$P$47)-BB43)^0.5,0)))))))))</f>
        <v/>
      </c>
      <c r="S43" s="2">
        <f>IF(O43&gt;Demand!AV60,0,(IF(((2*(Retailers!AK42+Distributors_Cap!$P$47)-Retailers_Cap!$BB$7)*(Demand!AV60-Retailers_Cap!O43))&lt;0,0,((IF(BC43&gt;2*(Retailers!AK42+Distributors_Cap!$P$47),0,(IF(BH43=0,ROUNDUP((2*(Retailers!AK42+Distributors_Cap!$P$47)-BC43)^0.5,0),ROUNDUP((2*(Retailers!AK42+Distributors_Cap!$P$47)-BC43)^0.5,0)))))))))</f>
        <v/>
      </c>
      <c r="T43" s="2">
        <f>IF(P43&gt;Demand!AW60,0,(IF(((2*(Retailers!AL42+Distributors_Cap!$P$47)-Retailers_Cap!$BB$7)*(Demand!AW60-Retailers_Cap!P43))&lt;0,0,((IF(BD43&gt;2*(Retailers!AL42+Distributors_Cap!$P$47),0,(IF(BI43=0,ROUNDUP((2*(Retailers!AL42+Distributors_Cap!$P$47)-BD43)^0.5,0),ROUNDUP((2*(Retailers!AL42+Distributors_Cap!$P$47)-BD43)^0.5,0)))))))))</f>
        <v/>
      </c>
      <c r="W43" s="64" t="n">
        <v>47</v>
      </c>
      <c r="X43" s="9" t="n">
        <v>12</v>
      </c>
      <c r="Y43" s="9" t="n">
        <v>9</v>
      </c>
      <c r="Z43" s="9" t="n">
        <v>0</v>
      </c>
      <c r="AB43" s="2">
        <f>ROUNDDOWN(LOG((X43+1),2),0)</f>
        <v/>
      </c>
      <c r="AC43" s="2">
        <f>ROUNDDOWN(LOG((Y43+1),2),0)</f>
        <v/>
      </c>
      <c r="AD43" s="2">
        <f>ROUNDDOWN(LOG((Z43+1),2),0)</f>
        <v/>
      </c>
      <c r="AG43" s="64" t="n">
        <v>47</v>
      </c>
      <c r="AH43" s="9" t="n">
        <v>3</v>
      </c>
      <c r="AI43" s="9" t="n">
        <v>3</v>
      </c>
      <c r="AJ43" s="9" t="n">
        <v>0</v>
      </c>
      <c r="AQ43" s="64" t="n">
        <v>47</v>
      </c>
      <c r="AR43" s="64" t="n">
        <v>63.343</v>
      </c>
      <c r="AS43" s="64" t="n">
        <v>64.31</v>
      </c>
      <c r="AT43" s="64" t="n">
        <v>65.268</v>
      </c>
      <c r="AV43" s="64" t="n">
        <v>47</v>
      </c>
      <c r="AW43" s="64">
        <f>Beginning_stock!AT71</f>
        <v/>
      </c>
      <c r="AX43" s="64">
        <f>Beginning_stock!AU71</f>
        <v/>
      </c>
      <c r="AY43" s="64">
        <f>Beginning_stock!AV71</f>
        <v/>
      </c>
      <c r="BA43" s="64" t="n">
        <v>47</v>
      </c>
      <c r="BB43" s="64">
        <f>IF(Demand!AU60=Retailers_Cap!N43,"ret=0",(AW43/(Demand!AU60-Retailers_Cap!N43)))</f>
        <v/>
      </c>
      <c r="BC43" s="64">
        <f>IF(Demand!AV60=Retailers_Cap!O43,"ret=0",(AX43/(Demand!AV60-Retailers_Cap!O43)))</f>
        <v/>
      </c>
      <c r="BD43" s="64">
        <f>IF(Demand!AW60=Retailers_Cap!P43,"ret=0",(AY43/(Demand!AW60-Retailers_Cap!P43)))</f>
        <v/>
      </c>
      <c r="BF43" s="64" t="n">
        <v>47</v>
      </c>
      <c r="BG43" s="2">
        <f>IF(Demand!AU60&lt;=Retailers_Cap!N43,"ret=0",(IF(BB43&lt;=AR43+Distributors_Cap!$P$47,1,0)))</f>
        <v/>
      </c>
      <c r="BH43" s="2">
        <f>IF(Demand!AV60&lt;=Retailers_Cap!O43,"ret=0",(IF(BC43&lt;=AS43+Distributors_Cap!$P$47,1,0)))</f>
        <v/>
      </c>
      <c r="BI43" s="2">
        <f>IF(Demand!AW60&lt;=Retailers_Cap!P43,"ret=0",(IF(BD43&lt;=AT43+Distributors_Cap!$P$47,1,0)))</f>
        <v/>
      </c>
      <c r="BK43" s="64" t="n">
        <v>47</v>
      </c>
      <c r="BL43" s="64">
        <f>Retailers!BH42</f>
        <v/>
      </c>
      <c r="BM43" s="64">
        <f>Retailers!BI42</f>
        <v/>
      </c>
      <c r="BN43" s="64">
        <f>Retailers!BJ42</f>
        <v/>
      </c>
      <c r="BP43" s="64" t="n">
        <v>47</v>
      </c>
      <c r="BQ43" s="64">
        <f>#REF!</f>
        <v/>
      </c>
      <c r="BR43" s="64">
        <f>#REF!</f>
        <v/>
      </c>
      <c r="BS43" s="64">
        <f>#REF!</f>
        <v/>
      </c>
      <c r="BU43" s="64" t="n">
        <v>47</v>
      </c>
      <c r="BV43" s="64">
        <f>Retailers!AS42</f>
        <v/>
      </c>
      <c r="BW43" s="64">
        <f>Retailers!AT42</f>
        <v/>
      </c>
      <c r="BX43" s="64">
        <f>Retailers!AU42</f>
        <v/>
      </c>
      <c r="BZ43" s="64" t="n">
        <v>47</v>
      </c>
      <c r="CA43" s="64">
        <f>Results!#REF!</f>
        <v/>
      </c>
      <c r="CB43" s="64">
        <f>Results!#REF!</f>
        <v/>
      </c>
      <c r="CC43" s="64">
        <f>Results!#REF!</f>
        <v/>
      </c>
      <c r="CE43" s="64" t="n">
        <v>47</v>
      </c>
      <c r="CF43" s="64">
        <f>Retailers!BN42</f>
        <v/>
      </c>
      <c r="CG43" s="64">
        <f>Retailers!BO42</f>
        <v/>
      </c>
      <c r="CH43" s="64">
        <f>Retailers!BP42</f>
        <v/>
      </c>
      <c r="CJ43" s="64" t="n">
        <v>47</v>
      </c>
      <c r="CK43" s="64">
        <f>IF(BB43="ret=0",0,IF(BB43&gt;0,AR43+Distributors_Cap!$P$47-BB43,0))</f>
        <v/>
      </c>
      <c r="CL43" s="64">
        <f>IF(BC43="ret=0",0,IF(BC43&gt;0,AS43+Distributors_Cap!$P$47-BC43,0))</f>
        <v/>
      </c>
      <c r="CM43" s="64">
        <f>IF(BD43="ret=0",0,IF(BD43&gt;0,AT43+Distributors_Cap!$P$47-BD43,0))</f>
        <v/>
      </c>
    </row>
    <row r="44">
      <c r="G44" s="64" t="n">
        <v>48</v>
      </c>
      <c r="H44" s="64" t="n">
        <v>67.218</v>
      </c>
      <c r="I44" s="64" t="n">
        <v>52.683</v>
      </c>
      <c r="J44" s="64" t="n">
        <v>60.908</v>
      </c>
      <c r="L44" s="64">
        <f>TRUNC((_xlfn.NORM.INV((RAND()),$K$7,$K$8)),0)</f>
        <v/>
      </c>
      <c r="M44" s="64" t="n">
        <v>48</v>
      </c>
      <c r="N44" s="5" t="n">
        <v>24</v>
      </c>
      <c r="O44" s="5" t="n">
        <v>30</v>
      </c>
      <c r="P44" s="5" t="n">
        <v>28</v>
      </c>
      <c r="R44" s="2">
        <f>IF(N44&gt;Demand!AU61,0,(IF(((2*(Retailers!AJ43+Distributors_Cap!$P$47)-Retailers_Cap!$BB$7)*(Demand!AU61-Retailers_Cap!N44))&lt;0,0,((IF(BB44&gt;2*(Retailers!AJ43+Distributors_Cap!$P$47),0,(IF(BG44=0,ROUNDUP((2*(Retailers!AJ43+Distributors_Cap!$P$47)-BB44)^0.5,0),ROUNDUP((2*(Retailers!AJ43+Distributors_Cap!$P$47)-BB44)^0.5,0)))))))))</f>
        <v/>
      </c>
      <c r="S44" s="2">
        <f>IF(O44&gt;Demand!AV61,0,(IF(((2*(Retailers!AK43+Distributors_Cap!$P$47)-Retailers_Cap!$BB$7)*(Demand!AV61-Retailers_Cap!O44))&lt;0,0,((IF(BC44&gt;2*(Retailers!AK43+Distributors_Cap!$P$47),0,(IF(BH44=0,ROUNDUP((2*(Retailers!AK43+Distributors_Cap!$P$47)-BC44)^0.5,0),ROUNDUP((2*(Retailers!AK43+Distributors_Cap!$P$47)-BC44)^0.5,0)))))))))</f>
        <v/>
      </c>
      <c r="T44" s="2">
        <f>IF(P44&gt;Demand!AW61,0,(IF(((2*(Retailers!AL43+Distributors_Cap!$P$47)-Retailers_Cap!$BB$7)*(Demand!AW61-Retailers_Cap!P44))&lt;0,0,((IF(BD44&gt;2*(Retailers!AL43+Distributors_Cap!$P$47),0,(IF(BI44=0,ROUNDUP((2*(Retailers!AL43+Distributors_Cap!$P$47)-BD44)^0.5,0),ROUNDUP((2*(Retailers!AL43+Distributors_Cap!$P$47)-BD44)^0.5,0)))))))))</f>
        <v/>
      </c>
      <c r="W44" s="64" t="n">
        <v>48</v>
      </c>
      <c r="X44" s="9" t="n">
        <v>10</v>
      </c>
      <c r="Y44" s="9" t="n">
        <v>10</v>
      </c>
      <c r="Z44" s="9" t="n">
        <v>0</v>
      </c>
      <c r="AB44" s="2">
        <f>ROUNDDOWN(LOG((X44+1),2),0)</f>
        <v/>
      </c>
      <c r="AC44" s="2">
        <f>ROUNDDOWN(LOG((Y44+1),2),0)</f>
        <v/>
      </c>
      <c r="AD44" s="2">
        <f>ROUNDDOWN(LOG((Z44+1),2),0)</f>
        <v/>
      </c>
      <c r="AG44" s="64" t="n">
        <v>48</v>
      </c>
      <c r="AH44" s="9" t="n">
        <v>3</v>
      </c>
      <c r="AI44" s="9" t="n">
        <v>3</v>
      </c>
      <c r="AJ44" s="9" t="n">
        <v>0</v>
      </c>
      <c r="AQ44" s="64" t="n">
        <v>48</v>
      </c>
      <c r="AR44" s="64" t="n">
        <v>67.218</v>
      </c>
      <c r="AS44" s="64" t="n">
        <v>52.683</v>
      </c>
      <c r="AT44" s="64" t="n">
        <v>60.908</v>
      </c>
      <c r="AV44" s="64" t="n">
        <v>48</v>
      </c>
      <c r="AW44" s="64">
        <f>Beginning_stock!AT72</f>
        <v/>
      </c>
      <c r="AX44" s="64">
        <f>Beginning_stock!AU72</f>
        <v/>
      </c>
      <c r="AY44" s="64">
        <f>Beginning_stock!AV72</f>
        <v/>
      </c>
      <c r="BA44" s="64" t="n">
        <v>48</v>
      </c>
      <c r="BB44" s="64">
        <f>IF(Demand!AU61=Retailers_Cap!N44,"ret=0",(AW44/(Demand!AU61-Retailers_Cap!N44)))</f>
        <v/>
      </c>
      <c r="BC44" s="64">
        <f>IF(Demand!AV61=Retailers_Cap!O44,"ret=0",(AX44/(Demand!AV61-Retailers_Cap!O44)))</f>
        <v/>
      </c>
      <c r="BD44" s="64">
        <f>IF(Demand!AW61=Retailers_Cap!P44,"ret=0",(AY44/(Demand!AW61-Retailers_Cap!P44)))</f>
        <v/>
      </c>
      <c r="BF44" s="64" t="n">
        <v>48</v>
      </c>
      <c r="BG44" s="2">
        <f>IF(Demand!AU61&lt;=Retailers_Cap!N44,"ret=0",(IF(BB44&lt;=AR44+Distributors_Cap!$P$47,1,0)))</f>
        <v/>
      </c>
      <c r="BH44" s="2">
        <f>IF(Demand!AV61&lt;=Retailers_Cap!O44,"ret=0",(IF(BC44&lt;=AS44+Distributors_Cap!$P$47,1,0)))</f>
        <v/>
      </c>
      <c r="BI44" s="2">
        <f>IF(Demand!AW61&lt;=Retailers_Cap!P44,"ret=0",(IF(BD44&lt;=AT44+Distributors_Cap!$P$47,1,0)))</f>
        <v/>
      </c>
      <c r="BK44" s="64" t="n">
        <v>48</v>
      </c>
      <c r="BL44" s="64">
        <f>Retailers!BH43</f>
        <v/>
      </c>
      <c r="BM44" s="64">
        <f>Retailers!BI43</f>
        <v/>
      </c>
      <c r="BN44" s="64">
        <f>Retailers!BJ43</f>
        <v/>
      </c>
      <c r="BP44" s="64" t="n">
        <v>48</v>
      </c>
      <c r="BQ44" s="64">
        <f>#REF!</f>
        <v/>
      </c>
      <c r="BR44" s="64">
        <f>#REF!</f>
        <v/>
      </c>
      <c r="BS44" s="64">
        <f>#REF!</f>
        <v/>
      </c>
      <c r="BU44" s="64" t="n">
        <v>48</v>
      </c>
      <c r="BV44" s="64">
        <f>Retailers!AS43</f>
        <v/>
      </c>
      <c r="BW44" s="64">
        <f>Retailers!AT43</f>
        <v/>
      </c>
      <c r="BX44" s="64">
        <f>Retailers!AU43</f>
        <v/>
      </c>
      <c r="BZ44" s="64" t="n">
        <v>48</v>
      </c>
      <c r="CA44" s="64">
        <f>Results!#REF!</f>
        <v/>
      </c>
      <c r="CB44" s="64">
        <f>Results!#REF!</f>
        <v/>
      </c>
      <c r="CC44" s="64">
        <f>Results!#REF!</f>
        <v/>
      </c>
      <c r="CE44" s="64" t="n">
        <v>48</v>
      </c>
      <c r="CF44" s="64">
        <f>Retailers!BN43</f>
        <v/>
      </c>
      <c r="CG44" s="64">
        <f>Retailers!BO43</f>
        <v/>
      </c>
      <c r="CH44" s="64">
        <f>Retailers!BP43</f>
        <v/>
      </c>
      <c r="CJ44" s="64" t="n">
        <v>48</v>
      </c>
      <c r="CK44" s="64">
        <f>IF(BB44="ret=0",0,IF(BB44&gt;0,AR44+Distributors_Cap!$P$47-BB44,0))</f>
        <v/>
      </c>
      <c r="CL44" s="64">
        <f>IF(BC44="ret=0",0,IF(BC44&gt;0,AS44+Distributors_Cap!$P$47-BC44,0))</f>
        <v/>
      </c>
      <c r="CM44" s="64">
        <f>IF(BD44="ret=0",0,IF(BD44&gt;0,AT44+Distributors_Cap!$P$47-BD44,0))</f>
        <v/>
      </c>
    </row>
    <row r="45">
      <c r="G45" s="64" t="n">
        <v>49</v>
      </c>
      <c r="H45" s="64" t="n">
        <v>66.607</v>
      </c>
      <c r="I45" s="64" t="n">
        <v>71.277</v>
      </c>
      <c r="J45" s="64" t="n">
        <v>76.54600000000001</v>
      </c>
      <c r="L45" s="64">
        <f>TRUNC((_xlfn.NORM.INV((RAND()),$K$7,$K$8)),0)</f>
        <v/>
      </c>
      <c r="M45" s="64" t="n">
        <v>49</v>
      </c>
      <c r="N45" s="5" t="n">
        <v>24</v>
      </c>
      <c r="O45" s="5" t="n">
        <v>22</v>
      </c>
      <c r="P45" s="5" t="n">
        <v>25</v>
      </c>
      <c r="R45" s="2">
        <f>IF(N45&gt;Demand!AU62,0,(IF(((2*(Retailers!AJ44+Distributors_Cap!$P$47)-Retailers_Cap!$BB$7)*(Demand!AU62-Retailers_Cap!N45))&lt;0,0,((IF(BB45&gt;2*(Retailers!AJ44+Distributors_Cap!$P$47),0,(IF(BG45=0,ROUNDUP((2*(Retailers!AJ44+Distributors_Cap!$P$47)-BB45)^0.5,0),ROUNDUP((2*(Retailers!AJ44+Distributors_Cap!$P$47)-BB45)^0.5,0)))))))))</f>
        <v/>
      </c>
      <c r="S45" s="2">
        <f>IF(O45&gt;Demand!AV62,0,(IF(((2*(Retailers!AK44+Distributors_Cap!$P$47)-Retailers_Cap!$BB$7)*(Demand!AV62-Retailers_Cap!O45))&lt;0,0,((IF(BC45&gt;2*(Retailers!AK44+Distributors_Cap!$P$47),0,(IF(BH45=0,ROUNDUP((2*(Retailers!AK44+Distributors_Cap!$P$47)-BC45)^0.5,0),ROUNDUP((2*(Retailers!AK44+Distributors_Cap!$P$47)-BC45)^0.5,0)))))))))</f>
        <v/>
      </c>
      <c r="T45" s="2">
        <f>IF(P45&gt;Demand!AW62,0,(IF(((2*(Retailers!AL44+Distributors_Cap!$P$47)-Retailers_Cap!$BB$7)*(Demand!AW62-Retailers_Cap!P45))&lt;0,0,((IF(BD45&gt;2*(Retailers!AL44+Distributors_Cap!$P$47),0,(IF(BI45=0,ROUNDUP((2*(Retailers!AL44+Distributors_Cap!$P$47)-BD45)^0.5,0),ROUNDUP((2*(Retailers!AL44+Distributors_Cap!$P$47)-BD45)^0.5,0)))))))))</f>
        <v/>
      </c>
      <c r="W45" s="64" t="n">
        <v>49</v>
      </c>
      <c r="X45" s="9" t="n">
        <v>14</v>
      </c>
      <c r="Y45" s="9" t="n">
        <v>0</v>
      </c>
      <c r="Z45" s="9" t="n">
        <v>11</v>
      </c>
      <c r="AB45" s="2">
        <f>ROUNDDOWN(LOG((X45+1),2),0)</f>
        <v/>
      </c>
      <c r="AC45" s="2">
        <f>ROUNDDOWN(LOG((Y45+1),2),0)</f>
        <v/>
      </c>
      <c r="AD45" s="2">
        <f>ROUNDDOWN(LOG((Z45+1),2),0)</f>
        <v/>
      </c>
      <c r="AG45" s="64" t="n">
        <v>49</v>
      </c>
      <c r="AH45" s="9" t="n">
        <v>3</v>
      </c>
      <c r="AI45" s="9" t="n">
        <v>0</v>
      </c>
      <c r="AJ45" s="9" t="n">
        <v>3</v>
      </c>
      <c r="AQ45" s="64" t="n">
        <v>49</v>
      </c>
      <c r="AR45" s="64" t="n">
        <v>66.607</v>
      </c>
      <c r="AS45" s="64" t="n">
        <v>71.277</v>
      </c>
      <c r="AT45" s="64" t="n">
        <v>76.54600000000001</v>
      </c>
      <c r="AV45" s="64" t="n">
        <v>49</v>
      </c>
      <c r="AW45" s="64">
        <f>Beginning_stock!AT73</f>
        <v/>
      </c>
      <c r="AX45" s="64">
        <f>Beginning_stock!AU73</f>
        <v/>
      </c>
      <c r="AY45" s="64">
        <f>Beginning_stock!AV73</f>
        <v/>
      </c>
      <c r="BA45" s="64" t="n">
        <v>49</v>
      </c>
      <c r="BB45" s="64">
        <f>IF(Demand!AU62=Retailers_Cap!N45,"ret=0",(AW45/(Demand!AU62-Retailers_Cap!N45)))</f>
        <v/>
      </c>
      <c r="BC45" s="64">
        <f>IF(Demand!AV62=Retailers_Cap!O45,"ret=0",(AX45/(Demand!AV62-Retailers_Cap!O45)))</f>
        <v/>
      </c>
      <c r="BD45" s="64">
        <f>IF(Demand!AW62=Retailers_Cap!P45,"ret=0",(AY45/(Demand!AW62-Retailers_Cap!P45)))</f>
        <v/>
      </c>
      <c r="BF45" s="64" t="n">
        <v>49</v>
      </c>
      <c r="BG45" s="2">
        <f>IF(Demand!AU62&lt;=Retailers_Cap!N45,"ret=0",(IF(BB45&lt;=AR45+Distributors_Cap!$P$47,1,0)))</f>
        <v/>
      </c>
      <c r="BH45" s="2">
        <f>IF(Demand!AV62&lt;=Retailers_Cap!O45,"ret=0",(IF(BC45&lt;=AS45+Distributors_Cap!$P$47,1,0)))</f>
        <v/>
      </c>
      <c r="BI45" s="2">
        <f>IF(Demand!AW62&lt;=Retailers_Cap!P45,"ret=0",(IF(BD45&lt;=AT45+Distributors_Cap!$P$47,1,0)))</f>
        <v/>
      </c>
      <c r="BK45" s="64" t="n">
        <v>49</v>
      </c>
      <c r="BL45" s="64">
        <f>Retailers!BH44</f>
        <v/>
      </c>
      <c r="BM45" s="64">
        <f>Retailers!BI44</f>
        <v/>
      </c>
      <c r="BN45" s="64">
        <f>Retailers!BJ44</f>
        <v/>
      </c>
      <c r="BP45" s="64" t="n">
        <v>49</v>
      </c>
      <c r="BQ45" s="64">
        <f>#REF!</f>
        <v/>
      </c>
      <c r="BR45" s="64">
        <f>#REF!</f>
        <v/>
      </c>
      <c r="BS45" s="64">
        <f>#REF!</f>
        <v/>
      </c>
      <c r="BU45" s="64" t="n">
        <v>49</v>
      </c>
      <c r="BV45" s="64">
        <f>Retailers!AS44</f>
        <v/>
      </c>
      <c r="BW45" s="64">
        <f>Retailers!AT44</f>
        <v/>
      </c>
      <c r="BX45" s="64">
        <f>Retailers!AU44</f>
        <v/>
      </c>
      <c r="BZ45" s="64" t="n">
        <v>49</v>
      </c>
      <c r="CA45" s="64">
        <f>Results!#REF!</f>
        <v/>
      </c>
      <c r="CB45" s="64">
        <f>Results!#REF!</f>
        <v/>
      </c>
      <c r="CC45" s="64">
        <f>Results!#REF!</f>
        <v/>
      </c>
      <c r="CE45" s="64" t="n">
        <v>49</v>
      </c>
      <c r="CF45" s="64">
        <f>Retailers!BN44</f>
        <v/>
      </c>
      <c r="CG45" s="64">
        <f>Retailers!BO44</f>
        <v/>
      </c>
      <c r="CH45" s="64">
        <f>Retailers!BP44</f>
        <v/>
      </c>
      <c r="CJ45" s="64" t="n">
        <v>49</v>
      </c>
      <c r="CK45" s="64">
        <f>IF(BB45="ret=0",0,IF(BB45&gt;0,AR45+Distributors_Cap!$P$47-BB45,0))</f>
        <v/>
      </c>
      <c r="CL45" s="64">
        <f>IF(BC45="ret=0",0,IF(BC45&gt;0,AS45+Distributors_Cap!$P$47-BC45,0))</f>
        <v/>
      </c>
      <c r="CM45" s="64">
        <f>IF(BD45="ret=0",0,IF(BD45&gt;0,AT45+Distributors_Cap!$P$47-BD45,0))</f>
        <v/>
      </c>
    </row>
    <row r="46">
      <c r="G46" s="64" t="n">
        <v>50</v>
      </c>
      <c r="H46" s="64" t="n">
        <v>58.9</v>
      </c>
      <c r="I46" s="64" t="n">
        <v>54.101</v>
      </c>
      <c r="J46" s="64" t="n">
        <v>62.384</v>
      </c>
      <c r="L46" s="64">
        <f>TRUNC((_xlfn.NORM.INV((RAND()),$K$7,$K$8)),0)</f>
        <v/>
      </c>
      <c r="M46" s="64" t="n">
        <v>50</v>
      </c>
      <c r="N46" s="5" t="n">
        <v>27</v>
      </c>
      <c r="O46" s="5" t="n">
        <v>20</v>
      </c>
      <c r="P46" s="5" t="n">
        <v>17</v>
      </c>
      <c r="R46" s="2">
        <f>IF(N46&gt;Demand!AU63,0,(IF(((2*(Retailers!AJ45+Distributors_Cap!$P$47)-Retailers_Cap!$BB$7)*(Demand!AU63-Retailers_Cap!N46))&lt;0,0,((IF(BB46&gt;2*(Retailers!AJ45+Distributors_Cap!$P$47),0,(IF(BG46=0,ROUNDUP((2*(Retailers!AJ45+Distributors_Cap!$P$47)-BB46)^0.5,0),ROUNDUP((2*(Retailers!AJ45+Distributors_Cap!$P$47)-BB46)^0.5,0)))))))))</f>
        <v/>
      </c>
      <c r="S46" s="2">
        <f>IF(O46&gt;Demand!AV63,0,(IF(((2*(Retailers!AK45+Distributors_Cap!$P$47)-Retailers_Cap!$BB$7)*(Demand!AV63-Retailers_Cap!O46))&lt;0,0,((IF(BC46&gt;2*(Retailers!AK45+Distributors_Cap!$P$47),0,(IF(BH46=0,ROUNDUP((2*(Retailers!AK45+Distributors_Cap!$P$47)-BC46)^0.5,0),ROUNDUP((2*(Retailers!AK45+Distributors_Cap!$P$47)-BC46)^0.5,0)))))))))</f>
        <v/>
      </c>
      <c r="T46" s="2">
        <f>IF(P46&gt;Demand!AW63,0,(IF(((2*(Retailers!AL45+Distributors_Cap!$P$47)-Retailers_Cap!$BB$7)*(Demand!AW63-Retailers_Cap!P46))&lt;0,0,((IF(BD46&gt;2*(Retailers!AL45+Distributors_Cap!$P$47),0,(IF(BI46=0,ROUNDUP((2*(Retailers!AL45+Distributors_Cap!$P$47)-BD46)^0.5,0),ROUNDUP((2*(Retailers!AL45+Distributors_Cap!$P$47)-BD46)^0.5,0)))))))))</f>
        <v/>
      </c>
      <c r="W46" s="64" t="n">
        <v>50</v>
      </c>
      <c r="X46" s="9" t="n">
        <v>0</v>
      </c>
      <c r="Y46" s="9" t="n">
        <v>0</v>
      </c>
      <c r="Z46" s="9" t="n">
        <v>13</v>
      </c>
      <c r="AB46" s="2">
        <f>ROUNDDOWN(LOG((X46+1),2),0)</f>
        <v/>
      </c>
      <c r="AC46" s="2">
        <f>ROUNDDOWN(LOG((Y46+1),2),0)</f>
        <v/>
      </c>
      <c r="AD46" s="2">
        <f>ROUNDDOWN(LOG((Z46+1),2),0)</f>
        <v/>
      </c>
      <c r="AG46" s="64" t="n">
        <v>50</v>
      </c>
      <c r="AH46" s="9" t="n">
        <v>0</v>
      </c>
      <c r="AI46" s="9" t="n">
        <v>0</v>
      </c>
      <c r="AJ46" s="9" t="n">
        <v>3</v>
      </c>
      <c r="AQ46" s="64" t="n">
        <v>50</v>
      </c>
      <c r="AR46" s="64" t="n">
        <v>58.9</v>
      </c>
      <c r="AS46" s="64" t="n">
        <v>54.101</v>
      </c>
      <c r="AT46" s="64" t="n">
        <v>62.384</v>
      </c>
      <c r="AV46" s="64" t="n">
        <v>50</v>
      </c>
      <c r="AW46" s="64">
        <f>Beginning_stock!AT74</f>
        <v/>
      </c>
      <c r="AX46" s="64">
        <f>Beginning_stock!AU74</f>
        <v/>
      </c>
      <c r="AY46" s="64">
        <f>Beginning_stock!AV74</f>
        <v/>
      </c>
      <c r="BA46" s="64" t="n">
        <v>50</v>
      </c>
      <c r="BB46" s="64">
        <f>IF(Demand!AU63=Retailers_Cap!N46,"ret=0",(AW46/(Demand!AU63-Retailers_Cap!N46)))</f>
        <v/>
      </c>
      <c r="BC46" s="64">
        <f>IF(Demand!AV63=Retailers_Cap!O46,"ret=0",(AX46/(Demand!AV63-Retailers_Cap!O46)))</f>
        <v/>
      </c>
      <c r="BD46" s="64">
        <f>IF(Demand!AW63=Retailers_Cap!P46,"ret=0",(AY46/(Demand!AW63-Retailers_Cap!P46)))</f>
        <v/>
      </c>
      <c r="BF46" s="64" t="n">
        <v>50</v>
      </c>
      <c r="BG46" s="2">
        <f>IF(Demand!AU63&lt;=Retailers_Cap!N46,"ret=0",(IF(BB46&lt;=AR46+Distributors_Cap!$P$47,1,0)))</f>
        <v/>
      </c>
      <c r="BH46" s="2">
        <f>IF(Demand!AV63&lt;=Retailers_Cap!O46,"ret=0",(IF(BC46&lt;=AS46+Distributors_Cap!$P$47,1,0)))</f>
        <v/>
      </c>
      <c r="BI46" s="2">
        <f>IF(Demand!AW63&lt;=Retailers_Cap!P46,"ret=0",(IF(BD46&lt;=AT46+Distributors_Cap!$P$47,1,0)))</f>
        <v/>
      </c>
      <c r="BK46" s="64" t="n">
        <v>50</v>
      </c>
      <c r="BL46" s="64">
        <f>Retailers!BH45</f>
        <v/>
      </c>
      <c r="BM46" s="64">
        <f>Retailers!BI45</f>
        <v/>
      </c>
      <c r="BN46" s="64">
        <f>Retailers!BJ45</f>
        <v/>
      </c>
      <c r="BP46" s="64" t="n">
        <v>50</v>
      </c>
      <c r="BQ46" s="64">
        <f>#REF!</f>
        <v/>
      </c>
      <c r="BR46" s="64">
        <f>#REF!</f>
        <v/>
      </c>
      <c r="BS46" s="64">
        <f>#REF!</f>
        <v/>
      </c>
      <c r="BU46" s="64" t="n">
        <v>50</v>
      </c>
      <c r="BV46" s="64">
        <f>Retailers!AS45</f>
        <v/>
      </c>
      <c r="BW46" s="64">
        <f>Retailers!AT45</f>
        <v/>
      </c>
      <c r="BX46" s="64">
        <f>Retailers!AU45</f>
        <v/>
      </c>
      <c r="BZ46" s="64" t="n">
        <v>50</v>
      </c>
      <c r="CA46" s="64">
        <f>Results!#REF!</f>
        <v/>
      </c>
      <c r="CB46" s="64">
        <f>Results!#REF!</f>
        <v/>
      </c>
      <c r="CC46" s="64">
        <f>Results!#REF!</f>
        <v/>
      </c>
      <c r="CE46" s="64" t="n">
        <v>50</v>
      </c>
      <c r="CF46" s="64">
        <f>Retailers!BN45</f>
        <v/>
      </c>
      <c r="CG46" s="64">
        <f>Retailers!BO45</f>
        <v/>
      </c>
      <c r="CH46" s="64">
        <f>Retailers!BP45</f>
        <v/>
      </c>
      <c r="CJ46" s="64" t="n">
        <v>50</v>
      </c>
      <c r="CK46" s="64">
        <f>IF(BB46="ret=0",0,IF(BB46&gt;0,AR46+Distributors_Cap!$P$47-BB46,0))</f>
        <v/>
      </c>
      <c r="CL46" s="64">
        <f>IF(BC46="ret=0",0,IF(BC46&gt;0,AS46+Distributors_Cap!$P$47-BC46,0))</f>
        <v/>
      </c>
      <c r="CM46" s="64">
        <f>IF(BD46="ret=0",0,IF(BD46&gt;0,AT46+Distributors_Cap!$P$47-BD46,0))</f>
        <v/>
      </c>
    </row>
    <row r="47">
      <c r="G47" s="64" t="n">
        <v>51</v>
      </c>
      <c r="H47" s="64" t="n">
        <v>68.458</v>
      </c>
      <c r="I47" s="64" t="n">
        <v>56.296</v>
      </c>
      <c r="J47" s="64" t="n">
        <v>58.884</v>
      </c>
      <c r="L47" s="64">
        <f>TRUNC((_xlfn.NORM.INV((RAND()),$K$7,$K$8)),0)</f>
        <v/>
      </c>
      <c r="M47" s="64" t="n">
        <v>51</v>
      </c>
      <c r="N47" s="5" t="n">
        <v>43</v>
      </c>
      <c r="O47" s="5" t="n">
        <v>19</v>
      </c>
      <c r="P47" s="5" t="n">
        <v>33</v>
      </c>
      <c r="R47" s="2">
        <f>IF(N47&gt;Demand!AU64,0,(IF(((2*(Retailers!AJ46+Distributors_Cap!$P$47)-Retailers_Cap!$BB$7)*(Demand!AU64-Retailers_Cap!N47))&lt;0,0,((IF(BB47&gt;2*(Retailers!AJ46+Distributors_Cap!$P$47),0,(IF(BG47=0,ROUNDUP((2*(Retailers!AJ46+Distributors_Cap!$P$47)-BB47)^0.5,0),ROUNDUP((2*(Retailers!AJ46+Distributors_Cap!$P$47)-BB47)^0.5,0)))))))))</f>
        <v/>
      </c>
      <c r="S47" s="2">
        <f>IF(O47&gt;Demand!AV64,0,(IF(((2*(Retailers!AK46+Distributors_Cap!$P$47)-Retailers_Cap!$BB$7)*(Demand!AV64-Retailers_Cap!O47))&lt;0,0,((IF(BC47&gt;2*(Retailers!AK46+Distributors_Cap!$P$47),0,(IF(BH47=0,ROUNDUP((2*(Retailers!AK46+Distributors_Cap!$P$47)-BC47)^0.5,0),ROUNDUP((2*(Retailers!AK46+Distributors_Cap!$P$47)-BC47)^0.5,0)))))))))</f>
        <v/>
      </c>
      <c r="T47" s="2">
        <f>IF(P47&gt;Demand!AW64,0,(IF(((2*(Retailers!AL46+Distributors_Cap!$P$47)-Retailers_Cap!$BB$7)*(Demand!AW64-Retailers_Cap!P47))&lt;0,0,((IF(BD47&gt;2*(Retailers!AL46+Distributors_Cap!$P$47),0,(IF(BI47=0,ROUNDUP((2*(Retailers!AL46+Distributors_Cap!$P$47)-BD47)^0.5,0),ROUNDUP((2*(Retailers!AL46+Distributors_Cap!$P$47)-BD47)^0.5,0)))))))))</f>
        <v/>
      </c>
      <c r="W47" s="64" t="n">
        <v>51</v>
      </c>
      <c r="X47" s="9" t="n">
        <v>0</v>
      </c>
      <c r="Y47" s="9" t="n">
        <v>13</v>
      </c>
      <c r="Z47" s="9" t="n">
        <v>0</v>
      </c>
      <c r="AB47" s="2">
        <f>ROUNDDOWN(LOG((X47+1),2),0)</f>
        <v/>
      </c>
      <c r="AC47" s="2">
        <f>ROUNDDOWN(LOG((Y47+1),2),0)</f>
        <v/>
      </c>
      <c r="AD47" s="2">
        <f>ROUNDDOWN(LOG((Z47+1),2),0)</f>
        <v/>
      </c>
      <c r="AG47" s="64" t="n">
        <v>51</v>
      </c>
      <c r="AH47" s="9" t="n">
        <v>0</v>
      </c>
      <c r="AI47" s="9" t="n">
        <v>3</v>
      </c>
      <c r="AJ47" s="9" t="n">
        <v>0</v>
      </c>
      <c r="AQ47" s="64" t="n">
        <v>51</v>
      </c>
      <c r="AR47" s="64" t="n">
        <v>68.458</v>
      </c>
      <c r="AS47" s="64" t="n">
        <v>56.296</v>
      </c>
      <c r="AT47" s="64" t="n">
        <v>58.884</v>
      </c>
      <c r="AV47" s="64" t="n">
        <v>51</v>
      </c>
      <c r="AW47" s="64">
        <f>Beginning_stock!AT75</f>
        <v/>
      </c>
      <c r="AX47" s="64">
        <f>Beginning_stock!AU75</f>
        <v/>
      </c>
      <c r="AY47" s="64">
        <f>Beginning_stock!AV75</f>
        <v/>
      </c>
      <c r="BA47" s="64" t="n">
        <v>51</v>
      </c>
      <c r="BB47" s="64">
        <f>IF(Demand!AU64=Retailers_Cap!N47,"ret=0",(AW47/(Demand!AU64-Retailers_Cap!N47)))</f>
        <v/>
      </c>
      <c r="BC47" s="64">
        <f>IF(Demand!AV64=Retailers_Cap!O47,"ret=0",(AX47/(Demand!AV64-Retailers_Cap!O47)))</f>
        <v/>
      </c>
      <c r="BD47" s="64">
        <f>IF(Demand!AW64=Retailers_Cap!P47,"ret=0",(AY47/(Demand!AW64-Retailers_Cap!P47)))</f>
        <v/>
      </c>
      <c r="BF47" s="64" t="n">
        <v>51</v>
      </c>
      <c r="BG47" s="2">
        <f>IF(Demand!AU64&lt;=Retailers_Cap!N47,"ret=0",(IF(BB47&lt;=AR47+Distributors_Cap!$P$47,1,0)))</f>
        <v/>
      </c>
      <c r="BH47" s="2">
        <f>IF(Demand!AV64&lt;=Retailers_Cap!O47,"ret=0",(IF(BC47&lt;=AS47+Distributors_Cap!$P$47,1,0)))</f>
        <v/>
      </c>
      <c r="BI47" s="2">
        <f>IF(Demand!AW64&lt;=Retailers_Cap!P47,"ret=0",(IF(BD47&lt;=AT47+Distributors_Cap!$P$47,1,0)))</f>
        <v/>
      </c>
      <c r="BK47" s="64" t="n">
        <v>51</v>
      </c>
      <c r="BL47" s="64">
        <f>Retailers!BH46</f>
        <v/>
      </c>
      <c r="BM47" s="64">
        <f>Retailers!BI46</f>
        <v/>
      </c>
      <c r="BN47" s="64">
        <f>Retailers!BJ46</f>
        <v/>
      </c>
      <c r="BP47" s="64" t="n">
        <v>51</v>
      </c>
      <c r="BQ47" s="64">
        <f>#REF!</f>
        <v/>
      </c>
      <c r="BR47" s="64">
        <f>#REF!</f>
        <v/>
      </c>
      <c r="BS47" s="64">
        <f>#REF!</f>
        <v/>
      </c>
      <c r="BU47" s="64" t="n">
        <v>51</v>
      </c>
      <c r="BV47" s="64">
        <f>Retailers!AS46</f>
        <v/>
      </c>
      <c r="BW47" s="64">
        <f>Retailers!AT46</f>
        <v/>
      </c>
      <c r="BX47" s="64">
        <f>Retailers!AU46</f>
        <v/>
      </c>
      <c r="BZ47" s="64" t="n">
        <v>51</v>
      </c>
      <c r="CA47" s="64">
        <f>Results!#REF!</f>
        <v/>
      </c>
      <c r="CB47" s="64">
        <f>Results!#REF!</f>
        <v/>
      </c>
      <c r="CC47" s="64">
        <f>Results!#REF!</f>
        <v/>
      </c>
      <c r="CE47" s="64" t="n">
        <v>51</v>
      </c>
      <c r="CF47" s="64">
        <f>Retailers!BN46</f>
        <v/>
      </c>
      <c r="CG47" s="64">
        <f>Retailers!BO46</f>
        <v/>
      </c>
      <c r="CH47" s="64">
        <f>Retailers!BP46</f>
        <v/>
      </c>
      <c r="CJ47" s="64" t="n">
        <v>51</v>
      </c>
      <c r="CK47" s="64">
        <f>IF(BB47="ret=0",0,IF(BB47&gt;0,AR47+Distributors_Cap!$P$47-BB47,0))</f>
        <v/>
      </c>
      <c r="CL47" s="64">
        <f>IF(BC47="ret=0",0,IF(BC47&gt;0,AS47+Distributors_Cap!$P$47-BC47,0))</f>
        <v/>
      </c>
      <c r="CM47" s="64">
        <f>IF(BD47="ret=0",0,IF(BD47&gt;0,AT47+Distributors_Cap!$P$47-BD47,0))</f>
        <v/>
      </c>
    </row>
    <row r="48">
      <c r="G48" s="64" t="n">
        <v>52</v>
      </c>
      <c r="H48" s="64" t="n">
        <v>55.646</v>
      </c>
      <c r="I48" s="64" t="n">
        <v>74.48699999999999</v>
      </c>
      <c r="J48" s="64" t="n">
        <v>50.951</v>
      </c>
      <c r="L48" s="64">
        <f>TRUNC((_xlfn.NORM.INV((RAND()),$K$7,$K$8)),0)</f>
        <v/>
      </c>
      <c r="M48" s="64" t="n">
        <v>52</v>
      </c>
      <c r="N48" s="5" t="n">
        <v>23</v>
      </c>
      <c r="O48" s="5" t="n">
        <v>24</v>
      </c>
      <c r="P48" s="5" t="n">
        <v>28</v>
      </c>
      <c r="R48" s="2">
        <f>IF(N48&gt;Demand!AU65,0,(IF(((2*(Retailers!AJ47+Distributors_Cap!$P$47)-Retailers_Cap!$BB$7)*(Demand!AU65-Retailers_Cap!N48))&lt;0,0,((IF(BB48&gt;2*(Retailers!AJ47+Distributors_Cap!$P$47),0,(IF(BG48=0,ROUNDUP((2*(Retailers!AJ47+Distributors_Cap!$P$47)-BB48)^0.5,0),ROUNDUP((2*(Retailers!AJ47+Distributors_Cap!$P$47)-BB48)^0.5,0)))))))))</f>
        <v/>
      </c>
      <c r="S48" s="2">
        <f>IF(O48&gt;Demand!AV65,0,(IF(((2*(Retailers!AK47+Distributors_Cap!$P$47)-Retailers_Cap!$BB$7)*(Demand!AV65-Retailers_Cap!O48))&lt;0,0,((IF(BC48&gt;2*(Retailers!AK47+Distributors_Cap!$P$47),0,(IF(BH48=0,ROUNDUP((2*(Retailers!AK47+Distributors_Cap!$P$47)-BC48)^0.5,0),ROUNDUP((2*(Retailers!AK47+Distributors_Cap!$P$47)-BC48)^0.5,0)))))))))</f>
        <v/>
      </c>
      <c r="T48" s="2">
        <f>IF(P48&gt;Demand!AW65,0,(IF(((2*(Retailers!AL47+Distributors_Cap!$P$47)-Retailers_Cap!$BB$7)*(Demand!AW65-Retailers_Cap!P48))&lt;0,0,((IF(BD48&gt;2*(Retailers!AL47+Distributors_Cap!$P$47),0,(IF(BI48=0,ROUNDUP((2*(Retailers!AL47+Distributors_Cap!$P$47)-BD48)^0.5,0),ROUNDUP((2*(Retailers!AL47+Distributors_Cap!$P$47)-BD48)^0.5,0)))))))))</f>
        <v/>
      </c>
      <c r="W48" s="64" t="n">
        <v>52</v>
      </c>
      <c r="X48" s="9" t="n">
        <v>13</v>
      </c>
      <c r="Y48" s="9" t="n">
        <v>13</v>
      </c>
      <c r="Z48" s="9" t="n">
        <v>0</v>
      </c>
      <c r="AB48" s="2">
        <f>ROUNDDOWN(LOG((X48+1),2),0)</f>
        <v/>
      </c>
      <c r="AC48" s="2">
        <f>ROUNDDOWN(LOG((Y48+1),2),0)</f>
        <v/>
      </c>
      <c r="AD48" s="2">
        <f>ROUNDDOWN(LOG((Z48+1),2),0)</f>
        <v/>
      </c>
      <c r="AG48" s="64" t="n">
        <v>52</v>
      </c>
      <c r="AH48" s="9" t="n">
        <v>3</v>
      </c>
      <c r="AI48" s="9" t="n">
        <v>3</v>
      </c>
      <c r="AJ48" s="9" t="n">
        <v>0</v>
      </c>
      <c r="AQ48" s="64" t="n">
        <v>52</v>
      </c>
      <c r="AR48" s="64" t="n">
        <v>55.646</v>
      </c>
      <c r="AS48" s="64" t="n">
        <v>74.48699999999999</v>
      </c>
      <c r="AT48" s="64" t="n">
        <v>50.951</v>
      </c>
      <c r="AV48" s="64" t="n">
        <v>52</v>
      </c>
      <c r="AW48" s="64">
        <f>Beginning_stock!AT76</f>
        <v/>
      </c>
      <c r="AX48" s="64">
        <f>Beginning_stock!AU76</f>
        <v/>
      </c>
      <c r="AY48" s="64">
        <f>Beginning_stock!AV76</f>
        <v/>
      </c>
      <c r="BA48" s="64" t="n">
        <v>52</v>
      </c>
      <c r="BB48" s="64">
        <f>IF(Demand!AU65=Retailers_Cap!N48,"ret=0",(AW48/(Demand!AU65-Retailers_Cap!N48)))</f>
        <v/>
      </c>
      <c r="BC48" s="64">
        <f>IF(Demand!AV65=Retailers_Cap!O48,"ret=0",(AX48/(Demand!AV65-Retailers_Cap!O48)))</f>
        <v/>
      </c>
      <c r="BD48" s="64">
        <f>IF(Demand!AW65=Retailers_Cap!P48,"ret=0",(AY48/(Demand!AW65-Retailers_Cap!P48)))</f>
        <v/>
      </c>
      <c r="BF48" s="64" t="n">
        <v>52</v>
      </c>
      <c r="BG48" s="2">
        <f>IF(Demand!AU65&lt;=Retailers_Cap!N48,"ret=0",(IF(BB48&lt;=AR48+Distributors_Cap!$P$47,1,0)))</f>
        <v/>
      </c>
      <c r="BH48" s="2">
        <f>IF(Demand!AV65&lt;=Retailers_Cap!O48,"ret=0",(IF(BC48&lt;=AS48+Distributors_Cap!$P$47,1,0)))</f>
        <v/>
      </c>
      <c r="BI48" s="2">
        <f>IF(Demand!AW65&lt;=Retailers_Cap!P48,"ret=0",(IF(BD48&lt;=AT48+Distributors_Cap!$P$47,1,0)))</f>
        <v/>
      </c>
      <c r="BK48" s="64" t="n">
        <v>52</v>
      </c>
      <c r="BL48" s="64">
        <f>Retailers!BH47</f>
        <v/>
      </c>
      <c r="BM48" s="64">
        <f>Retailers!BI47</f>
        <v/>
      </c>
      <c r="BN48" s="64">
        <f>Retailers!BJ47</f>
        <v/>
      </c>
      <c r="BP48" s="64" t="n">
        <v>52</v>
      </c>
      <c r="BQ48" s="64">
        <f>#REF!</f>
        <v/>
      </c>
      <c r="BR48" s="64">
        <f>#REF!</f>
        <v/>
      </c>
      <c r="BS48" s="64">
        <f>#REF!</f>
        <v/>
      </c>
      <c r="BU48" s="64" t="n">
        <v>52</v>
      </c>
      <c r="BV48" s="64">
        <f>Retailers!AS47</f>
        <v/>
      </c>
      <c r="BW48" s="64">
        <f>Retailers!AT47</f>
        <v/>
      </c>
      <c r="BX48" s="64">
        <f>Retailers!AU47</f>
        <v/>
      </c>
      <c r="BZ48" s="64" t="n">
        <v>52</v>
      </c>
      <c r="CA48" s="64">
        <f>Results!#REF!</f>
        <v/>
      </c>
      <c r="CB48" s="64">
        <f>Results!#REF!</f>
        <v/>
      </c>
      <c r="CC48" s="64">
        <f>Results!#REF!</f>
        <v/>
      </c>
      <c r="CE48" s="64" t="n">
        <v>52</v>
      </c>
      <c r="CF48" s="64">
        <f>Retailers!BN47</f>
        <v/>
      </c>
      <c r="CG48" s="64">
        <f>Retailers!BO47</f>
        <v/>
      </c>
      <c r="CH48" s="64">
        <f>Retailers!BP47</f>
        <v/>
      </c>
      <c r="CJ48" s="64" t="n">
        <v>52</v>
      </c>
      <c r="CK48" s="64">
        <f>IF(BB48="ret=0",0,IF(BB48&gt;0,AR48+Distributors_Cap!$P$47-BB48,0))</f>
        <v/>
      </c>
      <c r="CL48" s="64">
        <f>IF(BC48="ret=0",0,IF(BC48&gt;0,AS48+Distributors_Cap!$P$47-BC48,0))</f>
        <v/>
      </c>
      <c r="CM48" s="64">
        <f>IF(BD48="ret=0",0,IF(BD48&gt;0,AT48+Distributors_Cap!$P$47-BD48,0))</f>
        <v/>
      </c>
    </row>
    <row r="49">
      <c r="G49" s="64" t="n">
        <v>53</v>
      </c>
      <c r="H49" s="64" t="n">
        <v>71.663</v>
      </c>
      <c r="I49" s="64" t="n">
        <v>58.181</v>
      </c>
      <c r="J49" s="64" t="n">
        <v>44.543</v>
      </c>
      <c r="L49" s="64">
        <f>TRUNC((_xlfn.NORM.INV((RAND()),$K$7,$K$8)),0)</f>
        <v/>
      </c>
      <c r="M49" s="64" t="n">
        <v>53</v>
      </c>
      <c r="N49" s="5" t="n">
        <v>28</v>
      </c>
      <c r="O49" s="5" t="n">
        <v>34</v>
      </c>
      <c r="P49" s="5" t="n">
        <v>33</v>
      </c>
      <c r="R49" s="2">
        <f>IF(N49&gt;Demand!AU66,0,(IF(((2*(Retailers!AJ48+Distributors_Cap!$P$47)-Retailers_Cap!$BB$7)*(Demand!AU66-Retailers_Cap!N49))&lt;0,0,((IF(BB49&gt;2*(Retailers!AJ48+Distributors_Cap!$P$47),0,(IF(BG49=0,ROUNDUP((2*(Retailers!AJ48+Distributors_Cap!$P$47)-BB49)^0.5,0),ROUNDUP((2*(Retailers!AJ48+Distributors_Cap!$P$47)-BB49)^0.5,0)))))))))</f>
        <v/>
      </c>
      <c r="S49" s="2">
        <f>IF(O49&gt;Demand!AV66,0,(IF(((2*(Retailers!AK48+Distributors_Cap!$P$47)-Retailers_Cap!$BB$7)*(Demand!AV66-Retailers_Cap!O49))&lt;0,0,((IF(BC49&gt;2*(Retailers!AK48+Distributors_Cap!$P$47),0,(IF(BH49=0,ROUNDUP((2*(Retailers!AK48+Distributors_Cap!$P$47)-BC49)^0.5,0),ROUNDUP((2*(Retailers!AK48+Distributors_Cap!$P$47)-BC49)^0.5,0)))))))))</f>
        <v/>
      </c>
      <c r="T49" s="2">
        <f>IF(P49&gt;Demand!AW66,0,(IF(((2*(Retailers!AL48+Distributors_Cap!$P$47)-Retailers_Cap!$BB$7)*(Demand!AW66-Retailers_Cap!P49))&lt;0,0,((IF(BD49&gt;2*(Retailers!AL48+Distributors_Cap!$P$47),0,(IF(BI49=0,ROUNDUP((2*(Retailers!AL48+Distributors_Cap!$P$47)-BD49)^0.5,0),ROUNDUP((2*(Retailers!AL48+Distributors_Cap!$P$47)-BD49)^0.5,0)))))))))</f>
        <v/>
      </c>
      <c r="W49" s="64" t="n">
        <v>53</v>
      </c>
      <c r="X49" s="9" t="n">
        <v>0</v>
      </c>
      <c r="Y49" s="9" t="n">
        <v>0</v>
      </c>
      <c r="Z49" s="9" t="n">
        <v>0</v>
      </c>
      <c r="AB49" s="2">
        <f>ROUNDDOWN(LOG((X49+1),2),0)</f>
        <v/>
      </c>
      <c r="AC49" s="2">
        <f>ROUNDDOWN(LOG((Y49+1),2),0)</f>
        <v/>
      </c>
      <c r="AD49" s="2">
        <f>ROUNDDOWN(LOG((Z49+1),2),0)</f>
        <v/>
      </c>
      <c r="AG49" s="64" t="n">
        <v>53</v>
      </c>
      <c r="AH49" s="9" t="n">
        <v>0</v>
      </c>
      <c r="AI49" s="9" t="n">
        <v>0</v>
      </c>
      <c r="AJ49" s="9" t="n">
        <v>0</v>
      </c>
      <c r="AQ49" s="64" t="n">
        <v>53</v>
      </c>
      <c r="AR49" s="64" t="n">
        <v>71.663</v>
      </c>
      <c r="AS49" s="64" t="n">
        <v>58.181</v>
      </c>
      <c r="AT49" s="64" t="n">
        <v>44.543</v>
      </c>
      <c r="AV49" s="64" t="n">
        <v>53</v>
      </c>
      <c r="AW49" s="64">
        <f>Beginning_stock!AT77</f>
        <v/>
      </c>
      <c r="AX49" s="64">
        <f>Beginning_stock!AU77</f>
        <v/>
      </c>
      <c r="AY49" s="64">
        <f>Beginning_stock!AV77</f>
        <v/>
      </c>
      <c r="BA49" s="64" t="n">
        <v>53</v>
      </c>
      <c r="BB49" s="64">
        <f>IF(Demand!AU66=Retailers_Cap!N49,"ret=0",(AW49/(Demand!AU66-Retailers_Cap!N49)))</f>
        <v/>
      </c>
      <c r="BC49" s="64">
        <f>IF(Demand!AV66=Retailers_Cap!O49,"ret=0",(AX49/(Demand!AV66-Retailers_Cap!O49)))</f>
        <v/>
      </c>
      <c r="BD49" s="64">
        <f>IF(Demand!AW66=Retailers_Cap!P49,"ret=0",(AY49/(Demand!AW66-Retailers_Cap!P49)))</f>
        <v/>
      </c>
      <c r="BF49" s="64" t="n">
        <v>53</v>
      </c>
      <c r="BG49" s="2">
        <f>IF(Demand!AU66&lt;=Retailers_Cap!N49,"ret=0",(IF(BB49&lt;=AR49+Distributors_Cap!$P$47,1,0)))</f>
        <v/>
      </c>
      <c r="BH49" s="2">
        <f>IF(Demand!AV66&lt;=Retailers_Cap!O49,"ret=0",(IF(BC49&lt;=AS49+Distributors_Cap!$P$47,1,0)))</f>
        <v/>
      </c>
      <c r="BI49" s="2">
        <f>IF(Demand!AW66&lt;=Retailers_Cap!P49,"ret=0",(IF(BD49&lt;=AT49+Distributors_Cap!$P$47,1,0)))</f>
        <v/>
      </c>
      <c r="BK49" s="64" t="n">
        <v>53</v>
      </c>
      <c r="BL49" s="64">
        <f>Retailers!BH48</f>
        <v/>
      </c>
      <c r="BM49" s="64">
        <f>Retailers!BI48</f>
        <v/>
      </c>
      <c r="BN49" s="64">
        <f>Retailers!BJ48</f>
        <v/>
      </c>
      <c r="BP49" s="64" t="n">
        <v>53</v>
      </c>
      <c r="BQ49" s="64">
        <f>#REF!</f>
        <v/>
      </c>
      <c r="BR49" s="64">
        <f>#REF!</f>
        <v/>
      </c>
      <c r="BS49" s="64">
        <f>#REF!</f>
        <v/>
      </c>
      <c r="BU49" s="64" t="n">
        <v>53</v>
      </c>
      <c r="BV49" s="64">
        <f>Retailers!AS48</f>
        <v/>
      </c>
      <c r="BW49" s="64">
        <f>Retailers!AT48</f>
        <v/>
      </c>
      <c r="BX49" s="64">
        <f>Retailers!AU48</f>
        <v/>
      </c>
      <c r="BZ49" s="64" t="n">
        <v>53</v>
      </c>
      <c r="CA49" s="64">
        <f>Results!#REF!</f>
        <v/>
      </c>
      <c r="CB49" s="64">
        <f>Results!#REF!</f>
        <v/>
      </c>
      <c r="CC49" s="64">
        <f>Results!#REF!</f>
        <v/>
      </c>
      <c r="CE49" s="64" t="n">
        <v>53</v>
      </c>
      <c r="CF49" s="64">
        <f>Retailers!BN48</f>
        <v/>
      </c>
      <c r="CG49" s="64">
        <f>Retailers!BO48</f>
        <v/>
      </c>
      <c r="CH49" s="64">
        <f>Retailers!BP48</f>
        <v/>
      </c>
      <c r="CJ49" s="64" t="n">
        <v>53</v>
      </c>
      <c r="CK49" s="64">
        <f>IF(BB49="ret=0",0,IF(BB49&gt;0,AR49+Distributors_Cap!$P$47-BB49,0))</f>
        <v/>
      </c>
      <c r="CL49" s="64">
        <f>IF(BC49="ret=0",0,IF(BC49&gt;0,AS49+Distributors_Cap!$P$47-BC49,0))</f>
        <v/>
      </c>
      <c r="CM49" s="64">
        <f>IF(BD49="ret=0",0,IF(BD49&gt;0,AT49+Distributors_Cap!$P$47-BD49,0))</f>
        <v/>
      </c>
    </row>
    <row r="50">
      <c r="G50" s="64" t="n">
        <v>54</v>
      </c>
      <c r="H50" s="64" t="n">
        <v>64.634</v>
      </c>
      <c r="I50" s="64" t="n">
        <v>47.679</v>
      </c>
      <c r="J50" s="64" t="n">
        <v>59.555</v>
      </c>
      <c r="L50" s="64">
        <f>TRUNC((_xlfn.NORM.INV((RAND()),$K$7,$K$8)),0)</f>
        <v/>
      </c>
      <c r="M50" s="64" t="n">
        <v>54</v>
      </c>
      <c r="N50" s="5" t="n">
        <v>25</v>
      </c>
      <c r="O50" s="5" t="n">
        <v>33</v>
      </c>
      <c r="P50" s="5" t="n">
        <v>29</v>
      </c>
      <c r="R50" s="2">
        <f>IF(N50&gt;Demand!AU67,0,(IF(((2*(Retailers!AJ49+Distributors_Cap!$P$47)-Retailers_Cap!$BB$7)*(Demand!AU67-Retailers_Cap!N50))&lt;0,0,((IF(BB50&gt;2*(Retailers!AJ49+Distributors_Cap!$P$47),0,(IF(BG50=0,ROUNDUP((2*(Retailers!AJ49+Distributors_Cap!$P$47)-BB50)^0.5,0),ROUNDUP((2*(Retailers!AJ49+Distributors_Cap!$P$47)-BB50)^0.5,0)))))))))</f>
        <v/>
      </c>
      <c r="S50" s="2">
        <f>IF(O50&gt;Demand!AV67,0,(IF(((2*(Retailers!AK49+Distributors_Cap!$P$47)-Retailers_Cap!$BB$7)*(Demand!AV67-Retailers_Cap!O50))&lt;0,0,((IF(BC50&gt;2*(Retailers!AK49+Distributors_Cap!$P$47),0,(IF(BH50=0,ROUNDUP((2*(Retailers!AK49+Distributors_Cap!$P$47)-BC50)^0.5,0),ROUNDUP((2*(Retailers!AK49+Distributors_Cap!$P$47)-BC50)^0.5,0)))))))))</f>
        <v/>
      </c>
      <c r="T50" s="2">
        <f>IF(P50&gt;Demand!AW67,0,(IF(((2*(Retailers!AL49+Distributors_Cap!$P$47)-Retailers_Cap!$BB$7)*(Demand!AW67-Retailers_Cap!P50))&lt;0,0,((IF(BD50&gt;2*(Retailers!AL49+Distributors_Cap!$P$47),0,(IF(BI50=0,ROUNDUP((2*(Retailers!AL49+Distributors_Cap!$P$47)-BD50)^0.5,0),ROUNDUP((2*(Retailers!AL49+Distributors_Cap!$P$47)-BD50)^0.5,0)))))))))</f>
        <v/>
      </c>
      <c r="W50" s="64" t="n">
        <v>54</v>
      </c>
      <c r="X50" s="9" t="n">
        <v>14</v>
      </c>
      <c r="Y50" s="9" t="n">
        <v>0</v>
      </c>
      <c r="Z50" s="9" t="n">
        <v>0</v>
      </c>
      <c r="AB50" s="2">
        <f>ROUNDDOWN(LOG((X50+1),2),0)</f>
        <v/>
      </c>
      <c r="AC50" s="2">
        <f>ROUNDDOWN(LOG((Y50+1),2),0)</f>
        <v/>
      </c>
      <c r="AD50" s="2">
        <f>ROUNDDOWN(LOG((Z50+1),2),0)</f>
        <v/>
      </c>
      <c r="AG50" s="64" t="n">
        <v>54</v>
      </c>
      <c r="AH50" s="9" t="n">
        <v>3</v>
      </c>
      <c r="AI50" s="9" t="n">
        <v>0</v>
      </c>
      <c r="AJ50" s="9" t="n">
        <v>0</v>
      </c>
      <c r="AQ50" s="64" t="n">
        <v>54</v>
      </c>
      <c r="AR50" s="64" t="n">
        <v>64.634</v>
      </c>
      <c r="AS50" s="64" t="n">
        <v>47.679</v>
      </c>
      <c r="AT50" s="64" t="n">
        <v>59.555</v>
      </c>
      <c r="AV50" s="64" t="n">
        <v>54</v>
      </c>
      <c r="AW50" s="64">
        <f>Beginning_stock!AT78</f>
        <v/>
      </c>
      <c r="AX50" s="64">
        <f>Beginning_stock!AU78</f>
        <v/>
      </c>
      <c r="AY50" s="64">
        <f>Beginning_stock!AV78</f>
        <v/>
      </c>
      <c r="BA50" s="64" t="n">
        <v>54</v>
      </c>
      <c r="BB50" s="64">
        <f>IF(Demand!AU67=Retailers_Cap!N50,"ret=0",(AW50/(Demand!AU67-Retailers_Cap!N50)))</f>
        <v/>
      </c>
      <c r="BC50" s="64">
        <f>IF(Demand!AV67=Retailers_Cap!O50,"ret=0",(AX50/(Demand!AV67-Retailers_Cap!O50)))</f>
        <v/>
      </c>
      <c r="BD50" s="64">
        <f>IF(Demand!AW67=Retailers_Cap!P50,"ret=0",(AY50/(Demand!AW67-Retailers_Cap!P50)))</f>
        <v/>
      </c>
      <c r="BF50" s="64" t="n">
        <v>54</v>
      </c>
      <c r="BG50" s="2">
        <f>IF(Demand!AU67&lt;=Retailers_Cap!N50,"ret=0",(IF(BB50&lt;=AR50+Distributors_Cap!$P$47,1,0)))</f>
        <v/>
      </c>
      <c r="BH50" s="2">
        <f>IF(Demand!AV67&lt;=Retailers_Cap!O50,"ret=0",(IF(BC50&lt;=AS50+Distributors_Cap!$P$47,1,0)))</f>
        <v/>
      </c>
      <c r="BI50" s="2">
        <f>IF(Demand!AW67&lt;=Retailers_Cap!P50,"ret=0",(IF(BD50&lt;=AT50+Distributors_Cap!$P$47,1,0)))</f>
        <v/>
      </c>
      <c r="BK50" s="64" t="n">
        <v>54</v>
      </c>
      <c r="BL50" s="64">
        <f>Retailers!BH49</f>
        <v/>
      </c>
      <c r="BM50" s="64">
        <f>Retailers!BI49</f>
        <v/>
      </c>
      <c r="BN50" s="64">
        <f>Retailers!BJ49</f>
        <v/>
      </c>
      <c r="BP50" s="64" t="n">
        <v>54</v>
      </c>
      <c r="BQ50" s="64">
        <f>#REF!</f>
        <v/>
      </c>
      <c r="BR50" s="64">
        <f>#REF!</f>
        <v/>
      </c>
      <c r="BS50" s="64">
        <f>#REF!</f>
        <v/>
      </c>
      <c r="BU50" s="64" t="n">
        <v>54</v>
      </c>
      <c r="BV50" s="64">
        <f>Retailers!AS49</f>
        <v/>
      </c>
      <c r="BW50" s="64">
        <f>Retailers!AT49</f>
        <v/>
      </c>
      <c r="BX50" s="64">
        <f>Retailers!AU49</f>
        <v/>
      </c>
      <c r="BZ50" s="64" t="n">
        <v>54</v>
      </c>
      <c r="CA50" s="64">
        <f>Results!#REF!</f>
        <v/>
      </c>
      <c r="CB50" s="64">
        <f>Results!#REF!</f>
        <v/>
      </c>
      <c r="CC50" s="64">
        <f>Results!#REF!</f>
        <v/>
      </c>
      <c r="CE50" s="64" t="n">
        <v>54</v>
      </c>
      <c r="CF50" s="64">
        <f>Retailers!BN49</f>
        <v/>
      </c>
      <c r="CG50" s="64">
        <f>Retailers!BO49</f>
        <v/>
      </c>
      <c r="CH50" s="64">
        <f>Retailers!BP49</f>
        <v/>
      </c>
      <c r="CJ50" s="64" t="n">
        <v>54</v>
      </c>
      <c r="CK50" s="64">
        <f>IF(BB50="ret=0",0,IF(BB50&gt;0,AR50+Distributors_Cap!$P$47-BB50,0))</f>
        <v/>
      </c>
      <c r="CL50" s="64">
        <f>IF(BC50="ret=0",0,IF(BC50&gt;0,AS50+Distributors_Cap!$P$47-BC50,0))</f>
        <v/>
      </c>
      <c r="CM50" s="64">
        <f>IF(BD50="ret=0",0,IF(BD50&gt;0,AT50+Distributors_Cap!$P$47-BD50,0))</f>
        <v/>
      </c>
    </row>
    <row r="51">
      <c r="G51" s="64" t="n">
        <v>55</v>
      </c>
      <c r="H51" s="64" t="n">
        <v>53.255</v>
      </c>
      <c r="I51" s="64" t="n">
        <v>78.795</v>
      </c>
      <c r="J51" s="64" t="n">
        <v>67.131</v>
      </c>
      <c r="L51" s="64">
        <f>TRUNC((_xlfn.NORM.INV((RAND()),$K$7,$K$8)),0)</f>
        <v/>
      </c>
      <c r="M51" s="64" t="n">
        <v>55</v>
      </c>
      <c r="N51" s="5" t="n">
        <v>24</v>
      </c>
      <c r="O51" s="5" t="n">
        <v>40</v>
      </c>
      <c r="P51" s="5" t="n">
        <v>29</v>
      </c>
      <c r="R51" s="2">
        <f>IF(N51&gt;Demand!AU68,0,(IF(((2*(Retailers!AJ50+Distributors_Cap!$P$47)-Retailers_Cap!$BB$7)*(Demand!AU68-Retailers_Cap!N51))&lt;0,0,((IF(BB51&gt;2*(Retailers!AJ50+Distributors_Cap!$P$47),0,(IF(BG51=0,ROUNDUP((2*(Retailers!AJ50+Distributors_Cap!$P$47)-BB51)^0.5,0),ROUNDUP((2*(Retailers!AJ50+Distributors_Cap!$P$47)-BB51)^0.5,0)))))))))</f>
        <v/>
      </c>
      <c r="S51" s="2">
        <f>IF(O51&gt;Demand!AV68,0,(IF(((2*(Retailers!AK50+Distributors_Cap!$P$47)-Retailers_Cap!$BB$7)*(Demand!AV68-Retailers_Cap!O51))&lt;0,0,((IF(BC51&gt;2*(Retailers!AK50+Distributors_Cap!$P$47),0,(IF(BH51=0,ROUNDUP((2*(Retailers!AK50+Distributors_Cap!$P$47)-BC51)^0.5,0),ROUNDUP((2*(Retailers!AK50+Distributors_Cap!$P$47)-BC51)^0.5,0)))))))))</f>
        <v/>
      </c>
      <c r="T51" s="2">
        <f>IF(P51&gt;Demand!AW68,0,(IF(((2*(Retailers!AL50+Distributors_Cap!$P$47)-Retailers_Cap!$BB$7)*(Demand!AW68-Retailers_Cap!P51))&lt;0,0,((IF(BD51&gt;2*(Retailers!AL50+Distributors_Cap!$P$47),0,(IF(BI51=0,ROUNDUP((2*(Retailers!AL50+Distributors_Cap!$P$47)-BD51)^0.5,0),ROUNDUP((2*(Retailers!AL50+Distributors_Cap!$P$47)-BD51)^0.5,0)))))))))</f>
        <v/>
      </c>
      <c r="W51" s="64" t="n">
        <v>55</v>
      </c>
      <c r="X51" s="9" t="n">
        <v>0</v>
      </c>
      <c r="Y51" s="9" t="n">
        <v>0</v>
      </c>
      <c r="Z51" s="9" t="n">
        <v>0</v>
      </c>
      <c r="AB51" s="2">
        <f>ROUNDDOWN(LOG((X51+1),2),0)</f>
        <v/>
      </c>
      <c r="AC51" s="2">
        <f>ROUNDDOWN(LOG((Y51+1),2),0)</f>
        <v/>
      </c>
      <c r="AD51" s="2">
        <f>ROUNDDOWN(LOG((Z51+1),2),0)</f>
        <v/>
      </c>
      <c r="AG51" s="64" t="n">
        <v>55</v>
      </c>
      <c r="AH51" s="9" t="n">
        <v>0</v>
      </c>
      <c r="AI51" s="9" t="n">
        <v>0</v>
      </c>
      <c r="AJ51" s="9" t="n">
        <v>0</v>
      </c>
      <c r="AQ51" s="64" t="n">
        <v>55</v>
      </c>
      <c r="AR51" s="64" t="n">
        <v>53.255</v>
      </c>
      <c r="AS51" s="64" t="n">
        <v>78.795</v>
      </c>
      <c r="AT51" s="64" t="n">
        <v>67.131</v>
      </c>
      <c r="AV51" s="64" t="n">
        <v>55</v>
      </c>
      <c r="AW51" s="64">
        <f>Beginning_stock!AT79</f>
        <v/>
      </c>
      <c r="AX51" s="64">
        <f>Beginning_stock!AU79</f>
        <v/>
      </c>
      <c r="AY51" s="64">
        <f>Beginning_stock!AV79</f>
        <v/>
      </c>
      <c r="BA51" s="64" t="n">
        <v>55</v>
      </c>
      <c r="BB51" s="64">
        <f>IF(Demand!AU68=Retailers_Cap!N51,"ret=0",(AW51/(Demand!AU68-Retailers_Cap!N51)))</f>
        <v/>
      </c>
      <c r="BC51" s="64">
        <f>IF(Demand!AV68=Retailers_Cap!O51,"ret=0",(AX51/(Demand!AV68-Retailers_Cap!O51)))</f>
        <v/>
      </c>
      <c r="BD51" s="64">
        <f>IF(Demand!AW68=Retailers_Cap!P51,"ret=0",(AY51/(Demand!AW68-Retailers_Cap!P51)))</f>
        <v/>
      </c>
      <c r="BF51" s="64" t="n">
        <v>55</v>
      </c>
      <c r="BG51" s="2">
        <f>IF(Demand!AU68&lt;=Retailers_Cap!N51,"ret=0",(IF(BB51&lt;=AR51+Distributors_Cap!$P$47,1,0)))</f>
        <v/>
      </c>
      <c r="BH51" s="2">
        <f>IF(Demand!AV68&lt;=Retailers_Cap!O51,"ret=0",(IF(BC51&lt;=AS51+Distributors_Cap!$P$47,1,0)))</f>
        <v/>
      </c>
      <c r="BI51" s="2">
        <f>IF(Demand!AW68&lt;=Retailers_Cap!P51,"ret=0",(IF(BD51&lt;=AT51+Distributors_Cap!$P$47,1,0)))</f>
        <v/>
      </c>
      <c r="BK51" s="64" t="n">
        <v>55</v>
      </c>
      <c r="BL51" s="64">
        <f>Retailers!BH50</f>
        <v/>
      </c>
      <c r="BM51" s="64">
        <f>Retailers!BI50</f>
        <v/>
      </c>
      <c r="BN51" s="64">
        <f>Retailers!BJ50</f>
        <v/>
      </c>
      <c r="BP51" s="64" t="n">
        <v>55</v>
      </c>
      <c r="BQ51" s="64">
        <f>#REF!</f>
        <v/>
      </c>
      <c r="BR51" s="64">
        <f>#REF!</f>
        <v/>
      </c>
      <c r="BS51" s="64">
        <f>#REF!</f>
        <v/>
      </c>
      <c r="BU51" s="64" t="n">
        <v>55</v>
      </c>
      <c r="BV51" s="64">
        <f>Retailers!AS50</f>
        <v/>
      </c>
      <c r="BW51" s="64">
        <f>Retailers!AT50</f>
        <v/>
      </c>
      <c r="BX51" s="64">
        <f>Retailers!AU50</f>
        <v/>
      </c>
      <c r="BZ51" s="64" t="n">
        <v>55</v>
      </c>
      <c r="CA51" s="64">
        <f>Results!#REF!</f>
        <v/>
      </c>
      <c r="CB51" s="64">
        <f>Results!#REF!</f>
        <v/>
      </c>
      <c r="CC51" s="64">
        <f>Results!#REF!</f>
        <v/>
      </c>
      <c r="CE51" s="64" t="n">
        <v>55</v>
      </c>
      <c r="CF51" s="64">
        <f>Retailers!BN50</f>
        <v/>
      </c>
      <c r="CG51" s="64">
        <f>Retailers!BO50</f>
        <v/>
      </c>
      <c r="CH51" s="64">
        <f>Retailers!BP50</f>
        <v/>
      </c>
      <c r="CJ51" s="64" t="n">
        <v>55</v>
      </c>
      <c r="CK51" s="64">
        <f>IF(BB51="ret=0",0,IF(BB51&gt;0,AR51+Distributors_Cap!$P$47-BB51,0))</f>
        <v/>
      </c>
      <c r="CL51" s="64">
        <f>IF(BC51="ret=0",0,IF(BC51&gt;0,AS51+Distributors_Cap!$P$47-BC51,0))</f>
        <v/>
      </c>
      <c r="CM51" s="64">
        <f>IF(BD51="ret=0",0,IF(BD51&gt;0,AT51+Distributors_Cap!$P$47-BD51,0))</f>
        <v/>
      </c>
    </row>
    <row r="52">
      <c r="G52" s="64" t="n">
        <v>56</v>
      </c>
      <c r="H52" s="64" t="n">
        <v>53.912</v>
      </c>
      <c r="I52" s="64" t="n">
        <v>70.194</v>
      </c>
      <c r="J52" s="64" t="n">
        <v>59.256</v>
      </c>
      <c r="L52" s="64">
        <f>TRUNC((_xlfn.NORM.INV((RAND()),$K$7,$K$8)),0)</f>
        <v/>
      </c>
      <c r="M52" s="64" t="n">
        <v>56</v>
      </c>
      <c r="N52" s="5" t="n">
        <v>20</v>
      </c>
      <c r="O52" s="5" t="n">
        <v>22</v>
      </c>
      <c r="P52" s="5" t="n">
        <v>25</v>
      </c>
      <c r="R52" s="2">
        <f>IF(N52&gt;Demand!AU69,0,(IF(((2*(Retailers!AJ51+Distributors_Cap!$P$47)-Retailers_Cap!$BB$7)*(Demand!AU69-Retailers_Cap!N52))&lt;0,0,((IF(BB52&gt;2*(Retailers!AJ51+Distributors_Cap!$P$47),0,(IF(BG52=0,ROUNDUP((2*(Retailers!AJ51+Distributors_Cap!$P$47)-BB52)^0.5,0),ROUNDUP((2*(Retailers!AJ51+Distributors_Cap!$P$47)-BB52)^0.5,0)))))))))</f>
        <v/>
      </c>
      <c r="S52" s="2">
        <f>IF(O52&gt;Demand!AV69,0,(IF(((2*(Retailers!AK51+Distributors_Cap!$P$47)-Retailers_Cap!$BB$7)*(Demand!AV69-Retailers_Cap!O52))&lt;0,0,((IF(BC52&gt;2*(Retailers!AK51+Distributors_Cap!$P$47),0,(IF(BH52=0,ROUNDUP((2*(Retailers!AK51+Distributors_Cap!$P$47)-BC52)^0.5,0),ROUNDUP((2*(Retailers!AK51+Distributors_Cap!$P$47)-BC52)^0.5,0)))))))))</f>
        <v/>
      </c>
      <c r="T52" s="2">
        <f>IF(P52&gt;Demand!AW69,0,(IF(((2*(Retailers!AL51+Distributors_Cap!$P$47)-Retailers_Cap!$BB$7)*(Demand!AW69-Retailers_Cap!P52))&lt;0,0,((IF(BD52&gt;2*(Retailers!AL51+Distributors_Cap!$P$47),0,(IF(BI52=0,ROUNDUP((2*(Retailers!AL51+Distributors_Cap!$P$47)-BD52)^0.5,0),ROUNDUP((2*(Retailers!AL51+Distributors_Cap!$P$47)-BD52)^0.5,0)))))))))</f>
        <v/>
      </c>
      <c r="W52" s="64" t="n">
        <v>56</v>
      </c>
      <c r="X52" s="9" t="n">
        <v>0</v>
      </c>
      <c r="Y52" s="9" t="n">
        <v>0</v>
      </c>
      <c r="Z52" s="9" t="n">
        <v>12</v>
      </c>
      <c r="AB52" s="2">
        <f>ROUNDDOWN(LOG((X52+1),2),0)</f>
        <v/>
      </c>
      <c r="AC52" s="2">
        <f>ROUNDDOWN(LOG((Y52+1),2),0)</f>
        <v/>
      </c>
      <c r="AD52" s="2">
        <f>ROUNDDOWN(LOG((Z52+1),2),0)</f>
        <v/>
      </c>
      <c r="AG52" s="64" t="n">
        <v>56</v>
      </c>
      <c r="AH52" s="9" t="n">
        <v>0</v>
      </c>
      <c r="AI52" s="9" t="n">
        <v>0</v>
      </c>
      <c r="AJ52" s="9" t="n">
        <v>3</v>
      </c>
      <c r="AQ52" s="64" t="n">
        <v>56</v>
      </c>
      <c r="AR52" s="64" t="n">
        <v>53.912</v>
      </c>
      <c r="AS52" s="64" t="n">
        <v>70.194</v>
      </c>
      <c r="AT52" s="64" t="n">
        <v>59.256</v>
      </c>
      <c r="AV52" s="64" t="n">
        <v>56</v>
      </c>
      <c r="AW52" s="64">
        <f>Beginning_stock!AT80</f>
        <v/>
      </c>
      <c r="AX52" s="64">
        <f>Beginning_stock!AU80</f>
        <v/>
      </c>
      <c r="AY52" s="64">
        <f>Beginning_stock!AV80</f>
        <v/>
      </c>
      <c r="BA52" s="64" t="n">
        <v>56</v>
      </c>
      <c r="BB52" s="64">
        <f>IF(Demand!AU69=Retailers_Cap!N52,"ret=0",(AW52/(Demand!AU69-Retailers_Cap!N52)))</f>
        <v/>
      </c>
      <c r="BC52" s="64">
        <f>IF(Demand!AV69=Retailers_Cap!O52,"ret=0",(AX52/(Demand!AV69-Retailers_Cap!O52)))</f>
        <v/>
      </c>
      <c r="BD52" s="64">
        <f>IF(Demand!AW69=Retailers_Cap!P52,"ret=0",(AY52/(Demand!AW69-Retailers_Cap!P52)))</f>
        <v/>
      </c>
      <c r="BF52" s="64" t="n">
        <v>56</v>
      </c>
      <c r="BG52" s="2">
        <f>IF(Demand!AU69&lt;=Retailers_Cap!N52,"ret=0",(IF(BB52&lt;=AR52+Distributors_Cap!$P$47,1,0)))</f>
        <v/>
      </c>
      <c r="BH52" s="2">
        <f>IF(Demand!AV69&lt;=Retailers_Cap!O52,"ret=0",(IF(BC52&lt;=AS52+Distributors_Cap!$P$47,1,0)))</f>
        <v/>
      </c>
      <c r="BI52" s="2">
        <f>IF(Demand!AW69&lt;=Retailers_Cap!P52,"ret=0",(IF(BD52&lt;=AT52+Distributors_Cap!$P$47,1,0)))</f>
        <v/>
      </c>
      <c r="BK52" s="64" t="n">
        <v>56</v>
      </c>
      <c r="BL52" s="64">
        <f>Retailers!BH51</f>
        <v/>
      </c>
      <c r="BM52" s="64">
        <f>Retailers!BI51</f>
        <v/>
      </c>
      <c r="BN52" s="64">
        <f>Retailers!BJ51</f>
        <v/>
      </c>
      <c r="BP52" s="64" t="n">
        <v>56</v>
      </c>
      <c r="BQ52" s="64">
        <f>#REF!</f>
        <v/>
      </c>
      <c r="BR52" s="64">
        <f>#REF!</f>
        <v/>
      </c>
      <c r="BS52" s="64">
        <f>#REF!</f>
        <v/>
      </c>
      <c r="BU52" s="64" t="n">
        <v>56</v>
      </c>
      <c r="BV52" s="64">
        <f>Retailers!AS51</f>
        <v/>
      </c>
      <c r="BW52" s="64">
        <f>Retailers!AT51</f>
        <v/>
      </c>
      <c r="BX52" s="64">
        <f>Retailers!AU51</f>
        <v/>
      </c>
      <c r="BZ52" s="64" t="n">
        <v>56</v>
      </c>
      <c r="CA52" s="64">
        <f>Results!#REF!</f>
        <v/>
      </c>
      <c r="CB52" s="64">
        <f>Results!#REF!</f>
        <v/>
      </c>
      <c r="CC52" s="64">
        <f>Results!#REF!</f>
        <v/>
      </c>
      <c r="CE52" s="64" t="n">
        <v>56</v>
      </c>
      <c r="CF52" s="64">
        <f>Retailers!BN51</f>
        <v/>
      </c>
      <c r="CG52" s="64">
        <f>Retailers!BO51</f>
        <v/>
      </c>
      <c r="CH52" s="64">
        <f>Retailers!BP51</f>
        <v/>
      </c>
      <c r="CJ52" s="64" t="n">
        <v>56</v>
      </c>
      <c r="CK52" s="64">
        <f>IF(BB52="ret=0",0,IF(BB52&gt;0,AR52+Distributors_Cap!$P$47-BB52,0))</f>
        <v/>
      </c>
      <c r="CL52" s="64">
        <f>IF(BC52="ret=0",0,IF(BC52&gt;0,AS52+Distributors_Cap!$P$47-BC52,0))</f>
        <v/>
      </c>
      <c r="CM52" s="64">
        <f>IF(BD52="ret=0",0,IF(BD52&gt;0,AT52+Distributors_Cap!$P$47-BD52,0))</f>
        <v/>
      </c>
    </row>
    <row r="53">
      <c r="G53" s="64" t="n">
        <v>57</v>
      </c>
      <c r="H53" s="64" t="n">
        <v>61.562</v>
      </c>
      <c r="I53" s="64" t="n">
        <v>70.205</v>
      </c>
      <c r="J53" s="64" t="n">
        <v>52.015</v>
      </c>
      <c r="L53" s="64">
        <f>TRUNC((_xlfn.NORM.INV((RAND()),$K$7,$K$8)),0)</f>
        <v/>
      </c>
      <c r="M53" s="64" t="n">
        <v>57</v>
      </c>
      <c r="N53" s="5" t="n">
        <v>25</v>
      </c>
      <c r="O53" s="5" t="n">
        <v>13</v>
      </c>
      <c r="P53" s="5" t="n">
        <v>23</v>
      </c>
      <c r="R53" s="2">
        <f>IF(N53&gt;Demand!AU70,0,(IF(((2*(Retailers!AJ52+Distributors_Cap!$P$47)-Retailers_Cap!$BB$7)*(Demand!AU70-Retailers_Cap!N53))&lt;0,0,((IF(BB53&gt;2*(Retailers!AJ52+Distributors_Cap!$P$47),0,(IF(BG53=0,ROUNDUP((2*(Retailers!AJ52+Distributors_Cap!$P$47)-BB53)^0.5,0),ROUNDUP((2*(Retailers!AJ52+Distributors_Cap!$P$47)-BB53)^0.5,0)))))))))</f>
        <v/>
      </c>
      <c r="S53" s="2">
        <f>IF(O53&gt;Demand!AV70,0,(IF(((2*(Retailers!AK52+Distributors_Cap!$P$47)-Retailers_Cap!$BB$7)*(Demand!AV70-Retailers_Cap!O53))&lt;0,0,((IF(BC53&gt;2*(Retailers!AK52+Distributors_Cap!$P$47),0,(IF(BH53=0,ROUNDUP((2*(Retailers!AK52+Distributors_Cap!$P$47)-BC53)^0.5,0),ROUNDUP((2*(Retailers!AK52+Distributors_Cap!$P$47)-BC53)^0.5,0)))))))))</f>
        <v/>
      </c>
      <c r="T53" s="2">
        <f>IF(P53&gt;Demand!AW70,0,(IF(((2*(Retailers!AL52+Distributors_Cap!$P$47)-Retailers_Cap!$BB$7)*(Demand!AW70-Retailers_Cap!P53))&lt;0,0,((IF(BD53&gt;2*(Retailers!AL52+Distributors_Cap!$P$47),0,(IF(BI53=0,ROUNDUP((2*(Retailers!AL52+Distributors_Cap!$P$47)-BD53)^0.5,0),ROUNDUP((2*(Retailers!AL52+Distributors_Cap!$P$47)-BD53)^0.5,0)))))))))</f>
        <v/>
      </c>
      <c r="W53" s="64" t="n">
        <v>57</v>
      </c>
      <c r="X53" s="9" t="n">
        <v>10</v>
      </c>
      <c r="Y53" s="9" t="n">
        <v>14</v>
      </c>
      <c r="Z53" s="9" t="n">
        <v>7</v>
      </c>
      <c r="AB53" s="2">
        <f>ROUNDDOWN(LOG((X53+1),2),0)</f>
        <v/>
      </c>
      <c r="AC53" s="2">
        <f>ROUNDDOWN(LOG((Y53+1),2),0)</f>
        <v/>
      </c>
      <c r="AD53" s="2">
        <f>ROUNDDOWN(LOG((Z53+1),2),0)</f>
        <v/>
      </c>
      <c r="AG53" s="64" t="n">
        <v>57</v>
      </c>
      <c r="AH53" s="9" t="n">
        <v>3</v>
      </c>
      <c r="AI53" s="9" t="n">
        <v>3</v>
      </c>
      <c r="AJ53" s="9" t="n">
        <v>3</v>
      </c>
      <c r="AQ53" s="64" t="n">
        <v>57</v>
      </c>
      <c r="AR53" s="64" t="n">
        <v>61.562</v>
      </c>
      <c r="AS53" s="64" t="n">
        <v>70.205</v>
      </c>
      <c r="AT53" s="64" t="n">
        <v>52.015</v>
      </c>
      <c r="AV53" s="64" t="n">
        <v>57</v>
      </c>
      <c r="AW53" s="64">
        <f>Beginning_stock!AT81</f>
        <v/>
      </c>
      <c r="AX53" s="64">
        <f>Beginning_stock!AU81</f>
        <v/>
      </c>
      <c r="AY53" s="64">
        <f>Beginning_stock!AV81</f>
        <v/>
      </c>
      <c r="BA53" s="64" t="n">
        <v>57</v>
      </c>
      <c r="BB53" s="64">
        <f>IF(Demand!AU70=Retailers_Cap!N53,"ret=0",(AW53/(Demand!AU70-Retailers_Cap!N53)))</f>
        <v/>
      </c>
      <c r="BC53" s="64">
        <f>IF(Demand!AV70=Retailers_Cap!O53,"ret=0",(AX53/(Demand!AV70-Retailers_Cap!O53)))</f>
        <v/>
      </c>
      <c r="BD53" s="64">
        <f>IF(Demand!AW70=Retailers_Cap!P53,"ret=0",(AY53/(Demand!AW70-Retailers_Cap!P53)))</f>
        <v/>
      </c>
      <c r="BF53" s="64" t="n">
        <v>57</v>
      </c>
      <c r="BG53" s="2">
        <f>IF(Demand!AU70&lt;=Retailers_Cap!N53,"ret=0",(IF(BB53&lt;=AR53+Distributors_Cap!$P$47,1,0)))</f>
        <v/>
      </c>
      <c r="BH53" s="2">
        <f>IF(Demand!AV70&lt;=Retailers_Cap!O53,"ret=0",(IF(BC53&lt;=AS53+Distributors_Cap!$P$47,1,0)))</f>
        <v/>
      </c>
      <c r="BI53" s="2">
        <f>IF(Demand!AW70&lt;=Retailers_Cap!P53,"ret=0",(IF(BD53&lt;=AT53+Distributors_Cap!$P$47,1,0)))</f>
        <v/>
      </c>
      <c r="BK53" s="64" t="n">
        <v>57</v>
      </c>
      <c r="BL53" s="64">
        <f>Retailers!BH52</f>
        <v/>
      </c>
      <c r="BM53" s="64">
        <f>Retailers!BI52</f>
        <v/>
      </c>
      <c r="BN53" s="64">
        <f>Retailers!BJ52</f>
        <v/>
      </c>
      <c r="BP53" s="64" t="n">
        <v>57</v>
      </c>
      <c r="BQ53" s="64">
        <f>#REF!</f>
        <v/>
      </c>
      <c r="BR53" s="64">
        <f>#REF!</f>
        <v/>
      </c>
      <c r="BS53" s="64">
        <f>#REF!</f>
        <v/>
      </c>
      <c r="BU53" s="64" t="n">
        <v>57</v>
      </c>
      <c r="BV53" s="64">
        <f>Retailers!AS52</f>
        <v/>
      </c>
      <c r="BW53" s="64">
        <f>Retailers!AT52</f>
        <v/>
      </c>
      <c r="BX53" s="64">
        <f>Retailers!AU52</f>
        <v/>
      </c>
      <c r="BZ53" s="64" t="n">
        <v>57</v>
      </c>
      <c r="CA53" s="64">
        <f>Results!#REF!</f>
        <v/>
      </c>
      <c r="CB53" s="64">
        <f>Results!#REF!</f>
        <v/>
      </c>
      <c r="CC53" s="64">
        <f>Results!#REF!</f>
        <v/>
      </c>
      <c r="CE53" s="64" t="n">
        <v>57</v>
      </c>
      <c r="CF53" s="64">
        <f>Retailers!BN52</f>
        <v/>
      </c>
      <c r="CG53" s="64">
        <f>Retailers!BO52</f>
        <v/>
      </c>
      <c r="CH53" s="64">
        <f>Retailers!BP52</f>
        <v/>
      </c>
      <c r="CJ53" s="64" t="n">
        <v>57</v>
      </c>
      <c r="CK53" s="64">
        <f>IF(BB53="ret=0",0,IF(BB53&gt;0,AR53+Distributors_Cap!$P$47-BB53,0))</f>
        <v/>
      </c>
      <c r="CL53" s="64">
        <f>IF(BC53="ret=0",0,IF(BC53&gt;0,AS53+Distributors_Cap!$P$47-BC53,0))</f>
        <v/>
      </c>
      <c r="CM53" s="64">
        <f>IF(BD53="ret=0",0,IF(BD53&gt;0,AT53+Distributors_Cap!$P$47-BD53,0))</f>
        <v/>
      </c>
    </row>
    <row r="54">
      <c r="G54" s="64" t="n">
        <v>58</v>
      </c>
      <c r="H54" s="64" t="n">
        <v>48.395</v>
      </c>
      <c r="I54" s="64" t="n">
        <v>66.886</v>
      </c>
      <c r="J54" s="64" t="n">
        <v>47.992</v>
      </c>
      <c r="L54" s="64">
        <f>TRUNC((_xlfn.NORM.INV((RAND()),$K$7,$K$8)),0)</f>
        <v/>
      </c>
      <c r="M54" s="64" t="n">
        <v>58</v>
      </c>
      <c r="N54" s="5" t="n">
        <v>17</v>
      </c>
      <c r="O54" s="5" t="n">
        <v>18</v>
      </c>
      <c r="P54" s="5" t="n">
        <v>23</v>
      </c>
      <c r="R54" s="2">
        <f>IF(N54&gt;Demand!AU71,0,(IF(((2*(Retailers!AJ53+Distributors_Cap!$P$47)-Retailers_Cap!$BB$7)*(Demand!AU71-Retailers_Cap!N54))&lt;0,0,((IF(BB54&gt;2*(Retailers!AJ53+Distributors_Cap!$P$47),0,(IF(BG54=0,ROUNDUP((2*(Retailers!AJ53+Distributors_Cap!$P$47)-BB54)^0.5,0),ROUNDUP((2*(Retailers!AJ53+Distributors_Cap!$P$47)-BB54)^0.5,0)))))))))</f>
        <v/>
      </c>
      <c r="S54" s="2">
        <f>IF(O54&gt;Demand!AV71,0,(IF(((2*(Retailers!AK53+Distributors_Cap!$P$47)-Retailers_Cap!$BB$7)*(Demand!AV71-Retailers_Cap!O54))&lt;0,0,((IF(BC54&gt;2*(Retailers!AK53+Distributors_Cap!$P$47),0,(IF(BH54=0,ROUNDUP((2*(Retailers!AK53+Distributors_Cap!$P$47)-BC54)^0.5,0),ROUNDUP((2*(Retailers!AK53+Distributors_Cap!$P$47)-BC54)^0.5,0)))))))))</f>
        <v/>
      </c>
      <c r="T54" s="2">
        <f>IF(P54&gt;Demand!AW71,0,(IF(((2*(Retailers!AL53+Distributors_Cap!$P$47)-Retailers_Cap!$BB$7)*(Demand!AW71-Retailers_Cap!P54))&lt;0,0,((IF(BD54&gt;2*(Retailers!AL53+Distributors_Cap!$P$47),0,(IF(BI54=0,ROUNDUP((2*(Retailers!AL53+Distributors_Cap!$P$47)-BD54)^0.5,0),ROUNDUP((2*(Retailers!AL53+Distributors_Cap!$P$47)-BD54)^0.5,0)))))))))</f>
        <v/>
      </c>
      <c r="W54" s="64" t="n">
        <v>58</v>
      </c>
      <c r="X54" s="9" t="n">
        <v>0</v>
      </c>
      <c r="Y54" s="9" t="n">
        <v>12</v>
      </c>
      <c r="Z54" s="9" t="n">
        <v>12</v>
      </c>
      <c r="AB54" s="2">
        <f>ROUNDDOWN(LOG((X54+1),2),0)</f>
        <v/>
      </c>
      <c r="AC54" s="2">
        <f>ROUNDDOWN(LOG((Y54+1),2),0)</f>
        <v/>
      </c>
      <c r="AD54" s="2">
        <f>ROUNDDOWN(LOG((Z54+1),2),0)</f>
        <v/>
      </c>
      <c r="AG54" s="64" t="n">
        <v>58</v>
      </c>
      <c r="AH54" s="9" t="n">
        <v>0</v>
      </c>
      <c r="AI54" s="9" t="n">
        <v>3</v>
      </c>
      <c r="AJ54" s="9" t="n">
        <v>3</v>
      </c>
      <c r="AQ54" s="64" t="n">
        <v>58</v>
      </c>
      <c r="AR54" s="64" t="n">
        <v>48.395</v>
      </c>
      <c r="AS54" s="64" t="n">
        <v>66.886</v>
      </c>
      <c r="AT54" s="64" t="n">
        <v>47.992</v>
      </c>
      <c r="AV54" s="64" t="n">
        <v>58</v>
      </c>
      <c r="AW54" s="64">
        <f>Beginning_stock!AT82</f>
        <v/>
      </c>
      <c r="AX54" s="64">
        <f>Beginning_stock!AU82</f>
        <v/>
      </c>
      <c r="AY54" s="64">
        <f>Beginning_stock!AV82</f>
        <v/>
      </c>
      <c r="BA54" s="64" t="n">
        <v>58</v>
      </c>
      <c r="BB54" s="64">
        <f>IF(Demand!AU71=Retailers_Cap!N54,"ret=0",(AW54/(Demand!AU71-Retailers_Cap!N54)))</f>
        <v/>
      </c>
      <c r="BC54" s="64">
        <f>IF(Demand!AV71=Retailers_Cap!O54,"ret=0",(AX54/(Demand!AV71-Retailers_Cap!O54)))</f>
        <v/>
      </c>
      <c r="BD54" s="64">
        <f>IF(Demand!AW71=Retailers_Cap!P54,"ret=0",(AY54/(Demand!AW71-Retailers_Cap!P54)))</f>
        <v/>
      </c>
      <c r="BF54" s="64" t="n">
        <v>58</v>
      </c>
      <c r="BG54" s="2">
        <f>IF(Demand!AU71&lt;=Retailers_Cap!N54,"ret=0",(IF(BB54&lt;=AR54+Distributors_Cap!$P$47,1,0)))</f>
        <v/>
      </c>
      <c r="BH54" s="2">
        <f>IF(Demand!AV71&lt;=Retailers_Cap!O54,"ret=0",(IF(BC54&lt;=AS54+Distributors_Cap!$P$47,1,0)))</f>
        <v/>
      </c>
      <c r="BI54" s="2">
        <f>IF(Demand!AW71&lt;=Retailers_Cap!P54,"ret=0",(IF(BD54&lt;=AT54+Distributors_Cap!$P$47,1,0)))</f>
        <v/>
      </c>
      <c r="BK54" s="64" t="n">
        <v>58</v>
      </c>
      <c r="BL54" s="64">
        <f>Retailers!BH53</f>
        <v/>
      </c>
      <c r="BM54" s="64">
        <f>Retailers!BI53</f>
        <v/>
      </c>
      <c r="BN54" s="64">
        <f>Retailers!BJ53</f>
        <v/>
      </c>
      <c r="BP54" s="64" t="n">
        <v>58</v>
      </c>
      <c r="BQ54" s="64">
        <f>#REF!</f>
        <v/>
      </c>
      <c r="BR54" s="64">
        <f>#REF!</f>
        <v/>
      </c>
      <c r="BS54" s="64">
        <f>#REF!</f>
        <v/>
      </c>
      <c r="BU54" s="64" t="n">
        <v>58</v>
      </c>
      <c r="BV54" s="64">
        <f>Retailers!AS53</f>
        <v/>
      </c>
      <c r="BW54" s="64">
        <f>Retailers!AT53</f>
        <v/>
      </c>
      <c r="BX54" s="64">
        <f>Retailers!AU53</f>
        <v/>
      </c>
      <c r="BZ54" s="64" t="n">
        <v>58</v>
      </c>
      <c r="CA54" s="64">
        <f>Results!#REF!</f>
        <v/>
      </c>
      <c r="CB54" s="64">
        <f>Results!#REF!</f>
        <v/>
      </c>
      <c r="CC54" s="64">
        <f>Results!#REF!</f>
        <v/>
      </c>
      <c r="CE54" s="64" t="n">
        <v>58</v>
      </c>
      <c r="CF54" s="64">
        <f>Retailers!BN53</f>
        <v/>
      </c>
      <c r="CG54" s="64">
        <f>Retailers!BO53</f>
        <v/>
      </c>
      <c r="CH54" s="64">
        <f>Retailers!BP53</f>
        <v/>
      </c>
      <c r="CJ54" s="64" t="n">
        <v>58</v>
      </c>
      <c r="CK54" s="64">
        <f>IF(BB54="ret=0",0,IF(BB54&gt;0,AR54+Distributors_Cap!$P$47-BB54,0))</f>
        <v/>
      </c>
      <c r="CL54" s="64">
        <f>IF(BC54="ret=0",0,IF(BC54&gt;0,AS54+Distributors_Cap!$P$47-BC54,0))</f>
        <v/>
      </c>
      <c r="CM54" s="64">
        <f>IF(BD54="ret=0",0,IF(BD54&gt;0,AT54+Distributors_Cap!$P$47-BD54,0))</f>
        <v/>
      </c>
    </row>
    <row r="55">
      <c r="G55" s="64" t="n">
        <v>59</v>
      </c>
      <c r="H55" s="64" t="n">
        <v>61.747</v>
      </c>
      <c r="I55" s="64" t="n">
        <v>51.345</v>
      </c>
      <c r="J55" s="64" t="n">
        <v>59.566</v>
      </c>
      <c r="L55" s="64">
        <f>TRUNC((_xlfn.NORM.INV((RAND()),$K$7,$K$8)),0)</f>
        <v/>
      </c>
      <c r="M55" s="64" t="n">
        <v>59</v>
      </c>
      <c r="N55" s="5" t="n">
        <v>25</v>
      </c>
      <c r="O55" s="5" t="n">
        <v>22</v>
      </c>
      <c r="P55" s="5" t="n">
        <v>29</v>
      </c>
      <c r="R55" s="2">
        <f>IF(N55&gt;Demand!AU72,0,(IF(((2*(Retailers!AJ54+Distributors_Cap!$P$47)-Retailers_Cap!$BB$7)*(Demand!AU72-Retailers_Cap!N55))&lt;0,0,((IF(BB55&gt;2*(Retailers!AJ54+Distributors_Cap!$P$47),0,(IF(BG55=0,ROUNDUP((2*(Retailers!AJ54+Distributors_Cap!$P$47)-BB55)^0.5,0),ROUNDUP((2*(Retailers!AJ54+Distributors_Cap!$P$47)-BB55)^0.5,0)))))))))</f>
        <v/>
      </c>
      <c r="S55" s="2">
        <f>IF(O55&gt;Demand!AV72,0,(IF(((2*(Retailers!AK54+Distributors_Cap!$P$47)-Retailers_Cap!$BB$7)*(Demand!AV72-Retailers_Cap!O55))&lt;0,0,((IF(BC55&gt;2*(Retailers!AK54+Distributors_Cap!$P$47),0,(IF(BH55=0,ROUNDUP((2*(Retailers!AK54+Distributors_Cap!$P$47)-BC55)^0.5,0),ROUNDUP((2*(Retailers!AK54+Distributors_Cap!$P$47)-BC55)^0.5,0)))))))))</f>
        <v/>
      </c>
      <c r="T55" s="2">
        <f>IF(P55&gt;Demand!AW72,0,(IF(((2*(Retailers!AL54+Distributors_Cap!$P$47)-Retailers_Cap!$BB$7)*(Demand!AW72-Retailers_Cap!P55))&lt;0,0,((IF(BD55&gt;2*(Retailers!AL54+Distributors_Cap!$P$47),0,(IF(BI55=0,ROUNDUP((2*(Retailers!AL54+Distributors_Cap!$P$47)-BD55)^0.5,0),ROUNDUP((2*(Retailers!AL54+Distributors_Cap!$P$47)-BD55)^0.5,0)))))))))</f>
        <v/>
      </c>
      <c r="W55" s="64" t="n">
        <v>59</v>
      </c>
      <c r="X55" s="9" t="n">
        <v>0</v>
      </c>
      <c r="Y55" s="9" t="n">
        <v>0</v>
      </c>
      <c r="Z55" s="9" t="n">
        <v>0</v>
      </c>
      <c r="AB55" s="2">
        <f>ROUNDDOWN(LOG((X55+1),2),0)</f>
        <v/>
      </c>
      <c r="AC55" s="2">
        <f>ROUNDDOWN(LOG((Y55+1),2),0)</f>
        <v/>
      </c>
      <c r="AD55" s="2">
        <f>ROUNDDOWN(LOG((Z55+1),2),0)</f>
        <v/>
      </c>
      <c r="AG55" s="64" t="n">
        <v>59</v>
      </c>
      <c r="AH55" s="9" t="n">
        <v>0</v>
      </c>
      <c r="AI55" s="9" t="n">
        <v>0</v>
      </c>
      <c r="AJ55" s="9" t="n">
        <v>0</v>
      </c>
      <c r="AQ55" s="64" t="n">
        <v>59</v>
      </c>
      <c r="AR55" s="64" t="n">
        <v>61.747</v>
      </c>
      <c r="AS55" s="64" t="n">
        <v>51.345</v>
      </c>
      <c r="AT55" s="64" t="n">
        <v>59.566</v>
      </c>
      <c r="AV55" s="64" t="n">
        <v>59</v>
      </c>
      <c r="AW55" s="64">
        <f>Beginning_stock!AT83</f>
        <v/>
      </c>
      <c r="AX55" s="64">
        <f>Beginning_stock!AU83</f>
        <v/>
      </c>
      <c r="AY55" s="64">
        <f>Beginning_stock!AV83</f>
        <v/>
      </c>
      <c r="BA55" s="64" t="n">
        <v>59</v>
      </c>
      <c r="BB55" s="64">
        <f>IF(Demand!AU72=Retailers_Cap!N55,"ret=0",(AW55/(Demand!AU72-Retailers_Cap!N55)))</f>
        <v/>
      </c>
      <c r="BC55" s="64">
        <f>IF(Demand!AV72=Retailers_Cap!O55,"ret=0",(AX55/(Demand!AV72-Retailers_Cap!O55)))</f>
        <v/>
      </c>
      <c r="BD55" s="64">
        <f>IF(Demand!AW72=Retailers_Cap!P55,"ret=0",(AY55/(Demand!AW72-Retailers_Cap!P55)))</f>
        <v/>
      </c>
      <c r="BF55" s="64" t="n">
        <v>59</v>
      </c>
      <c r="BG55" s="2">
        <f>IF(Demand!AU72&lt;=Retailers_Cap!N55,"ret=0",(IF(BB55&lt;=AR55+Distributors_Cap!$P$47,1,0)))</f>
        <v/>
      </c>
      <c r="BH55" s="2">
        <f>IF(Demand!AV72&lt;=Retailers_Cap!O55,"ret=0",(IF(BC55&lt;=AS55+Distributors_Cap!$P$47,1,0)))</f>
        <v/>
      </c>
      <c r="BI55" s="2">
        <f>IF(Demand!AW72&lt;=Retailers_Cap!P55,"ret=0",(IF(BD55&lt;=AT55+Distributors_Cap!$P$47,1,0)))</f>
        <v/>
      </c>
      <c r="BK55" s="64" t="n">
        <v>59</v>
      </c>
      <c r="BL55" s="64">
        <f>Retailers!BH54</f>
        <v/>
      </c>
      <c r="BM55" s="64">
        <f>Retailers!BI54</f>
        <v/>
      </c>
      <c r="BN55" s="64">
        <f>Retailers!BJ54</f>
        <v/>
      </c>
      <c r="BP55" s="64" t="n">
        <v>59</v>
      </c>
      <c r="BQ55" s="64">
        <f>#REF!</f>
        <v/>
      </c>
      <c r="BR55" s="64">
        <f>#REF!</f>
        <v/>
      </c>
      <c r="BS55" s="64">
        <f>#REF!</f>
        <v/>
      </c>
      <c r="BU55" s="64" t="n">
        <v>59</v>
      </c>
      <c r="BV55" s="64">
        <f>Retailers!AS54</f>
        <v/>
      </c>
      <c r="BW55" s="64">
        <f>Retailers!AT54</f>
        <v/>
      </c>
      <c r="BX55" s="64">
        <f>Retailers!AU54</f>
        <v/>
      </c>
      <c r="BZ55" s="64" t="n">
        <v>59</v>
      </c>
      <c r="CA55" s="64">
        <f>Results!#REF!</f>
        <v/>
      </c>
      <c r="CB55" s="64">
        <f>Results!#REF!</f>
        <v/>
      </c>
      <c r="CC55" s="64">
        <f>Results!#REF!</f>
        <v/>
      </c>
      <c r="CE55" s="64" t="n">
        <v>59</v>
      </c>
      <c r="CF55" s="64">
        <f>Retailers!BN54</f>
        <v/>
      </c>
      <c r="CG55" s="64">
        <f>Retailers!BO54</f>
        <v/>
      </c>
      <c r="CH55" s="64">
        <f>Retailers!BP54</f>
        <v/>
      </c>
      <c r="CJ55" s="64" t="n">
        <v>59</v>
      </c>
      <c r="CK55" s="64">
        <f>IF(BB55="ret=0",0,IF(BB55&gt;0,AR55+Distributors_Cap!$P$47-BB55,0))</f>
        <v/>
      </c>
      <c r="CL55" s="64">
        <f>IF(BC55="ret=0",0,IF(BC55&gt;0,AS55+Distributors_Cap!$P$47-BC55,0))</f>
        <v/>
      </c>
      <c r="CM55" s="64">
        <f>IF(BD55="ret=0",0,IF(BD55&gt;0,AT55+Distributors_Cap!$P$47-BD55,0))</f>
        <v/>
      </c>
    </row>
    <row r="56">
      <c r="G56" s="64" t="n">
        <v>60</v>
      </c>
      <c r="H56" s="64" t="n">
        <v>62.542</v>
      </c>
      <c r="I56" s="64" t="n">
        <v>26.582</v>
      </c>
      <c r="J56" s="64" t="n">
        <v>46.146</v>
      </c>
      <c r="L56" s="64">
        <f>TRUNC((_xlfn.NORM.INV((RAND()),$K$7,$K$8)),0)</f>
        <v/>
      </c>
      <c r="M56" s="64" t="n">
        <v>60</v>
      </c>
      <c r="N56" s="5" t="n">
        <v>29</v>
      </c>
      <c r="O56" s="5" t="n">
        <v>35</v>
      </c>
      <c r="P56" s="5" t="n">
        <v>38</v>
      </c>
      <c r="R56" s="2">
        <f>IF(N56&gt;Demand!AU73,0,(IF(((2*(Retailers!AJ55+Distributors_Cap!$P$47)-Retailers_Cap!$BB$7)*(Demand!AU73-Retailers_Cap!N56))&lt;0,0,((IF(BB56&gt;2*(Retailers!AJ55+Distributors_Cap!$P$47),0,(IF(BG56=0,ROUNDUP((2*(Retailers!AJ55+Distributors_Cap!$P$47)-BB56)^0.5,0),ROUNDUP((2*(Retailers!AJ55+Distributors_Cap!$P$47)-BB56)^0.5,0)))))))))</f>
        <v/>
      </c>
      <c r="S56" s="2">
        <f>IF(O56&gt;Demand!AV73,0,(IF(((2*(Retailers!AK55+Distributors_Cap!$P$47)-Retailers_Cap!$BB$7)*(Demand!AV73-Retailers_Cap!O56))&lt;0,0,((IF(BC56&gt;2*(Retailers!AK55+Distributors_Cap!$P$47),0,(IF(BH56=0,ROUNDUP((2*(Retailers!AK55+Distributors_Cap!$P$47)-BC56)^0.5,0),ROUNDUP((2*(Retailers!AK55+Distributors_Cap!$P$47)-BC56)^0.5,0)))))))))</f>
        <v/>
      </c>
      <c r="T56" s="2">
        <f>IF(P56&gt;Demand!AW73,0,(IF(((2*(Retailers!AL55+Distributors_Cap!$P$47)-Retailers_Cap!$BB$7)*(Demand!AW73-Retailers_Cap!P56))&lt;0,0,((IF(BD56&gt;2*(Retailers!AL55+Distributors_Cap!$P$47),0,(IF(BI56=0,ROUNDUP((2*(Retailers!AL55+Distributors_Cap!$P$47)-BD56)^0.5,0),ROUNDUP((2*(Retailers!AL55+Distributors_Cap!$P$47)-BD56)^0.5,0)))))))))</f>
        <v/>
      </c>
      <c r="W56" s="64" t="n">
        <v>60</v>
      </c>
      <c r="X56" s="9" t="n">
        <v>0</v>
      </c>
      <c r="Y56" s="9" t="n">
        <v>0</v>
      </c>
      <c r="Z56" s="9" t="n">
        <v>0</v>
      </c>
      <c r="AB56" s="2">
        <f>ROUNDDOWN(LOG((X56+1),2),0)</f>
        <v/>
      </c>
      <c r="AC56" s="2">
        <f>ROUNDDOWN(LOG((Y56+1),2),0)</f>
        <v/>
      </c>
      <c r="AD56" s="2">
        <f>ROUNDDOWN(LOG((Z56+1),2),0)</f>
        <v/>
      </c>
      <c r="AG56" s="64" t="n">
        <v>60</v>
      </c>
      <c r="AH56" s="9" t="n">
        <v>0</v>
      </c>
      <c r="AI56" s="9" t="n">
        <v>0</v>
      </c>
      <c r="AJ56" s="9" t="n">
        <v>0</v>
      </c>
      <c r="AQ56" s="64" t="n">
        <v>60</v>
      </c>
      <c r="AR56" s="64" t="n">
        <v>62.542</v>
      </c>
      <c r="AS56" s="64" t="n">
        <v>26.582</v>
      </c>
      <c r="AT56" s="64" t="n">
        <v>46.146</v>
      </c>
      <c r="AV56" s="64" t="n">
        <v>60</v>
      </c>
      <c r="AW56" s="64">
        <f>Beginning_stock!AT84</f>
        <v/>
      </c>
      <c r="AX56" s="64">
        <f>Beginning_stock!AU84</f>
        <v/>
      </c>
      <c r="AY56" s="64">
        <f>Beginning_stock!AV84</f>
        <v/>
      </c>
      <c r="BA56" s="64" t="n">
        <v>60</v>
      </c>
      <c r="BB56" s="64">
        <f>IF(Demand!AU73=Retailers_Cap!N56,"ret=0",(AW56/(Demand!AU73-Retailers_Cap!N56)))</f>
        <v/>
      </c>
      <c r="BC56" s="64">
        <f>IF(Demand!AV73=Retailers_Cap!O56,"ret=0",(AX56/(Demand!AV73-Retailers_Cap!O56)))</f>
        <v/>
      </c>
      <c r="BD56" s="64">
        <f>IF(Demand!AW73=Retailers_Cap!P56,"ret=0",(AY56/(Demand!AW73-Retailers_Cap!P56)))</f>
        <v/>
      </c>
      <c r="BF56" s="64" t="n">
        <v>60</v>
      </c>
      <c r="BG56" s="2">
        <f>IF(Demand!AU73&lt;=Retailers_Cap!N56,"ret=0",(IF(BB56&lt;=AR56+Distributors_Cap!$P$47,1,0)))</f>
        <v/>
      </c>
      <c r="BH56" s="2">
        <f>IF(Demand!AV73&lt;=Retailers_Cap!O56,"ret=0",(IF(BC56&lt;=AS56+Distributors_Cap!$P$47,1,0)))</f>
        <v/>
      </c>
      <c r="BI56" s="2">
        <f>IF(Demand!AW73&lt;=Retailers_Cap!P56,"ret=0",(IF(BD56&lt;=AT56+Distributors_Cap!$P$47,1,0)))</f>
        <v/>
      </c>
      <c r="BK56" s="64" t="n">
        <v>60</v>
      </c>
      <c r="BL56" s="64">
        <f>Retailers!BH55</f>
        <v/>
      </c>
      <c r="BM56" s="64">
        <f>Retailers!BI55</f>
        <v/>
      </c>
      <c r="BN56" s="64">
        <f>Retailers!BJ55</f>
        <v/>
      </c>
      <c r="BP56" s="64" t="n">
        <v>60</v>
      </c>
      <c r="BQ56" s="64">
        <f>#REF!</f>
        <v/>
      </c>
      <c r="BR56" s="64">
        <f>#REF!</f>
        <v/>
      </c>
      <c r="BS56" s="64">
        <f>#REF!</f>
        <v/>
      </c>
      <c r="BU56" s="64" t="n">
        <v>60</v>
      </c>
      <c r="BV56" s="64">
        <f>Retailers!AS55</f>
        <v/>
      </c>
      <c r="BW56" s="64">
        <f>Retailers!AT55</f>
        <v/>
      </c>
      <c r="BX56" s="64">
        <f>Retailers!AU55</f>
        <v/>
      </c>
      <c r="BZ56" s="64" t="n">
        <v>60</v>
      </c>
      <c r="CA56" s="64">
        <f>Results!#REF!</f>
        <v/>
      </c>
      <c r="CB56" s="64">
        <f>Results!#REF!</f>
        <v/>
      </c>
      <c r="CC56" s="64">
        <f>Results!#REF!</f>
        <v/>
      </c>
      <c r="CE56" s="64" t="n">
        <v>60</v>
      </c>
      <c r="CF56" s="64">
        <f>Retailers!BN55</f>
        <v/>
      </c>
      <c r="CG56" s="64">
        <f>Retailers!BO55</f>
        <v/>
      </c>
      <c r="CH56" s="64">
        <f>Retailers!BP55</f>
        <v/>
      </c>
      <c r="CJ56" s="64" t="n">
        <v>60</v>
      </c>
      <c r="CK56" s="64">
        <f>IF(BB56="ret=0",0,IF(BB56&gt;0,AR56+Distributors_Cap!$P$47-BB56,0))</f>
        <v/>
      </c>
      <c r="CL56" s="64">
        <f>IF(BC56="ret=0",0,IF(BC56&gt;0,AS56+Distributors_Cap!$P$47-BC56,0))</f>
        <v/>
      </c>
      <c r="CM56" s="64">
        <f>IF(BD56="ret=0",0,IF(BD56&gt;0,AT56+Distributors_Cap!$P$47-BD56,0))</f>
        <v/>
      </c>
    </row>
    <row r="57">
      <c r="G57" s="64" t="n">
        <v>61</v>
      </c>
      <c r="H57" s="64" t="n">
        <v>74.661</v>
      </c>
      <c r="I57" s="64" t="n">
        <v>87.357</v>
      </c>
      <c r="J57" s="64" t="n">
        <v>59.856</v>
      </c>
      <c r="L57" s="64">
        <f>TRUNC((_xlfn.NORM.INV((RAND()),$K$7,$K$8)),0)</f>
        <v/>
      </c>
      <c r="M57" s="64" t="n">
        <v>61</v>
      </c>
      <c r="N57" s="5" t="n">
        <v>29</v>
      </c>
      <c r="O57" s="5" t="n">
        <v>23</v>
      </c>
      <c r="P57" s="5" t="n">
        <v>21</v>
      </c>
      <c r="R57" s="2">
        <f>IF(N57&gt;Demand!AU74,0,(IF(((2*(Retailers!AJ56+Distributors_Cap!$P$47)-Retailers_Cap!$BB$7)*(Demand!AU74-Retailers_Cap!N57))&lt;0,0,((IF(BB57&gt;2*(Retailers!AJ56+Distributors_Cap!$P$47),0,(IF(BG57=0,ROUNDUP((2*(Retailers!AJ56+Distributors_Cap!$P$47)-BB57)^0.5,0),ROUNDUP((2*(Retailers!AJ56+Distributors_Cap!$P$47)-BB57)^0.5,0)))))))))</f>
        <v/>
      </c>
      <c r="S57" s="2">
        <f>IF(O57&gt;Demand!AV74,0,(IF(((2*(Retailers!AK56+Distributors_Cap!$P$47)-Retailers_Cap!$BB$7)*(Demand!AV74-Retailers_Cap!O57))&lt;0,0,((IF(BC57&gt;2*(Retailers!AK56+Distributors_Cap!$P$47),0,(IF(BH57=0,ROUNDUP((2*(Retailers!AK56+Distributors_Cap!$P$47)-BC57)^0.5,0),ROUNDUP((2*(Retailers!AK56+Distributors_Cap!$P$47)-BC57)^0.5,0)))))))))</f>
        <v/>
      </c>
      <c r="T57" s="2">
        <f>IF(P57&gt;Demand!AW74,0,(IF(((2*(Retailers!AL56+Distributors_Cap!$P$47)-Retailers_Cap!$BB$7)*(Demand!AW74-Retailers_Cap!P57))&lt;0,0,((IF(BD57&gt;2*(Retailers!AL56+Distributors_Cap!$P$47),0,(IF(BI57=0,ROUNDUP((2*(Retailers!AL56+Distributors_Cap!$P$47)-BD57)^0.5,0),ROUNDUP((2*(Retailers!AL56+Distributors_Cap!$P$47)-BD57)^0.5,0)))))))))</f>
        <v/>
      </c>
      <c r="W57" s="64" t="n">
        <v>61</v>
      </c>
      <c r="X57" s="9" t="n">
        <v>11</v>
      </c>
      <c r="Y57" s="9" t="n">
        <v>13</v>
      </c>
      <c r="Z57" s="9" t="n">
        <v>13</v>
      </c>
      <c r="AB57" s="2">
        <f>ROUNDDOWN(LOG((X57+1),2),0)</f>
        <v/>
      </c>
      <c r="AC57" s="2">
        <f>ROUNDDOWN(LOG((Y57+1),2),0)</f>
        <v/>
      </c>
      <c r="AD57" s="2">
        <f>ROUNDDOWN(LOG((Z57+1),2),0)</f>
        <v/>
      </c>
      <c r="AG57" s="64" t="n">
        <v>61</v>
      </c>
      <c r="AH57" s="9" t="n">
        <v>3</v>
      </c>
      <c r="AI57" s="9" t="n">
        <v>3</v>
      </c>
      <c r="AJ57" s="9" t="n">
        <v>3</v>
      </c>
      <c r="AQ57" s="64" t="n">
        <v>61</v>
      </c>
      <c r="AR57" s="64" t="n">
        <v>74.661</v>
      </c>
      <c r="AS57" s="64" t="n">
        <v>87.357</v>
      </c>
      <c r="AT57" s="64" t="n">
        <v>59.856</v>
      </c>
      <c r="AV57" s="64" t="n">
        <v>61</v>
      </c>
      <c r="AW57" s="64">
        <f>Beginning_stock!AT85</f>
        <v/>
      </c>
      <c r="AX57" s="64">
        <f>Beginning_stock!AU85</f>
        <v/>
      </c>
      <c r="AY57" s="64">
        <f>Beginning_stock!AV85</f>
        <v/>
      </c>
      <c r="BA57" s="64" t="n">
        <v>61</v>
      </c>
      <c r="BB57" s="64">
        <f>IF(Demand!AU74=Retailers_Cap!N57,"ret=0",(AW57/(Demand!AU74-Retailers_Cap!N57)))</f>
        <v/>
      </c>
      <c r="BC57" s="64">
        <f>IF(Demand!AV74=Retailers_Cap!O57,"ret=0",(AX57/(Demand!AV74-Retailers_Cap!O57)))</f>
        <v/>
      </c>
      <c r="BD57" s="64">
        <f>IF(Demand!AW74=Retailers_Cap!P57,"ret=0",(AY57/(Demand!AW74-Retailers_Cap!P57)))</f>
        <v/>
      </c>
      <c r="BF57" s="64" t="n">
        <v>61</v>
      </c>
      <c r="BG57" s="2">
        <f>IF(Demand!AU74&lt;=Retailers_Cap!N57,"ret=0",(IF(BB57&lt;=AR57+Distributors_Cap!$P$47,1,0)))</f>
        <v/>
      </c>
      <c r="BH57" s="2">
        <f>IF(Demand!AV74&lt;=Retailers_Cap!O57,"ret=0",(IF(BC57&lt;=AS57+Distributors_Cap!$P$47,1,0)))</f>
        <v/>
      </c>
      <c r="BI57" s="2">
        <f>IF(Demand!AW74&lt;=Retailers_Cap!P57,"ret=0",(IF(BD57&lt;=AT57+Distributors_Cap!$P$47,1,0)))</f>
        <v/>
      </c>
      <c r="BK57" s="64" t="n">
        <v>61</v>
      </c>
      <c r="BL57" s="64">
        <f>Retailers!BH56</f>
        <v/>
      </c>
      <c r="BM57" s="64">
        <f>Retailers!BI56</f>
        <v/>
      </c>
      <c r="BN57" s="64">
        <f>Retailers!BJ56</f>
        <v/>
      </c>
      <c r="BP57" s="64" t="n">
        <v>61</v>
      </c>
      <c r="BQ57" s="64">
        <f>#REF!</f>
        <v/>
      </c>
      <c r="BR57" s="64">
        <f>#REF!</f>
        <v/>
      </c>
      <c r="BS57" s="64">
        <f>#REF!</f>
        <v/>
      </c>
      <c r="BU57" s="64" t="n">
        <v>61</v>
      </c>
      <c r="BV57" s="64">
        <f>Retailers!AS56</f>
        <v/>
      </c>
      <c r="BW57" s="64">
        <f>Retailers!AT56</f>
        <v/>
      </c>
      <c r="BX57" s="64">
        <f>Retailers!AU56</f>
        <v/>
      </c>
      <c r="BZ57" s="64" t="n">
        <v>61</v>
      </c>
      <c r="CA57" s="64">
        <f>Results!#REF!</f>
        <v/>
      </c>
      <c r="CB57" s="64">
        <f>Results!#REF!</f>
        <v/>
      </c>
      <c r="CC57" s="64">
        <f>Results!#REF!</f>
        <v/>
      </c>
      <c r="CE57" s="64" t="n">
        <v>61</v>
      </c>
      <c r="CF57" s="64">
        <f>Retailers!BN56</f>
        <v/>
      </c>
      <c r="CG57" s="64">
        <f>Retailers!BO56</f>
        <v/>
      </c>
      <c r="CH57" s="64">
        <f>Retailers!BP56</f>
        <v/>
      </c>
      <c r="CJ57" s="64" t="n">
        <v>61</v>
      </c>
      <c r="CK57" s="64">
        <f>IF(BB57="ret=0",0,IF(BB57&gt;0,AR57+Distributors_Cap!$P$47-BB57,0))</f>
        <v/>
      </c>
      <c r="CL57" s="64">
        <f>IF(BC57="ret=0",0,IF(BC57&gt;0,AS57+Distributors_Cap!$P$47-BC57,0))</f>
        <v/>
      </c>
      <c r="CM57" s="64">
        <f>IF(BD57="ret=0",0,IF(BD57&gt;0,AT57+Distributors_Cap!$P$47-BD57,0))</f>
        <v/>
      </c>
    </row>
    <row r="58">
      <c r="G58" s="64" t="n">
        <v>62</v>
      </c>
      <c r="H58" s="64" t="n">
        <v>65.672</v>
      </c>
      <c r="I58" s="64" t="n">
        <v>61.337</v>
      </c>
      <c r="J58" s="64" t="n">
        <v>64.488</v>
      </c>
      <c r="L58" s="64">
        <f>TRUNC((_xlfn.NORM.INV((RAND()),$K$7,$K$8)),0)</f>
        <v/>
      </c>
      <c r="M58" s="64" t="n">
        <v>62</v>
      </c>
      <c r="N58" s="5" t="n">
        <v>30</v>
      </c>
      <c r="O58" s="5" t="n">
        <v>35</v>
      </c>
      <c r="P58" s="5" t="n">
        <v>34</v>
      </c>
      <c r="R58" s="2">
        <f>IF(N58&gt;Demand!AU75,0,(IF(((2*(Retailers!AJ57+Distributors_Cap!$P$47)-Retailers_Cap!$BB$7)*(Demand!AU75-Retailers_Cap!N58))&lt;0,0,((IF(BB58&gt;2*(Retailers!AJ57+Distributors_Cap!$P$47),0,(IF(BG58=0,ROUNDUP((2*(Retailers!AJ57+Distributors_Cap!$P$47)-BB58)^0.5,0),ROUNDUP((2*(Retailers!AJ57+Distributors_Cap!$P$47)-BB58)^0.5,0)))))))))</f>
        <v/>
      </c>
      <c r="S58" s="2">
        <f>IF(O58&gt;Demand!AV75,0,(IF(((2*(Retailers!AK57+Distributors_Cap!$P$47)-Retailers_Cap!$BB$7)*(Demand!AV75-Retailers_Cap!O58))&lt;0,0,((IF(BC58&gt;2*(Retailers!AK57+Distributors_Cap!$P$47),0,(IF(BH58=0,ROUNDUP((2*(Retailers!AK57+Distributors_Cap!$P$47)-BC58)^0.5,0),ROUNDUP((2*(Retailers!AK57+Distributors_Cap!$P$47)-BC58)^0.5,0)))))))))</f>
        <v/>
      </c>
      <c r="T58" s="2">
        <f>IF(P58&gt;Demand!AW75,0,(IF(((2*(Retailers!AL57+Distributors_Cap!$P$47)-Retailers_Cap!$BB$7)*(Demand!AW75-Retailers_Cap!P58))&lt;0,0,((IF(BD58&gt;2*(Retailers!AL57+Distributors_Cap!$P$47),0,(IF(BI58=0,ROUNDUP((2*(Retailers!AL57+Distributors_Cap!$P$47)-BD58)^0.5,0),ROUNDUP((2*(Retailers!AL57+Distributors_Cap!$P$47)-BD58)^0.5,0)))))))))</f>
        <v/>
      </c>
      <c r="W58" s="64" t="n">
        <v>62</v>
      </c>
      <c r="X58" s="9" t="n">
        <v>0</v>
      </c>
      <c r="Y58" s="9" t="n">
        <v>0</v>
      </c>
      <c r="Z58" s="9" t="n">
        <v>0</v>
      </c>
      <c r="AB58" s="2">
        <f>ROUNDDOWN(LOG((X58+1),2),0)</f>
        <v/>
      </c>
      <c r="AC58" s="2">
        <f>ROUNDDOWN(LOG((Y58+1),2),0)</f>
        <v/>
      </c>
      <c r="AD58" s="2">
        <f>ROUNDDOWN(LOG((Z58+1),2),0)</f>
        <v/>
      </c>
      <c r="AG58" s="64" t="n">
        <v>62</v>
      </c>
      <c r="AH58" s="9" t="n">
        <v>0</v>
      </c>
      <c r="AI58" s="9" t="n">
        <v>0</v>
      </c>
      <c r="AJ58" s="9" t="n">
        <v>0</v>
      </c>
      <c r="AQ58" s="64" t="n">
        <v>62</v>
      </c>
      <c r="AR58" s="64" t="n">
        <v>65.672</v>
      </c>
      <c r="AS58" s="64" t="n">
        <v>61.337</v>
      </c>
      <c r="AT58" s="64" t="n">
        <v>64.488</v>
      </c>
      <c r="AV58" s="64" t="n">
        <v>62</v>
      </c>
      <c r="AW58" s="64">
        <f>Beginning_stock!AT86</f>
        <v/>
      </c>
      <c r="AX58" s="64">
        <f>Beginning_stock!AU86</f>
        <v/>
      </c>
      <c r="AY58" s="64">
        <f>Beginning_stock!AV86</f>
        <v/>
      </c>
      <c r="BA58" s="64" t="n">
        <v>62</v>
      </c>
      <c r="BB58" s="64">
        <f>IF(Demand!AU75=Retailers_Cap!N58,"ret=0",(AW58/(Demand!AU75-Retailers_Cap!N58)))</f>
        <v/>
      </c>
      <c r="BC58" s="64">
        <f>IF(Demand!AV75=Retailers_Cap!O58,"ret=0",(AX58/(Demand!AV75-Retailers_Cap!O58)))</f>
        <v/>
      </c>
      <c r="BD58" s="64">
        <f>IF(Demand!AW75=Retailers_Cap!P58,"ret=0",(AY58/(Demand!AW75-Retailers_Cap!P58)))</f>
        <v/>
      </c>
      <c r="BF58" s="64" t="n">
        <v>62</v>
      </c>
      <c r="BG58" s="2">
        <f>IF(Demand!AU75&lt;=Retailers_Cap!N58,"ret=0",(IF(BB58&lt;=AR58+Distributors_Cap!$P$47,1,0)))</f>
        <v/>
      </c>
      <c r="BH58" s="2">
        <f>IF(Demand!AV75&lt;=Retailers_Cap!O58,"ret=0",(IF(BC58&lt;=AS58+Distributors_Cap!$P$47,1,0)))</f>
        <v/>
      </c>
      <c r="BI58" s="2">
        <f>IF(Demand!AW75&lt;=Retailers_Cap!P58,"ret=0",(IF(BD58&lt;=AT58+Distributors_Cap!$P$47,1,0)))</f>
        <v/>
      </c>
      <c r="BK58" s="64" t="n">
        <v>62</v>
      </c>
      <c r="BL58" s="64">
        <f>Retailers!BH57</f>
        <v/>
      </c>
      <c r="BM58" s="64">
        <f>Retailers!BI57</f>
        <v/>
      </c>
      <c r="BN58" s="64">
        <f>Retailers!BJ57</f>
        <v/>
      </c>
      <c r="BP58" s="64" t="n">
        <v>62</v>
      </c>
      <c r="BQ58" s="64">
        <f>#REF!</f>
        <v/>
      </c>
      <c r="BR58" s="64">
        <f>#REF!</f>
        <v/>
      </c>
      <c r="BS58" s="64">
        <f>#REF!</f>
        <v/>
      </c>
      <c r="BU58" s="64" t="n">
        <v>62</v>
      </c>
      <c r="BV58" s="64">
        <f>Retailers!AS57</f>
        <v/>
      </c>
      <c r="BW58" s="64">
        <f>Retailers!AT57</f>
        <v/>
      </c>
      <c r="BX58" s="64">
        <f>Retailers!AU57</f>
        <v/>
      </c>
      <c r="BZ58" s="64" t="n">
        <v>62</v>
      </c>
      <c r="CA58" s="64">
        <f>Results!#REF!</f>
        <v/>
      </c>
      <c r="CB58" s="64">
        <f>Results!#REF!</f>
        <v/>
      </c>
      <c r="CC58" s="64">
        <f>Results!#REF!</f>
        <v/>
      </c>
      <c r="CE58" s="64" t="n">
        <v>62</v>
      </c>
      <c r="CF58" s="64">
        <f>Retailers!BN57</f>
        <v/>
      </c>
      <c r="CG58" s="64">
        <f>Retailers!BO57</f>
        <v/>
      </c>
      <c r="CH58" s="64">
        <f>Retailers!BP57</f>
        <v/>
      </c>
      <c r="CJ58" s="64" t="n">
        <v>62</v>
      </c>
      <c r="CK58" s="64">
        <f>IF(BB58="ret=0",0,IF(BB58&gt;0,AR58+Distributors_Cap!$P$47-BB58,0))</f>
        <v/>
      </c>
      <c r="CL58" s="64">
        <f>IF(BC58="ret=0",0,IF(BC58&gt;0,AS58+Distributors_Cap!$P$47-BC58,0))</f>
        <v/>
      </c>
      <c r="CM58" s="64">
        <f>IF(BD58="ret=0",0,IF(BD58&gt;0,AT58+Distributors_Cap!$P$47-BD58,0))</f>
        <v/>
      </c>
    </row>
    <row r="59">
      <c r="G59" s="64" t="n">
        <v>63</v>
      </c>
      <c r="H59" s="64" t="n">
        <v>62.047</v>
      </c>
      <c r="I59" s="64" t="n">
        <v>83.80800000000001</v>
      </c>
      <c r="J59" s="64" t="n">
        <v>61.121</v>
      </c>
      <c r="L59" s="64">
        <f>TRUNC((_xlfn.NORM.INV((RAND()),$K$7,$K$8)),0)</f>
        <v/>
      </c>
      <c r="M59" s="64" t="n">
        <v>63</v>
      </c>
      <c r="N59" s="5" t="n">
        <v>27</v>
      </c>
      <c r="O59" s="5" t="n">
        <v>34</v>
      </c>
      <c r="P59" s="5" t="n">
        <v>39</v>
      </c>
      <c r="R59" s="2">
        <f>IF(N59&gt;Demand!AU76,0,(IF(((2*(Retailers!AJ58+Distributors_Cap!$P$47)-Retailers_Cap!$BB$7)*(Demand!AU76-Retailers_Cap!N59))&lt;0,0,((IF(BB59&gt;2*(Retailers!AJ58+Distributors_Cap!$P$47),0,(IF(BG59=0,ROUNDUP((2*(Retailers!AJ58+Distributors_Cap!$P$47)-BB59)^0.5,0),ROUNDUP((2*(Retailers!AJ58+Distributors_Cap!$P$47)-BB59)^0.5,0)))))))))</f>
        <v/>
      </c>
      <c r="S59" s="2">
        <f>IF(O59&gt;Demand!AV76,0,(IF(((2*(Retailers!AK58+Distributors_Cap!$P$47)-Retailers_Cap!$BB$7)*(Demand!AV76-Retailers_Cap!O59))&lt;0,0,((IF(BC59&gt;2*(Retailers!AK58+Distributors_Cap!$P$47),0,(IF(BH59=0,ROUNDUP((2*(Retailers!AK58+Distributors_Cap!$P$47)-BC59)^0.5,0),ROUNDUP((2*(Retailers!AK58+Distributors_Cap!$P$47)-BC59)^0.5,0)))))))))</f>
        <v/>
      </c>
      <c r="T59" s="2">
        <f>IF(P59&gt;Demand!AW76,0,(IF(((2*(Retailers!AL58+Distributors_Cap!$P$47)-Retailers_Cap!$BB$7)*(Demand!AW76-Retailers_Cap!P59))&lt;0,0,((IF(BD59&gt;2*(Retailers!AL58+Distributors_Cap!$P$47),0,(IF(BI59=0,ROUNDUP((2*(Retailers!AL58+Distributors_Cap!$P$47)-BD59)^0.5,0),ROUNDUP((2*(Retailers!AL58+Distributors_Cap!$P$47)-BD59)^0.5,0)))))))))</f>
        <v/>
      </c>
      <c r="W59" s="64" t="n">
        <v>63</v>
      </c>
      <c r="X59" s="9" t="n">
        <v>0</v>
      </c>
      <c r="Y59" s="9" t="n">
        <v>0</v>
      </c>
      <c r="Z59" s="9" t="n">
        <v>0</v>
      </c>
      <c r="AB59" s="2">
        <f>ROUNDDOWN(LOG((X59+1),2),0)</f>
        <v/>
      </c>
      <c r="AC59" s="2">
        <f>ROUNDDOWN(LOG((Y59+1),2),0)</f>
        <v/>
      </c>
      <c r="AD59" s="2">
        <f>ROUNDDOWN(LOG((Z59+1),2),0)</f>
        <v/>
      </c>
      <c r="AG59" s="64" t="n">
        <v>63</v>
      </c>
      <c r="AH59" s="9" t="n">
        <v>0</v>
      </c>
      <c r="AI59" s="9" t="n">
        <v>0</v>
      </c>
      <c r="AJ59" s="9" t="n">
        <v>0</v>
      </c>
      <c r="AQ59" s="64" t="n">
        <v>63</v>
      </c>
      <c r="AR59" s="64" t="n">
        <v>62.047</v>
      </c>
      <c r="AS59" s="64" t="n">
        <v>83.80800000000001</v>
      </c>
      <c r="AT59" s="64" t="n">
        <v>61.121</v>
      </c>
      <c r="AV59" s="64" t="n">
        <v>63</v>
      </c>
      <c r="AW59" s="64">
        <f>Beginning_stock!AT87</f>
        <v/>
      </c>
      <c r="AX59" s="64">
        <f>Beginning_stock!AU87</f>
        <v/>
      </c>
      <c r="AY59" s="64">
        <f>Beginning_stock!AV87</f>
        <v/>
      </c>
      <c r="BA59" s="64" t="n">
        <v>63</v>
      </c>
      <c r="BB59" s="64">
        <f>IF(Demand!AU76=Retailers_Cap!N59,"ret=0",(AW59/(Demand!AU76-Retailers_Cap!N59)))</f>
        <v/>
      </c>
      <c r="BC59" s="64">
        <f>IF(Demand!AV76=Retailers_Cap!O59,"ret=0",(AX59/(Demand!AV76-Retailers_Cap!O59)))</f>
        <v/>
      </c>
      <c r="BD59" s="64">
        <f>IF(Demand!AW76=Retailers_Cap!P59,"ret=0",(AY59/(Demand!AW76-Retailers_Cap!P59)))</f>
        <v/>
      </c>
      <c r="BF59" s="64" t="n">
        <v>63</v>
      </c>
      <c r="BG59" s="2">
        <f>IF(Demand!AU76&lt;=Retailers_Cap!N59,"ret=0",(IF(BB59&lt;=AR59+Distributors_Cap!$P$47,1,0)))</f>
        <v/>
      </c>
      <c r="BH59" s="2">
        <f>IF(Demand!AV76&lt;=Retailers_Cap!O59,"ret=0",(IF(BC59&lt;=AS59+Distributors_Cap!$P$47,1,0)))</f>
        <v/>
      </c>
      <c r="BI59" s="2">
        <f>IF(Demand!AW76&lt;=Retailers_Cap!P59,"ret=0",(IF(BD59&lt;=AT59+Distributors_Cap!$P$47,1,0)))</f>
        <v/>
      </c>
      <c r="BK59" s="64" t="n">
        <v>63</v>
      </c>
      <c r="BL59" s="64">
        <f>Retailers!BH58</f>
        <v/>
      </c>
      <c r="BM59" s="64">
        <f>Retailers!BI58</f>
        <v/>
      </c>
      <c r="BN59" s="64">
        <f>Retailers!BJ58</f>
        <v/>
      </c>
      <c r="BP59" s="64" t="n">
        <v>63</v>
      </c>
      <c r="BQ59" s="64">
        <f>#REF!</f>
        <v/>
      </c>
      <c r="BR59" s="64">
        <f>#REF!</f>
        <v/>
      </c>
      <c r="BS59" s="64">
        <f>#REF!</f>
        <v/>
      </c>
      <c r="BU59" s="64" t="n">
        <v>63</v>
      </c>
      <c r="BV59" s="64">
        <f>Retailers!AS58</f>
        <v/>
      </c>
      <c r="BW59" s="64">
        <f>Retailers!AT58</f>
        <v/>
      </c>
      <c r="BX59" s="64">
        <f>Retailers!AU58</f>
        <v/>
      </c>
      <c r="BZ59" s="64" t="n">
        <v>63</v>
      </c>
      <c r="CA59" s="64">
        <f>Results!#REF!</f>
        <v/>
      </c>
      <c r="CB59" s="64">
        <f>Results!#REF!</f>
        <v/>
      </c>
      <c r="CC59" s="64">
        <f>Results!#REF!</f>
        <v/>
      </c>
      <c r="CE59" s="64" t="n">
        <v>63</v>
      </c>
      <c r="CF59" s="64">
        <f>Retailers!BN58</f>
        <v/>
      </c>
      <c r="CG59" s="64">
        <f>Retailers!BO58</f>
        <v/>
      </c>
      <c r="CH59" s="64">
        <f>Retailers!BP58</f>
        <v/>
      </c>
      <c r="CJ59" s="64" t="n">
        <v>63</v>
      </c>
      <c r="CK59" s="64">
        <f>IF(BB59="ret=0",0,IF(BB59&gt;0,AR59+Distributors_Cap!$P$47-BB59,0))</f>
        <v/>
      </c>
      <c r="CL59" s="64">
        <f>IF(BC59="ret=0",0,IF(BC59&gt;0,AS59+Distributors_Cap!$P$47-BC59,0))</f>
        <v/>
      </c>
      <c r="CM59" s="64">
        <f>IF(BD59="ret=0",0,IF(BD59&gt;0,AT59+Distributors_Cap!$P$47-BD59,0))</f>
        <v/>
      </c>
    </row>
    <row r="60">
      <c r="G60" s="64" t="n">
        <v>64</v>
      </c>
      <c r="H60" s="64" t="n">
        <v>68.32899999999999</v>
      </c>
      <c r="I60" s="64" t="n">
        <v>45.112</v>
      </c>
      <c r="J60" s="64" t="n">
        <v>50.708</v>
      </c>
      <c r="L60" s="64">
        <f>TRUNC((_xlfn.NORM.INV((RAND()),$K$7,$K$8)),0)</f>
        <v/>
      </c>
      <c r="M60" s="64" t="n">
        <v>64</v>
      </c>
      <c r="N60" s="5" t="n">
        <v>22</v>
      </c>
      <c r="O60" s="5" t="n">
        <v>24</v>
      </c>
      <c r="P60" s="5" t="n">
        <v>35</v>
      </c>
      <c r="R60" s="2">
        <f>IF(N60&gt;Demand!AU77,0,(IF(((2*(Retailers!AJ59+Distributors_Cap!$P$47)-Retailers_Cap!$BB$7)*(Demand!AU77-Retailers_Cap!N60))&lt;0,0,((IF(BB60&gt;2*(Retailers!AJ59+Distributors_Cap!$P$47),0,(IF(BG60=0,ROUNDUP((2*(Retailers!AJ59+Distributors_Cap!$P$47)-BB60)^0.5,0),ROUNDUP((2*(Retailers!AJ59+Distributors_Cap!$P$47)-BB60)^0.5,0)))))))))</f>
        <v/>
      </c>
      <c r="S60" s="2">
        <f>IF(O60&gt;Demand!AV77,0,(IF(((2*(Retailers!AK59+Distributors_Cap!$P$47)-Retailers_Cap!$BB$7)*(Demand!AV77-Retailers_Cap!O60))&lt;0,0,((IF(BC60&gt;2*(Retailers!AK59+Distributors_Cap!$P$47),0,(IF(BH60=0,ROUNDUP((2*(Retailers!AK59+Distributors_Cap!$P$47)-BC60)^0.5,0),ROUNDUP((2*(Retailers!AK59+Distributors_Cap!$P$47)-BC60)^0.5,0)))))))))</f>
        <v/>
      </c>
      <c r="T60" s="2">
        <f>IF(P60&gt;Demand!AW77,0,(IF(((2*(Retailers!AL59+Distributors_Cap!$P$47)-Retailers_Cap!$BB$7)*(Demand!AW77-Retailers_Cap!P60))&lt;0,0,((IF(BD60&gt;2*(Retailers!AL59+Distributors_Cap!$P$47),0,(IF(BI60=0,ROUNDUP((2*(Retailers!AL59+Distributors_Cap!$P$47)-BD60)^0.5,0),ROUNDUP((2*(Retailers!AL59+Distributors_Cap!$P$47)-BD60)^0.5,0)))))))))</f>
        <v/>
      </c>
      <c r="W60" s="64" t="n">
        <v>64</v>
      </c>
      <c r="X60" s="9" t="n">
        <v>0</v>
      </c>
      <c r="Y60" s="9" t="n">
        <v>12</v>
      </c>
      <c r="Z60" s="9" t="n">
        <v>0</v>
      </c>
      <c r="AB60" s="2">
        <f>ROUNDDOWN(LOG((X60+1),2),0)</f>
        <v/>
      </c>
      <c r="AC60" s="2">
        <f>ROUNDDOWN(LOG((Y60+1),2),0)</f>
        <v/>
      </c>
      <c r="AD60" s="2">
        <f>ROUNDDOWN(LOG((Z60+1),2),0)</f>
        <v/>
      </c>
      <c r="AG60" s="64" t="n">
        <v>64</v>
      </c>
      <c r="AH60" s="9" t="n">
        <v>0</v>
      </c>
      <c r="AI60" s="9" t="n">
        <v>3</v>
      </c>
      <c r="AJ60" s="9" t="n">
        <v>0</v>
      </c>
      <c r="AQ60" s="64" t="n">
        <v>64</v>
      </c>
      <c r="AR60" s="64" t="n">
        <v>68.32899999999999</v>
      </c>
      <c r="AS60" s="64" t="n">
        <v>45.112</v>
      </c>
      <c r="AT60" s="64" t="n">
        <v>50.708</v>
      </c>
      <c r="AV60" s="64" t="n">
        <v>64</v>
      </c>
      <c r="AW60" s="64">
        <f>Beginning_stock!AT88</f>
        <v/>
      </c>
      <c r="AX60" s="64">
        <f>Beginning_stock!AU88</f>
        <v/>
      </c>
      <c r="AY60" s="64">
        <f>Beginning_stock!AV88</f>
        <v/>
      </c>
      <c r="BA60" s="64" t="n">
        <v>64</v>
      </c>
      <c r="BB60" s="64">
        <f>IF(Demand!AU77=Retailers_Cap!N60,"ret=0",(AW60/(Demand!AU77-Retailers_Cap!N60)))</f>
        <v/>
      </c>
      <c r="BC60" s="64">
        <f>IF(Demand!AV77=Retailers_Cap!O60,"ret=0",(AX60/(Demand!AV77-Retailers_Cap!O60)))</f>
        <v/>
      </c>
      <c r="BD60" s="64">
        <f>IF(Demand!AW77=Retailers_Cap!P60,"ret=0",(AY60/(Demand!AW77-Retailers_Cap!P60)))</f>
        <v/>
      </c>
      <c r="BF60" s="64" t="n">
        <v>64</v>
      </c>
      <c r="BG60" s="2">
        <f>IF(Demand!AU77&lt;=Retailers_Cap!N60,"ret=0",(IF(BB60&lt;=AR60+Distributors_Cap!$P$47,1,0)))</f>
        <v/>
      </c>
      <c r="BH60" s="2">
        <f>IF(Demand!AV77&lt;=Retailers_Cap!O60,"ret=0",(IF(BC60&lt;=AS60+Distributors_Cap!$P$47,1,0)))</f>
        <v/>
      </c>
      <c r="BI60" s="2">
        <f>IF(Demand!AW77&lt;=Retailers_Cap!P60,"ret=0",(IF(BD60&lt;=AT60+Distributors_Cap!$P$47,1,0)))</f>
        <v/>
      </c>
      <c r="BK60" s="64" t="n">
        <v>64</v>
      </c>
      <c r="BL60" s="64">
        <f>Retailers!BH59</f>
        <v/>
      </c>
      <c r="BM60" s="64">
        <f>Retailers!BI59</f>
        <v/>
      </c>
      <c r="BN60" s="64">
        <f>Retailers!BJ59</f>
        <v/>
      </c>
      <c r="BP60" s="64" t="n">
        <v>64</v>
      </c>
      <c r="BQ60" s="64">
        <f>#REF!</f>
        <v/>
      </c>
      <c r="BR60" s="64">
        <f>#REF!</f>
        <v/>
      </c>
      <c r="BS60" s="64">
        <f>#REF!</f>
        <v/>
      </c>
      <c r="BU60" s="64" t="n">
        <v>64</v>
      </c>
      <c r="BV60" s="64">
        <f>Retailers!AS59</f>
        <v/>
      </c>
      <c r="BW60" s="64">
        <f>Retailers!AT59</f>
        <v/>
      </c>
      <c r="BX60" s="64">
        <f>Retailers!AU59</f>
        <v/>
      </c>
      <c r="BZ60" s="64" t="n">
        <v>64</v>
      </c>
      <c r="CA60" s="64">
        <f>Results!#REF!</f>
        <v/>
      </c>
      <c r="CB60" s="64">
        <f>Results!#REF!</f>
        <v/>
      </c>
      <c r="CC60" s="64">
        <f>Results!#REF!</f>
        <v/>
      </c>
      <c r="CE60" s="64" t="n">
        <v>64</v>
      </c>
      <c r="CF60" s="64">
        <f>Retailers!BN59</f>
        <v/>
      </c>
      <c r="CG60" s="64">
        <f>Retailers!BO59</f>
        <v/>
      </c>
      <c r="CH60" s="64">
        <f>Retailers!BP59</f>
        <v/>
      </c>
      <c r="CJ60" s="64" t="n">
        <v>64</v>
      </c>
      <c r="CK60" s="64">
        <f>IF(BB60="ret=0",0,IF(BB60&gt;0,AR60+Distributors_Cap!$P$47-BB60,0))</f>
        <v/>
      </c>
      <c r="CL60" s="64">
        <f>IF(BC60="ret=0",0,IF(BC60&gt;0,AS60+Distributors_Cap!$P$47-BC60,0))</f>
        <v/>
      </c>
      <c r="CM60" s="64">
        <f>IF(BD60="ret=0",0,IF(BD60&gt;0,AT60+Distributors_Cap!$P$47-BD60,0))</f>
        <v/>
      </c>
    </row>
    <row r="61">
      <c r="G61" s="64" t="n">
        <v>65</v>
      </c>
      <c r="H61" s="64" t="n">
        <v>63.759</v>
      </c>
      <c r="I61" s="64" t="n">
        <v>30.786</v>
      </c>
      <c r="J61" s="64" t="n">
        <v>44.338</v>
      </c>
      <c r="L61" s="64">
        <f>TRUNC((_xlfn.NORM.INV((RAND()),$K$7,$K$8)),0)</f>
        <v/>
      </c>
      <c r="M61" s="64" t="n">
        <v>65</v>
      </c>
      <c r="N61" s="5" t="n">
        <v>32</v>
      </c>
      <c r="O61" s="5" t="n">
        <v>43</v>
      </c>
      <c r="P61" s="5" t="n">
        <v>30</v>
      </c>
      <c r="R61" s="2">
        <f>IF(N61&gt;Demand!AU78,0,(IF(((2*(Retailers!AJ60+Distributors_Cap!$P$47)-Retailers_Cap!$BB$7)*(Demand!AU78-Retailers_Cap!N61))&lt;0,0,((IF(BB61&gt;2*(Retailers!AJ60+Distributors_Cap!$P$47),0,(IF(BG61=0,ROUNDUP((2*(Retailers!AJ60+Distributors_Cap!$P$47)-BB61)^0.5,0),ROUNDUP((2*(Retailers!AJ60+Distributors_Cap!$P$47)-BB61)^0.5,0)))))))))</f>
        <v/>
      </c>
      <c r="S61" s="2">
        <f>IF(O61&gt;Demand!AV78,0,(IF(((2*(Retailers!AK60+Distributors_Cap!$P$47)-Retailers_Cap!$BB$7)*(Demand!AV78-Retailers_Cap!O61))&lt;0,0,((IF(BC61&gt;2*(Retailers!AK60+Distributors_Cap!$P$47),0,(IF(BH61=0,ROUNDUP((2*(Retailers!AK60+Distributors_Cap!$P$47)-BC61)^0.5,0),ROUNDUP((2*(Retailers!AK60+Distributors_Cap!$P$47)-BC61)^0.5,0)))))))))</f>
        <v/>
      </c>
      <c r="T61" s="2">
        <f>IF(P61&gt;Demand!AW78,0,(IF(((2*(Retailers!AL60+Distributors_Cap!$P$47)-Retailers_Cap!$BB$7)*(Demand!AW78-Retailers_Cap!P61))&lt;0,0,((IF(BD61&gt;2*(Retailers!AL60+Distributors_Cap!$P$47),0,(IF(BI61=0,ROUNDUP((2*(Retailers!AL60+Distributors_Cap!$P$47)-BD61)^0.5,0),ROUNDUP((2*(Retailers!AL60+Distributors_Cap!$P$47)-BD61)^0.5,0)))))))))</f>
        <v/>
      </c>
      <c r="W61" s="64" t="n">
        <v>65</v>
      </c>
      <c r="X61" s="9" t="n">
        <v>0</v>
      </c>
      <c r="Y61" s="9" t="n">
        <v>0</v>
      </c>
      <c r="Z61" s="9" t="n">
        <v>0</v>
      </c>
      <c r="AB61" s="2">
        <f>ROUNDDOWN(LOG((X61+1),2),0)</f>
        <v/>
      </c>
      <c r="AC61" s="2">
        <f>ROUNDDOWN(LOG((Y61+1),2),0)</f>
        <v/>
      </c>
      <c r="AD61" s="2">
        <f>ROUNDDOWN(LOG((Z61+1),2),0)</f>
        <v/>
      </c>
      <c r="AG61" s="64" t="n">
        <v>65</v>
      </c>
      <c r="AH61" s="9" t="n">
        <v>0</v>
      </c>
      <c r="AI61" s="9" t="n">
        <v>0</v>
      </c>
      <c r="AJ61" s="9" t="n">
        <v>0</v>
      </c>
      <c r="AQ61" s="64" t="n">
        <v>65</v>
      </c>
      <c r="AR61" s="64" t="n">
        <v>63.759</v>
      </c>
      <c r="AS61" s="64" t="n">
        <v>30.786</v>
      </c>
      <c r="AT61" s="64" t="n">
        <v>44.338</v>
      </c>
      <c r="AV61" s="64" t="n">
        <v>65</v>
      </c>
      <c r="AW61" s="64">
        <f>Beginning_stock!AT89</f>
        <v/>
      </c>
      <c r="AX61" s="64">
        <f>Beginning_stock!AU89</f>
        <v/>
      </c>
      <c r="AY61" s="64">
        <f>Beginning_stock!AV89</f>
        <v/>
      </c>
      <c r="BA61" s="64" t="n">
        <v>65</v>
      </c>
      <c r="BB61" s="64">
        <f>IF(Demand!AU78=Retailers_Cap!N61,"ret=0",(AW61/(Demand!AU78-Retailers_Cap!N61)))</f>
        <v/>
      </c>
      <c r="BC61" s="64">
        <f>IF(Demand!AV78=Retailers_Cap!O61,"ret=0",(AX61/(Demand!AV78-Retailers_Cap!O61)))</f>
        <v/>
      </c>
      <c r="BD61" s="64">
        <f>IF(Demand!AW78=Retailers_Cap!P61,"ret=0",(AY61/(Demand!AW78-Retailers_Cap!P61)))</f>
        <v/>
      </c>
      <c r="BF61" s="64" t="n">
        <v>65</v>
      </c>
      <c r="BG61" s="2">
        <f>IF(Demand!AU78&lt;=Retailers_Cap!N61,"ret=0",(IF(BB61&lt;=AR61+Distributors_Cap!$P$47,1,0)))</f>
        <v/>
      </c>
      <c r="BH61" s="2">
        <f>IF(Demand!AV78&lt;=Retailers_Cap!O61,"ret=0",(IF(BC61&lt;=AS61+Distributors_Cap!$P$47,1,0)))</f>
        <v/>
      </c>
      <c r="BI61" s="2">
        <f>IF(Demand!AW78&lt;=Retailers_Cap!P61,"ret=0",(IF(BD61&lt;=AT61+Distributors_Cap!$P$47,1,0)))</f>
        <v/>
      </c>
      <c r="BK61" s="64" t="n">
        <v>65</v>
      </c>
      <c r="BL61" s="64">
        <f>Retailers!BH60</f>
        <v/>
      </c>
      <c r="BM61" s="64">
        <f>Retailers!BI60</f>
        <v/>
      </c>
      <c r="BN61" s="64">
        <f>Retailers!BJ60</f>
        <v/>
      </c>
      <c r="BP61" s="64" t="n">
        <v>65</v>
      </c>
      <c r="BQ61" s="64">
        <f>#REF!</f>
        <v/>
      </c>
      <c r="BR61" s="64">
        <f>#REF!</f>
        <v/>
      </c>
      <c r="BS61" s="64">
        <f>#REF!</f>
        <v/>
      </c>
      <c r="BU61" s="64" t="n">
        <v>65</v>
      </c>
      <c r="BV61" s="64">
        <f>Retailers!AS60</f>
        <v/>
      </c>
      <c r="BW61" s="64">
        <f>Retailers!AT60</f>
        <v/>
      </c>
      <c r="BX61" s="64">
        <f>Retailers!AU60</f>
        <v/>
      </c>
      <c r="BZ61" s="64" t="n">
        <v>65</v>
      </c>
      <c r="CA61" s="64">
        <f>Results!#REF!</f>
        <v/>
      </c>
      <c r="CB61" s="64">
        <f>Results!#REF!</f>
        <v/>
      </c>
      <c r="CC61" s="64">
        <f>Results!#REF!</f>
        <v/>
      </c>
      <c r="CE61" s="64" t="n">
        <v>65</v>
      </c>
      <c r="CF61" s="64">
        <f>Retailers!BN60</f>
        <v/>
      </c>
      <c r="CG61" s="64">
        <f>Retailers!BO60</f>
        <v/>
      </c>
      <c r="CH61" s="64">
        <f>Retailers!BP60</f>
        <v/>
      </c>
      <c r="CJ61" s="64" t="n">
        <v>65</v>
      </c>
      <c r="CK61" s="64">
        <f>IF(BB61="ret=0",0,IF(BB61&gt;0,AR61+Distributors_Cap!$P$47-BB61,0))</f>
        <v/>
      </c>
      <c r="CL61" s="64">
        <f>IF(BC61="ret=0",0,IF(BC61&gt;0,AS61+Distributors_Cap!$P$47-BC61,0))</f>
        <v/>
      </c>
      <c r="CM61" s="64">
        <f>IF(BD61="ret=0",0,IF(BD61&gt;0,AT61+Distributors_Cap!$P$47-BD61,0))</f>
        <v/>
      </c>
    </row>
    <row r="62">
      <c r="G62" s="64" t="n">
        <v>66</v>
      </c>
      <c r="H62" s="64" t="n">
        <v>74.389</v>
      </c>
      <c r="I62" s="64" t="n">
        <v>42.252</v>
      </c>
      <c r="J62" s="64" t="n">
        <v>68.027</v>
      </c>
      <c r="L62" s="64">
        <f>TRUNC((_xlfn.NORM.INV((RAND()),$K$7,$K$8)),0)</f>
        <v/>
      </c>
      <c r="M62" s="64" t="n">
        <v>66</v>
      </c>
      <c r="N62" s="5" t="n">
        <v>26</v>
      </c>
      <c r="O62" s="5" t="n">
        <v>32</v>
      </c>
      <c r="P62" s="5" t="n">
        <v>20</v>
      </c>
      <c r="R62" s="2">
        <f>IF(N62&gt;Demand!AU79,0,(IF(((2*(Retailers!AJ61+Distributors_Cap!$P$47)-Retailers_Cap!$BB$7)*(Demand!AU79-Retailers_Cap!N62))&lt;0,0,((IF(BB62&gt;2*(Retailers!AJ61+Distributors_Cap!$P$47),0,(IF(BG62=0,ROUNDUP((2*(Retailers!AJ61+Distributors_Cap!$P$47)-BB62)^0.5,0),ROUNDUP((2*(Retailers!AJ61+Distributors_Cap!$P$47)-BB62)^0.5,0)))))))))</f>
        <v/>
      </c>
      <c r="S62" s="2">
        <f>IF(O62&gt;Demand!AV79,0,(IF(((2*(Retailers!AK61+Distributors_Cap!$P$47)-Retailers_Cap!$BB$7)*(Demand!AV79-Retailers_Cap!O62))&lt;0,0,((IF(BC62&gt;2*(Retailers!AK61+Distributors_Cap!$P$47),0,(IF(BH62=0,ROUNDUP((2*(Retailers!AK61+Distributors_Cap!$P$47)-BC62)^0.5,0),ROUNDUP((2*(Retailers!AK61+Distributors_Cap!$P$47)-BC62)^0.5,0)))))))))</f>
        <v/>
      </c>
      <c r="T62" s="2">
        <f>IF(P62&gt;Demand!AW79,0,(IF(((2*(Retailers!AL61+Distributors_Cap!$P$47)-Retailers_Cap!$BB$7)*(Demand!AW79-Retailers_Cap!P62))&lt;0,0,((IF(BD62&gt;2*(Retailers!AL61+Distributors_Cap!$P$47),0,(IF(BI62=0,ROUNDUP((2*(Retailers!AL61+Distributors_Cap!$P$47)-BD62)^0.5,0),ROUNDUP((2*(Retailers!AL61+Distributors_Cap!$P$47)-BD62)^0.5,0)))))))))</f>
        <v/>
      </c>
      <c r="W62" s="64" t="n">
        <v>66</v>
      </c>
      <c r="X62" s="9" t="n">
        <v>0</v>
      </c>
      <c r="Y62" s="9" t="n">
        <v>0</v>
      </c>
      <c r="Z62" s="9" t="n">
        <v>14</v>
      </c>
      <c r="AB62" s="2">
        <f>ROUNDDOWN(LOG((X62+1),2),0)</f>
        <v/>
      </c>
      <c r="AC62" s="2">
        <f>ROUNDDOWN(LOG((Y62+1),2),0)</f>
        <v/>
      </c>
      <c r="AD62" s="2">
        <f>ROUNDDOWN(LOG((Z62+1),2),0)</f>
        <v/>
      </c>
      <c r="AG62" s="64" t="n">
        <v>66</v>
      </c>
      <c r="AH62" s="9" t="n">
        <v>0</v>
      </c>
      <c r="AI62" s="9" t="n">
        <v>0</v>
      </c>
      <c r="AJ62" s="9" t="n">
        <v>3</v>
      </c>
      <c r="AQ62" s="64" t="n">
        <v>66</v>
      </c>
      <c r="AR62" s="64" t="n">
        <v>74.389</v>
      </c>
      <c r="AS62" s="64" t="n">
        <v>42.252</v>
      </c>
      <c r="AT62" s="64" t="n">
        <v>68.027</v>
      </c>
      <c r="AV62" s="64" t="n">
        <v>66</v>
      </c>
      <c r="AW62" s="64">
        <f>Beginning_stock!AT90</f>
        <v/>
      </c>
      <c r="AX62" s="64">
        <f>Beginning_stock!AU90</f>
        <v/>
      </c>
      <c r="AY62" s="64">
        <f>Beginning_stock!AV90</f>
        <v/>
      </c>
      <c r="BA62" s="64" t="n">
        <v>66</v>
      </c>
      <c r="BB62" s="64">
        <f>IF(Demand!AU79=Retailers_Cap!N62,"ret=0",(AW62/(Demand!AU79-Retailers_Cap!N62)))</f>
        <v/>
      </c>
      <c r="BC62" s="64">
        <f>IF(Demand!AV79=Retailers_Cap!O62,"ret=0",(AX62/(Demand!AV79-Retailers_Cap!O62)))</f>
        <v/>
      </c>
      <c r="BD62" s="64">
        <f>IF(Demand!AW79=Retailers_Cap!P62,"ret=0",(AY62/(Demand!AW79-Retailers_Cap!P62)))</f>
        <v/>
      </c>
      <c r="BF62" s="64" t="n">
        <v>66</v>
      </c>
      <c r="BG62" s="2">
        <f>IF(Demand!AU79&lt;=Retailers_Cap!N62,"ret=0",(IF(BB62&lt;=AR62+Distributors_Cap!$P$47,1,0)))</f>
        <v/>
      </c>
      <c r="BH62" s="2">
        <f>IF(Demand!AV79&lt;=Retailers_Cap!O62,"ret=0",(IF(BC62&lt;=AS62+Distributors_Cap!$P$47,1,0)))</f>
        <v/>
      </c>
      <c r="BI62" s="2">
        <f>IF(Demand!AW79&lt;=Retailers_Cap!P62,"ret=0",(IF(BD62&lt;=AT62+Distributors_Cap!$P$47,1,0)))</f>
        <v/>
      </c>
      <c r="BK62" s="64" t="n">
        <v>66</v>
      </c>
      <c r="BL62" s="64">
        <f>Retailers!BH61</f>
        <v/>
      </c>
      <c r="BM62" s="64">
        <f>Retailers!BI61</f>
        <v/>
      </c>
      <c r="BN62" s="64">
        <f>Retailers!BJ61</f>
        <v/>
      </c>
      <c r="BP62" s="64" t="n">
        <v>66</v>
      </c>
      <c r="BQ62" s="64">
        <f>#REF!</f>
        <v/>
      </c>
      <c r="BR62" s="64">
        <f>#REF!</f>
        <v/>
      </c>
      <c r="BS62" s="64">
        <f>#REF!</f>
        <v/>
      </c>
      <c r="BU62" s="64" t="n">
        <v>66</v>
      </c>
      <c r="BV62" s="64">
        <f>Retailers!AS61</f>
        <v/>
      </c>
      <c r="BW62" s="64">
        <f>Retailers!AT61</f>
        <v/>
      </c>
      <c r="BX62" s="64">
        <f>Retailers!AU61</f>
        <v/>
      </c>
      <c r="BZ62" s="64" t="n">
        <v>66</v>
      </c>
      <c r="CA62" s="64">
        <f>Results!#REF!</f>
        <v/>
      </c>
      <c r="CB62" s="64">
        <f>Results!#REF!</f>
        <v/>
      </c>
      <c r="CC62" s="64">
        <f>Results!#REF!</f>
        <v/>
      </c>
      <c r="CE62" s="64" t="n">
        <v>66</v>
      </c>
      <c r="CF62" s="64">
        <f>Retailers!BN61</f>
        <v/>
      </c>
      <c r="CG62" s="64">
        <f>Retailers!BO61</f>
        <v/>
      </c>
      <c r="CH62" s="64">
        <f>Retailers!BP61</f>
        <v/>
      </c>
      <c r="CJ62" s="64" t="n">
        <v>66</v>
      </c>
      <c r="CK62" s="64">
        <f>IF(BB62="ret=0",0,IF(BB62&gt;0,AR62+Distributors_Cap!$P$47-BB62,0))</f>
        <v/>
      </c>
      <c r="CL62" s="64">
        <f>IF(BC62="ret=0",0,IF(BC62&gt;0,AS62+Distributors_Cap!$P$47-BC62,0))</f>
        <v/>
      </c>
      <c r="CM62" s="64">
        <f>IF(BD62="ret=0",0,IF(BD62&gt;0,AT62+Distributors_Cap!$P$47-BD62,0))</f>
        <v/>
      </c>
    </row>
    <row r="63">
      <c r="G63" s="64" t="n">
        <v>67</v>
      </c>
      <c r="H63" s="64" t="n">
        <v>75.634</v>
      </c>
      <c r="I63" s="64" t="n">
        <v>67.55500000000001</v>
      </c>
      <c r="J63" s="64" t="n">
        <v>51.78</v>
      </c>
      <c r="L63" s="64">
        <f>TRUNC((_xlfn.NORM.INV((RAND()),$K$7,$K$8)),0)</f>
        <v/>
      </c>
      <c r="M63" s="64" t="n">
        <v>67</v>
      </c>
      <c r="N63" s="5" t="n">
        <v>36</v>
      </c>
      <c r="O63" s="5" t="n">
        <v>27</v>
      </c>
      <c r="P63" s="5" t="n">
        <v>32</v>
      </c>
      <c r="R63" s="2">
        <f>IF(N63&gt;Demand!AU80,0,(IF(((2*(Retailers!AJ62+Distributors_Cap!$P$47)-Retailers_Cap!$BB$7)*(Demand!AU80-Retailers_Cap!N63))&lt;0,0,((IF(BB63&gt;2*(Retailers!AJ62+Distributors_Cap!$P$47),0,(IF(BG63=0,ROUNDUP((2*(Retailers!AJ62+Distributors_Cap!$P$47)-BB63)^0.5,0),ROUNDUP((2*(Retailers!AJ62+Distributors_Cap!$P$47)-BB63)^0.5,0)))))))))</f>
        <v/>
      </c>
      <c r="S63" s="2">
        <f>IF(O63&gt;Demand!AV80,0,(IF(((2*(Retailers!AK62+Distributors_Cap!$P$47)-Retailers_Cap!$BB$7)*(Demand!AV80-Retailers_Cap!O63))&lt;0,0,((IF(BC63&gt;2*(Retailers!AK62+Distributors_Cap!$P$47),0,(IF(BH63=0,ROUNDUP((2*(Retailers!AK62+Distributors_Cap!$P$47)-BC63)^0.5,0),ROUNDUP((2*(Retailers!AK62+Distributors_Cap!$P$47)-BC63)^0.5,0)))))))))</f>
        <v/>
      </c>
      <c r="T63" s="2">
        <f>IF(P63&gt;Demand!AW80,0,(IF(((2*(Retailers!AL62+Distributors_Cap!$P$47)-Retailers_Cap!$BB$7)*(Demand!AW80-Retailers_Cap!P63))&lt;0,0,((IF(BD63&gt;2*(Retailers!AL62+Distributors_Cap!$P$47),0,(IF(BI63=0,ROUNDUP((2*(Retailers!AL62+Distributors_Cap!$P$47)-BD63)^0.5,0),ROUNDUP((2*(Retailers!AL62+Distributors_Cap!$P$47)-BD63)^0.5,0)))))))))</f>
        <v/>
      </c>
      <c r="W63" s="64" t="n">
        <v>67</v>
      </c>
      <c r="X63" s="9" t="n">
        <v>0</v>
      </c>
      <c r="Y63" s="9" t="n">
        <v>0</v>
      </c>
      <c r="Z63" s="9" t="n">
        <v>0</v>
      </c>
      <c r="AB63" s="2">
        <f>ROUNDDOWN(LOG((X63+1),2),0)</f>
        <v/>
      </c>
      <c r="AC63" s="2">
        <f>ROUNDDOWN(LOG((Y63+1),2),0)</f>
        <v/>
      </c>
      <c r="AD63" s="2">
        <f>ROUNDDOWN(LOG((Z63+1),2),0)</f>
        <v/>
      </c>
      <c r="AG63" s="64" t="n">
        <v>67</v>
      </c>
      <c r="AH63" s="9" t="n">
        <v>0</v>
      </c>
      <c r="AI63" s="9" t="n">
        <v>0</v>
      </c>
      <c r="AJ63" s="9" t="n">
        <v>0</v>
      </c>
      <c r="AQ63" s="64" t="n">
        <v>67</v>
      </c>
      <c r="AR63" s="64" t="n">
        <v>75.634</v>
      </c>
      <c r="AS63" s="64" t="n">
        <v>67.55500000000001</v>
      </c>
      <c r="AT63" s="64" t="n">
        <v>51.78</v>
      </c>
      <c r="AV63" s="64" t="n">
        <v>67</v>
      </c>
      <c r="AW63" s="64">
        <f>Beginning_stock!AT91</f>
        <v/>
      </c>
      <c r="AX63" s="64">
        <f>Beginning_stock!AU91</f>
        <v/>
      </c>
      <c r="AY63" s="64">
        <f>Beginning_stock!AV91</f>
        <v/>
      </c>
      <c r="BA63" s="64" t="n">
        <v>67</v>
      </c>
      <c r="BB63" s="64">
        <f>IF(Demand!AU80=Retailers_Cap!N63,"ret=0",(AW63/(Demand!AU80-Retailers_Cap!N63)))</f>
        <v/>
      </c>
      <c r="BC63" s="64">
        <f>IF(Demand!AV80=Retailers_Cap!O63,"ret=0",(AX63/(Demand!AV80-Retailers_Cap!O63)))</f>
        <v/>
      </c>
      <c r="BD63" s="64">
        <f>IF(Demand!AW80=Retailers_Cap!P63,"ret=0",(AY63/(Demand!AW80-Retailers_Cap!P63)))</f>
        <v/>
      </c>
      <c r="BF63" s="64" t="n">
        <v>67</v>
      </c>
      <c r="BG63" s="2">
        <f>IF(Demand!AU80&lt;=Retailers_Cap!N63,"ret=0",(IF(BB63&lt;=AR63+Distributors_Cap!$P$47,1,0)))</f>
        <v/>
      </c>
      <c r="BH63" s="2">
        <f>IF(Demand!AV80&lt;=Retailers_Cap!O63,"ret=0",(IF(BC63&lt;=AS63+Distributors_Cap!$P$47,1,0)))</f>
        <v/>
      </c>
      <c r="BI63" s="2">
        <f>IF(Demand!AW80&lt;=Retailers_Cap!P63,"ret=0",(IF(BD63&lt;=AT63+Distributors_Cap!$P$47,1,0)))</f>
        <v/>
      </c>
      <c r="BK63" s="64" t="n">
        <v>67</v>
      </c>
      <c r="BL63" s="64">
        <f>Retailers!BH62</f>
        <v/>
      </c>
      <c r="BM63" s="64">
        <f>Retailers!BI62</f>
        <v/>
      </c>
      <c r="BN63" s="64">
        <f>Retailers!BJ62</f>
        <v/>
      </c>
      <c r="BP63" s="64" t="n">
        <v>67</v>
      </c>
      <c r="BQ63" s="64">
        <f>#REF!</f>
        <v/>
      </c>
      <c r="BR63" s="64">
        <f>#REF!</f>
        <v/>
      </c>
      <c r="BS63" s="64">
        <f>#REF!</f>
        <v/>
      </c>
      <c r="BU63" s="64" t="n">
        <v>67</v>
      </c>
      <c r="BV63" s="64">
        <f>Retailers!AS62</f>
        <v/>
      </c>
      <c r="BW63" s="64">
        <f>Retailers!AT62</f>
        <v/>
      </c>
      <c r="BX63" s="64">
        <f>Retailers!AU62</f>
        <v/>
      </c>
      <c r="BZ63" s="64" t="n">
        <v>67</v>
      </c>
      <c r="CA63" s="64">
        <f>Results!#REF!</f>
        <v/>
      </c>
      <c r="CB63" s="64">
        <f>Results!#REF!</f>
        <v/>
      </c>
      <c r="CC63" s="64">
        <f>Results!#REF!</f>
        <v/>
      </c>
      <c r="CE63" s="64" t="n">
        <v>67</v>
      </c>
      <c r="CF63" s="64">
        <f>Retailers!BN62</f>
        <v/>
      </c>
      <c r="CG63" s="64">
        <f>Retailers!BO62</f>
        <v/>
      </c>
      <c r="CH63" s="64">
        <f>Retailers!BP62</f>
        <v/>
      </c>
      <c r="CJ63" s="64" t="n">
        <v>67</v>
      </c>
      <c r="CK63" s="64">
        <f>IF(BB63="ret=0",0,IF(BB63&gt;0,AR63+Distributors_Cap!$P$47-BB63,0))</f>
        <v/>
      </c>
      <c r="CL63" s="64">
        <f>IF(BC63="ret=0",0,IF(BC63&gt;0,AS63+Distributors_Cap!$P$47-BC63,0))</f>
        <v/>
      </c>
      <c r="CM63" s="64">
        <f>IF(BD63="ret=0",0,IF(BD63&gt;0,AT63+Distributors_Cap!$P$47-BD63,0))</f>
        <v/>
      </c>
    </row>
    <row r="64">
      <c r="G64" s="64" t="n">
        <v>68</v>
      </c>
      <c r="H64" s="64" t="n">
        <v>44.333</v>
      </c>
      <c r="I64" s="64" t="n">
        <v>80.464</v>
      </c>
      <c r="J64" s="64" t="n">
        <v>68.33499999999999</v>
      </c>
      <c r="L64" s="64">
        <f>TRUNC((_xlfn.NORM.INV((RAND()),$K$7,$K$8)),0)</f>
        <v/>
      </c>
      <c r="M64" s="64" t="n">
        <v>68</v>
      </c>
      <c r="N64" s="5" t="n">
        <v>28</v>
      </c>
      <c r="O64" s="5" t="n">
        <v>38</v>
      </c>
      <c r="P64" s="5" t="n">
        <v>24</v>
      </c>
      <c r="R64" s="2">
        <f>IF(N64&gt;Demand!AU81,0,(IF(((2*(Retailers!AJ63+Distributors_Cap!$P$47)-Retailers_Cap!$BB$7)*(Demand!AU81-Retailers_Cap!N64))&lt;0,0,((IF(BB64&gt;2*(Retailers!AJ63+Distributors_Cap!$P$47),0,(IF(BG64=0,ROUNDUP((2*(Retailers!AJ63+Distributors_Cap!$P$47)-BB64)^0.5,0),ROUNDUP((2*(Retailers!AJ63+Distributors_Cap!$P$47)-BB64)^0.5,0)))))))))</f>
        <v/>
      </c>
      <c r="S64" s="2">
        <f>IF(O64&gt;Demand!AV81,0,(IF(((2*(Retailers!AK63+Distributors_Cap!$P$47)-Retailers_Cap!$BB$7)*(Demand!AV81-Retailers_Cap!O64))&lt;0,0,((IF(BC64&gt;2*(Retailers!AK63+Distributors_Cap!$P$47),0,(IF(BH64=0,ROUNDUP((2*(Retailers!AK63+Distributors_Cap!$P$47)-BC64)^0.5,0),ROUNDUP((2*(Retailers!AK63+Distributors_Cap!$P$47)-BC64)^0.5,0)))))))))</f>
        <v/>
      </c>
      <c r="T64" s="2">
        <f>IF(P64&gt;Demand!AW81,0,(IF(((2*(Retailers!AL63+Distributors_Cap!$P$47)-Retailers_Cap!$BB$7)*(Demand!AW81-Retailers_Cap!P64))&lt;0,0,((IF(BD64&gt;2*(Retailers!AL63+Distributors_Cap!$P$47),0,(IF(BI64=0,ROUNDUP((2*(Retailers!AL63+Distributors_Cap!$P$47)-BD64)^0.5,0),ROUNDUP((2*(Retailers!AL63+Distributors_Cap!$P$47)-BD64)^0.5,0)))))))))</f>
        <v/>
      </c>
      <c r="W64" s="64" t="n">
        <v>68</v>
      </c>
      <c r="X64" s="9" t="n">
        <v>0</v>
      </c>
      <c r="Y64" s="9" t="n">
        <v>0</v>
      </c>
      <c r="Z64" s="9" t="n">
        <v>14</v>
      </c>
      <c r="AB64" s="2">
        <f>ROUNDDOWN(LOG((X64+1),2),0)</f>
        <v/>
      </c>
      <c r="AC64" s="2">
        <f>ROUNDDOWN(LOG((Y64+1),2),0)</f>
        <v/>
      </c>
      <c r="AD64" s="2">
        <f>ROUNDDOWN(LOG((Z64+1),2),0)</f>
        <v/>
      </c>
      <c r="AG64" s="64" t="n">
        <v>68</v>
      </c>
      <c r="AH64" s="9" t="n">
        <v>0</v>
      </c>
      <c r="AI64" s="9" t="n">
        <v>0</v>
      </c>
      <c r="AJ64" s="9" t="n">
        <v>3</v>
      </c>
      <c r="AQ64" s="64" t="n">
        <v>68</v>
      </c>
      <c r="AR64" s="64" t="n">
        <v>44.333</v>
      </c>
      <c r="AS64" s="64" t="n">
        <v>80.464</v>
      </c>
      <c r="AT64" s="64" t="n">
        <v>68.33499999999999</v>
      </c>
      <c r="AV64" s="64" t="n">
        <v>68</v>
      </c>
      <c r="AW64" s="64">
        <f>Beginning_stock!AT92</f>
        <v/>
      </c>
      <c r="AX64" s="64">
        <f>Beginning_stock!AU92</f>
        <v/>
      </c>
      <c r="AY64" s="64">
        <f>Beginning_stock!AV92</f>
        <v/>
      </c>
      <c r="BA64" s="64" t="n">
        <v>68</v>
      </c>
      <c r="BB64" s="64">
        <f>IF(Demand!AU81=Retailers_Cap!N64,"ret=0",(AW64/(Demand!AU81-Retailers_Cap!N64)))</f>
        <v/>
      </c>
      <c r="BC64" s="64">
        <f>IF(Demand!AV81=Retailers_Cap!O64,"ret=0",(AX64/(Demand!AV81-Retailers_Cap!O64)))</f>
        <v/>
      </c>
      <c r="BD64" s="64">
        <f>IF(Demand!AW81=Retailers_Cap!P64,"ret=0",(AY64/(Demand!AW81-Retailers_Cap!P64)))</f>
        <v/>
      </c>
      <c r="BF64" s="64" t="n">
        <v>68</v>
      </c>
      <c r="BG64" s="2">
        <f>IF(Demand!AU81&lt;=Retailers_Cap!N64,"ret=0",(IF(BB64&lt;=AR64+Distributors_Cap!$P$47,1,0)))</f>
        <v/>
      </c>
      <c r="BH64" s="2">
        <f>IF(Demand!AV81&lt;=Retailers_Cap!O64,"ret=0",(IF(BC64&lt;=AS64+Distributors_Cap!$P$47,1,0)))</f>
        <v/>
      </c>
      <c r="BI64" s="2">
        <f>IF(Demand!AW81&lt;=Retailers_Cap!P64,"ret=0",(IF(BD64&lt;=AT64+Distributors_Cap!$P$47,1,0)))</f>
        <v/>
      </c>
      <c r="BK64" s="64" t="n">
        <v>68</v>
      </c>
      <c r="BL64" s="64">
        <f>Retailers!BH63</f>
        <v/>
      </c>
      <c r="BM64" s="64">
        <f>Retailers!BI63</f>
        <v/>
      </c>
      <c r="BN64" s="64">
        <f>Retailers!BJ63</f>
        <v/>
      </c>
      <c r="BP64" s="64" t="n">
        <v>68</v>
      </c>
      <c r="BQ64" s="64">
        <f>#REF!</f>
        <v/>
      </c>
      <c r="BR64" s="64">
        <f>#REF!</f>
        <v/>
      </c>
      <c r="BS64" s="64">
        <f>#REF!</f>
        <v/>
      </c>
      <c r="BU64" s="64" t="n">
        <v>68</v>
      </c>
      <c r="BV64" s="64">
        <f>Retailers!AS63</f>
        <v/>
      </c>
      <c r="BW64" s="64">
        <f>Retailers!AT63</f>
        <v/>
      </c>
      <c r="BX64" s="64">
        <f>Retailers!AU63</f>
        <v/>
      </c>
      <c r="BZ64" s="64" t="n">
        <v>68</v>
      </c>
      <c r="CA64" s="64">
        <f>Results!#REF!</f>
        <v/>
      </c>
      <c r="CB64" s="64">
        <f>Results!#REF!</f>
        <v/>
      </c>
      <c r="CC64" s="64">
        <f>Results!#REF!</f>
        <v/>
      </c>
      <c r="CE64" s="64" t="n">
        <v>68</v>
      </c>
      <c r="CF64" s="64">
        <f>Retailers!BN63</f>
        <v/>
      </c>
      <c r="CG64" s="64">
        <f>Retailers!BO63</f>
        <v/>
      </c>
      <c r="CH64" s="64">
        <f>Retailers!BP63</f>
        <v/>
      </c>
      <c r="CJ64" s="64" t="n">
        <v>68</v>
      </c>
      <c r="CK64" s="64">
        <f>IF(BB64="ret=0",0,IF(BB64&gt;0,AR64+Distributors_Cap!$P$47-BB64,0))</f>
        <v/>
      </c>
      <c r="CL64" s="64">
        <f>IF(BC64="ret=0",0,IF(BC64&gt;0,AS64+Distributors_Cap!$P$47-BC64,0))</f>
        <v/>
      </c>
      <c r="CM64" s="64">
        <f>IF(BD64="ret=0",0,IF(BD64&gt;0,AT64+Distributors_Cap!$P$47-BD64,0))</f>
        <v/>
      </c>
    </row>
    <row r="65">
      <c r="G65" s="64" t="n">
        <v>69</v>
      </c>
      <c r="H65" s="64" t="n">
        <v>52.518</v>
      </c>
      <c r="I65" s="64" t="n">
        <v>46.987</v>
      </c>
      <c r="J65" s="64" t="n">
        <v>71.907</v>
      </c>
      <c r="L65" s="64">
        <f>TRUNC((_xlfn.NORM.INV((RAND()),$K$7,$K$8)),0)</f>
        <v/>
      </c>
      <c r="M65" s="64" t="n">
        <v>69</v>
      </c>
      <c r="N65" s="5" t="n">
        <v>19</v>
      </c>
      <c r="O65" s="5" t="n">
        <v>34</v>
      </c>
      <c r="P65" s="5" t="n">
        <v>19</v>
      </c>
      <c r="R65" s="2">
        <f>IF(N65&gt;Demand!AU82,0,(IF(((2*(Retailers!AJ64+Distributors_Cap!$P$47)-Retailers_Cap!$BB$7)*(Demand!AU82-Retailers_Cap!N65))&lt;0,0,((IF(BB65&gt;2*(Retailers!AJ64+Distributors_Cap!$P$47),0,(IF(BG65=0,ROUNDUP((2*(Retailers!AJ64+Distributors_Cap!$P$47)-BB65)^0.5,0),ROUNDUP((2*(Retailers!AJ64+Distributors_Cap!$P$47)-BB65)^0.5,0)))))))))</f>
        <v/>
      </c>
      <c r="S65" s="2">
        <f>IF(O65&gt;Demand!AV82,0,(IF(((2*(Retailers!AK64+Distributors_Cap!$P$47)-Retailers_Cap!$BB$7)*(Demand!AV82-Retailers_Cap!O65))&lt;0,0,((IF(BC65&gt;2*(Retailers!AK64+Distributors_Cap!$P$47),0,(IF(BH65=0,ROUNDUP((2*(Retailers!AK64+Distributors_Cap!$P$47)-BC65)^0.5,0),ROUNDUP((2*(Retailers!AK64+Distributors_Cap!$P$47)-BC65)^0.5,0)))))))))</f>
        <v/>
      </c>
      <c r="T65" s="2">
        <f>IF(P65&gt;Demand!AW82,0,(IF(((2*(Retailers!AL64+Distributors_Cap!$P$47)-Retailers_Cap!$BB$7)*(Demand!AW82-Retailers_Cap!P65))&lt;0,0,((IF(BD65&gt;2*(Retailers!AL64+Distributors_Cap!$P$47),0,(IF(BI65=0,ROUNDUP((2*(Retailers!AL64+Distributors_Cap!$P$47)-BD65)^0.5,0),ROUNDUP((2*(Retailers!AL64+Distributors_Cap!$P$47)-BD65)^0.5,0)))))))))</f>
        <v/>
      </c>
      <c r="W65" s="64" t="n">
        <v>69</v>
      </c>
      <c r="X65" s="9" t="n">
        <v>12</v>
      </c>
      <c r="Y65" s="9" t="n">
        <v>0</v>
      </c>
      <c r="Z65" s="9" t="n">
        <v>10</v>
      </c>
      <c r="AB65" s="2">
        <f>ROUNDDOWN(LOG((X65+1),2),0)</f>
        <v/>
      </c>
      <c r="AC65" s="2">
        <f>ROUNDDOWN(LOG((Y65+1),2),0)</f>
        <v/>
      </c>
      <c r="AD65" s="2">
        <f>ROUNDDOWN(LOG((Z65+1),2),0)</f>
        <v/>
      </c>
      <c r="AG65" s="64" t="n">
        <v>69</v>
      </c>
      <c r="AH65" s="9" t="n">
        <v>3</v>
      </c>
      <c r="AI65" s="9" t="n">
        <v>0</v>
      </c>
      <c r="AJ65" s="9" t="n">
        <v>3</v>
      </c>
      <c r="AQ65" s="64" t="n">
        <v>69</v>
      </c>
      <c r="AR65" s="64" t="n">
        <v>52.518</v>
      </c>
      <c r="AS65" s="64" t="n">
        <v>46.987</v>
      </c>
      <c r="AT65" s="64" t="n">
        <v>71.907</v>
      </c>
      <c r="AV65" s="64" t="n">
        <v>69</v>
      </c>
      <c r="AW65" s="64">
        <f>Beginning_stock!AT93</f>
        <v/>
      </c>
      <c r="AX65" s="64">
        <f>Beginning_stock!AU93</f>
        <v/>
      </c>
      <c r="AY65" s="64">
        <f>Beginning_stock!AV93</f>
        <v/>
      </c>
      <c r="BA65" s="64" t="n">
        <v>69</v>
      </c>
      <c r="BB65" s="64">
        <f>IF(Demand!AU82=Retailers_Cap!N65,"ret=0",(AW65/(Demand!AU82-Retailers_Cap!N65)))</f>
        <v/>
      </c>
      <c r="BC65" s="64">
        <f>IF(Demand!AV82=Retailers_Cap!O65,"ret=0",(AX65/(Demand!AV82-Retailers_Cap!O65)))</f>
        <v/>
      </c>
      <c r="BD65" s="64">
        <f>IF(Demand!AW82=Retailers_Cap!P65,"ret=0",(AY65/(Demand!AW82-Retailers_Cap!P65)))</f>
        <v/>
      </c>
      <c r="BF65" s="64" t="n">
        <v>69</v>
      </c>
      <c r="BG65" s="2">
        <f>IF(Demand!AU82&lt;=Retailers_Cap!N65,"ret=0",(IF(BB65&lt;=AR65+Distributors_Cap!$P$47,1,0)))</f>
        <v/>
      </c>
      <c r="BH65" s="2">
        <f>IF(Demand!AV82&lt;=Retailers_Cap!O65,"ret=0",(IF(BC65&lt;=AS65+Distributors_Cap!$P$47,1,0)))</f>
        <v/>
      </c>
      <c r="BI65" s="2">
        <f>IF(Demand!AW82&lt;=Retailers_Cap!P65,"ret=0",(IF(BD65&lt;=AT65+Distributors_Cap!$P$47,1,0)))</f>
        <v/>
      </c>
      <c r="BK65" s="64" t="n">
        <v>69</v>
      </c>
      <c r="BL65" s="64">
        <f>Retailers!BH64</f>
        <v/>
      </c>
      <c r="BM65" s="64">
        <f>Retailers!BI64</f>
        <v/>
      </c>
      <c r="BN65" s="64">
        <f>Retailers!BJ64</f>
        <v/>
      </c>
      <c r="BP65" s="64" t="n">
        <v>69</v>
      </c>
      <c r="BQ65" s="64">
        <f>#REF!</f>
        <v/>
      </c>
      <c r="BR65" s="64">
        <f>#REF!</f>
        <v/>
      </c>
      <c r="BS65" s="64">
        <f>#REF!</f>
        <v/>
      </c>
      <c r="BU65" s="64" t="n">
        <v>69</v>
      </c>
      <c r="BV65" s="64">
        <f>Retailers!AS64</f>
        <v/>
      </c>
      <c r="BW65" s="64">
        <f>Retailers!AT64</f>
        <v/>
      </c>
      <c r="BX65" s="64">
        <f>Retailers!AU64</f>
        <v/>
      </c>
      <c r="BZ65" s="64" t="n">
        <v>69</v>
      </c>
      <c r="CA65" s="64">
        <f>Results!#REF!</f>
        <v/>
      </c>
      <c r="CB65" s="64">
        <f>Results!#REF!</f>
        <v/>
      </c>
      <c r="CC65" s="64">
        <f>Results!#REF!</f>
        <v/>
      </c>
      <c r="CE65" s="64" t="n">
        <v>69</v>
      </c>
      <c r="CF65" s="64">
        <f>Retailers!BN64</f>
        <v/>
      </c>
      <c r="CG65" s="64">
        <f>Retailers!BO64</f>
        <v/>
      </c>
      <c r="CH65" s="64">
        <f>Retailers!BP64</f>
        <v/>
      </c>
      <c r="CJ65" s="64" t="n">
        <v>69</v>
      </c>
      <c r="CK65" s="64">
        <f>IF(BB65="ret=0",0,IF(BB65&gt;0,AR65+Distributors_Cap!$P$47-BB65,0))</f>
        <v/>
      </c>
      <c r="CL65" s="64">
        <f>IF(BC65="ret=0",0,IF(BC65&gt;0,AS65+Distributors_Cap!$P$47-BC65,0))</f>
        <v/>
      </c>
      <c r="CM65" s="64">
        <f>IF(BD65="ret=0",0,IF(BD65&gt;0,AT65+Distributors_Cap!$P$47-BD65,0))</f>
        <v/>
      </c>
    </row>
    <row r="66">
      <c r="G66" s="64" t="n">
        <v>70</v>
      </c>
      <c r="H66" s="64" t="n">
        <v>66.559</v>
      </c>
      <c r="I66" s="64" t="n">
        <v>57.061</v>
      </c>
      <c r="J66" s="64" t="n">
        <v>55.862</v>
      </c>
      <c r="L66" s="64">
        <f>TRUNC((_xlfn.NORM.INV((RAND()),$K$7,$K$8)),0)</f>
        <v/>
      </c>
      <c r="M66" s="64" t="n">
        <v>70</v>
      </c>
      <c r="N66" s="5" t="n">
        <v>28</v>
      </c>
      <c r="O66" s="5" t="n">
        <v>23</v>
      </c>
      <c r="P66" s="5" t="n">
        <v>24</v>
      </c>
      <c r="R66" s="2">
        <f>IF(N66&gt;Demand!AU83,0,(IF(((2*(Retailers!AJ65+Distributors_Cap!$P$47)-Retailers_Cap!$BB$7)*(Demand!AU83-Retailers_Cap!N66))&lt;0,0,((IF(BB66&gt;2*(Retailers!AJ65+Distributors_Cap!$P$47),0,(IF(BG66=0,ROUNDUP((2*(Retailers!AJ65+Distributors_Cap!$P$47)-BB66)^0.5,0),ROUNDUP((2*(Retailers!AJ65+Distributors_Cap!$P$47)-BB66)^0.5,0)))))))))</f>
        <v/>
      </c>
      <c r="S66" s="2">
        <f>IF(O66&gt;Demand!AV83,0,(IF(((2*(Retailers!AK65+Distributors_Cap!$P$47)-Retailers_Cap!$BB$7)*(Demand!AV83-Retailers_Cap!O66))&lt;0,0,((IF(BC66&gt;2*(Retailers!AK65+Distributors_Cap!$P$47),0,(IF(BH66=0,ROUNDUP((2*(Retailers!AK65+Distributors_Cap!$P$47)-BC66)^0.5,0),ROUNDUP((2*(Retailers!AK65+Distributors_Cap!$P$47)-BC66)^0.5,0)))))))))</f>
        <v/>
      </c>
      <c r="T66" s="2">
        <f>IF(P66&gt;Demand!AW83,0,(IF(((2*(Retailers!AL65+Distributors_Cap!$P$47)-Retailers_Cap!$BB$7)*(Demand!AW83-Retailers_Cap!P66))&lt;0,0,((IF(BD66&gt;2*(Retailers!AL65+Distributors_Cap!$P$47),0,(IF(BI66=0,ROUNDUP((2*(Retailers!AL65+Distributors_Cap!$P$47)-BD66)^0.5,0),ROUNDUP((2*(Retailers!AL65+Distributors_Cap!$P$47)-BD66)^0.5,0)))))))))</f>
        <v/>
      </c>
      <c r="W66" s="64" t="n">
        <v>70</v>
      </c>
      <c r="X66" s="9" t="n">
        <v>0</v>
      </c>
      <c r="Y66" s="9" t="n">
        <v>0</v>
      </c>
      <c r="Z66" s="9" t="n">
        <v>0</v>
      </c>
      <c r="AB66" s="2">
        <f>ROUNDDOWN(LOG((X66+1),2),0)</f>
        <v/>
      </c>
      <c r="AC66" s="2">
        <f>ROUNDDOWN(LOG((Y66+1),2),0)</f>
        <v/>
      </c>
      <c r="AD66" s="2">
        <f>ROUNDDOWN(LOG((Z66+1),2),0)</f>
        <v/>
      </c>
      <c r="AG66" s="64" t="n">
        <v>70</v>
      </c>
      <c r="AH66" s="9" t="n">
        <v>0</v>
      </c>
      <c r="AI66" s="9" t="n">
        <v>0</v>
      </c>
      <c r="AJ66" s="9" t="n">
        <v>0</v>
      </c>
      <c r="AQ66" s="64" t="n">
        <v>70</v>
      </c>
      <c r="AR66" s="64" t="n">
        <v>66.559</v>
      </c>
      <c r="AS66" s="64" t="n">
        <v>57.061</v>
      </c>
      <c r="AT66" s="64" t="n">
        <v>55.862</v>
      </c>
      <c r="AV66" s="64" t="n">
        <v>70</v>
      </c>
      <c r="AW66" s="64">
        <f>Beginning_stock!AT94</f>
        <v/>
      </c>
      <c r="AX66" s="64">
        <f>Beginning_stock!AU94</f>
        <v/>
      </c>
      <c r="AY66" s="64">
        <f>Beginning_stock!AV94</f>
        <v/>
      </c>
      <c r="BA66" s="64" t="n">
        <v>70</v>
      </c>
      <c r="BB66" s="64">
        <f>IF(Demand!AU83=Retailers_Cap!N66,"ret=0",(AW66/(Demand!AU83-Retailers_Cap!N66)))</f>
        <v/>
      </c>
      <c r="BC66" s="64">
        <f>IF(Demand!AV83=Retailers_Cap!O66,"ret=0",(AX66/(Demand!AV83-Retailers_Cap!O66)))</f>
        <v/>
      </c>
      <c r="BD66" s="64">
        <f>IF(Demand!AW83=Retailers_Cap!P66,"ret=0",(AY66/(Demand!AW83-Retailers_Cap!P66)))</f>
        <v/>
      </c>
      <c r="BF66" s="64" t="n">
        <v>70</v>
      </c>
      <c r="BG66" s="2">
        <f>IF(Demand!AU83&lt;=Retailers_Cap!N66,"ret=0",(IF(BB66&lt;=AR66+Distributors_Cap!$P$47,1,0)))</f>
        <v/>
      </c>
      <c r="BH66" s="2">
        <f>IF(Demand!AV83&lt;=Retailers_Cap!O66,"ret=0",(IF(BC66&lt;=AS66+Distributors_Cap!$P$47,1,0)))</f>
        <v/>
      </c>
      <c r="BI66" s="2">
        <f>IF(Demand!AW83&lt;=Retailers_Cap!P66,"ret=0",(IF(BD66&lt;=AT66+Distributors_Cap!$P$47,1,0)))</f>
        <v/>
      </c>
      <c r="BK66" s="64" t="n">
        <v>70</v>
      </c>
      <c r="BL66" s="64">
        <f>Retailers!BH65</f>
        <v/>
      </c>
      <c r="BM66" s="64">
        <f>Retailers!BI65</f>
        <v/>
      </c>
      <c r="BN66" s="64">
        <f>Retailers!BJ65</f>
        <v/>
      </c>
      <c r="BP66" s="64" t="n">
        <v>70</v>
      </c>
      <c r="BQ66" s="64">
        <f>#REF!</f>
        <v/>
      </c>
      <c r="BR66" s="64">
        <f>#REF!</f>
        <v/>
      </c>
      <c r="BS66" s="64">
        <f>#REF!</f>
        <v/>
      </c>
      <c r="BU66" s="64" t="n">
        <v>70</v>
      </c>
      <c r="BV66" s="64">
        <f>Retailers!AS65</f>
        <v/>
      </c>
      <c r="BW66" s="64">
        <f>Retailers!AT65</f>
        <v/>
      </c>
      <c r="BX66" s="64">
        <f>Retailers!AU65</f>
        <v/>
      </c>
      <c r="BZ66" s="64" t="n">
        <v>70</v>
      </c>
      <c r="CA66" s="64">
        <f>Results!#REF!</f>
        <v/>
      </c>
      <c r="CB66" s="64">
        <f>Results!#REF!</f>
        <v/>
      </c>
      <c r="CC66" s="64">
        <f>Results!#REF!</f>
        <v/>
      </c>
      <c r="CE66" s="64" t="n">
        <v>70</v>
      </c>
      <c r="CF66" s="64">
        <f>Retailers!BN65</f>
        <v/>
      </c>
      <c r="CG66" s="64">
        <f>Retailers!BO65</f>
        <v/>
      </c>
      <c r="CH66" s="64">
        <f>Retailers!BP65</f>
        <v/>
      </c>
      <c r="CJ66" s="64" t="n">
        <v>70</v>
      </c>
      <c r="CK66" s="64">
        <f>IF(BB66="ret=0",0,IF(BB66&gt;0,AR66+Distributors_Cap!$P$47-BB66,0))</f>
        <v/>
      </c>
      <c r="CL66" s="64">
        <f>IF(BC66="ret=0",0,IF(BC66&gt;0,AS66+Distributors_Cap!$P$47-BC66,0))</f>
        <v/>
      </c>
      <c r="CM66" s="64">
        <f>IF(BD66="ret=0",0,IF(BD66&gt;0,AT66+Distributors_Cap!$P$47-BD66,0))</f>
        <v/>
      </c>
    </row>
    <row r="67">
      <c r="G67" s="64" t="n">
        <v>71</v>
      </c>
      <c r="H67" s="64" t="n">
        <v>61.114</v>
      </c>
      <c r="I67" s="64" t="n">
        <v>49.637</v>
      </c>
      <c r="J67" s="64" t="n">
        <v>61.122</v>
      </c>
      <c r="L67" s="64">
        <f>TRUNC((_xlfn.NORM.INV((RAND()),$K$7,$K$8)),0)</f>
        <v/>
      </c>
      <c r="M67" s="64" t="n">
        <v>71</v>
      </c>
      <c r="N67" s="5" t="n">
        <v>44</v>
      </c>
      <c r="O67" s="5" t="n">
        <v>22</v>
      </c>
      <c r="P67" s="5" t="n">
        <v>32</v>
      </c>
      <c r="R67" s="2">
        <f>IF(N67&gt;Demand!AU84,0,(IF(((2*(Retailers!AJ66+Distributors_Cap!$P$47)-Retailers_Cap!$BB$7)*(Demand!AU84-Retailers_Cap!N67))&lt;0,0,((IF(BB67&gt;2*(Retailers!AJ66+Distributors_Cap!$P$47),0,(IF(BG67=0,ROUNDUP((2*(Retailers!AJ66+Distributors_Cap!$P$47)-BB67)^0.5,0),ROUNDUP((2*(Retailers!AJ66+Distributors_Cap!$P$47)-BB67)^0.5,0)))))))))</f>
        <v/>
      </c>
      <c r="S67" s="2">
        <f>IF(O67&gt;Demand!AV84,0,(IF(((2*(Retailers!AK66+Distributors_Cap!$P$47)-Retailers_Cap!$BB$7)*(Demand!AV84-Retailers_Cap!O67))&lt;0,0,((IF(BC67&gt;2*(Retailers!AK66+Distributors_Cap!$P$47),0,(IF(BH67=0,ROUNDUP((2*(Retailers!AK66+Distributors_Cap!$P$47)-BC67)^0.5,0),ROUNDUP((2*(Retailers!AK66+Distributors_Cap!$P$47)-BC67)^0.5,0)))))))))</f>
        <v/>
      </c>
      <c r="T67" s="2">
        <f>IF(P67&gt;Demand!AW84,0,(IF(((2*(Retailers!AL66+Distributors_Cap!$P$47)-Retailers_Cap!$BB$7)*(Demand!AW84-Retailers_Cap!P67))&lt;0,0,((IF(BD67&gt;2*(Retailers!AL66+Distributors_Cap!$P$47),0,(IF(BI67=0,ROUNDUP((2*(Retailers!AL66+Distributors_Cap!$P$47)-BD67)^0.5,0),ROUNDUP((2*(Retailers!AL66+Distributors_Cap!$P$47)-BD67)^0.5,0)))))))))</f>
        <v/>
      </c>
      <c r="W67" s="64" t="n">
        <v>71</v>
      </c>
      <c r="X67" s="9" t="n">
        <v>0</v>
      </c>
      <c r="Y67" s="9" t="n">
        <v>12</v>
      </c>
      <c r="Z67" s="9" t="n">
        <v>4</v>
      </c>
      <c r="AB67" s="2">
        <f>ROUNDDOWN(LOG((X67+1),2),0)</f>
        <v/>
      </c>
      <c r="AC67" s="2">
        <f>ROUNDDOWN(LOG((Y67+1),2),0)</f>
        <v/>
      </c>
      <c r="AD67" s="2">
        <f>ROUNDDOWN(LOG((Z67+1),2),0)</f>
        <v/>
      </c>
      <c r="AG67" s="64" t="n">
        <v>71</v>
      </c>
      <c r="AH67" s="9" t="n">
        <v>0</v>
      </c>
      <c r="AI67" s="9" t="n">
        <v>3</v>
      </c>
      <c r="AJ67" s="9" t="n">
        <v>2</v>
      </c>
      <c r="AQ67" s="64" t="n">
        <v>71</v>
      </c>
      <c r="AR67" s="64" t="n">
        <v>61.114</v>
      </c>
      <c r="AS67" s="64" t="n">
        <v>49.637</v>
      </c>
      <c r="AT67" s="64" t="n">
        <v>61.122</v>
      </c>
      <c r="AV67" s="64" t="n">
        <v>71</v>
      </c>
      <c r="AW67" s="64">
        <f>Beginning_stock!AT95</f>
        <v/>
      </c>
      <c r="AX67" s="64">
        <f>Beginning_stock!AU95</f>
        <v/>
      </c>
      <c r="AY67" s="64">
        <f>Beginning_stock!AV95</f>
        <v/>
      </c>
      <c r="BA67" s="64" t="n">
        <v>71</v>
      </c>
      <c r="BB67" s="64">
        <f>IF(Demand!AU84=Retailers_Cap!N67,"ret=0",(AW67/(Demand!AU84-Retailers_Cap!N67)))</f>
        <v/>
      </c>
      <c r="BC67" s="64">
        <f>IF(Demand!AV84=Retailers_Cap!O67,"ret=0",(AX67/(Demand!AV84-Retailers_Cap!O67)))</f>
        <v/>
      </c>
      <c r="BD67" s="64">
        <f>IF(Demand!AW84=Retailers_Cap!P67,"ret=0",(AY67/(Demand!AW84-Retailers_Cap!P67)))</f>
        <v/>
      </c>
      <c r="BF67" s="64" t="n">
        <v>71</v>
      </c>
      <c r="BG67" s="2">
        <f>IF(Demand!AU84&lt;=Retailers_Cap!N67,"ret=0",(IF(BB67&lt;=AR67+Distributors_Cap!$P$47,1,0)))</f>
        <v/>
      </c>
      <c r="BH67" s="2">
        <f>IF(Demand!AV84&lt;=Retailers_Cap!O67,"ret=0",(IF(BC67&lt;=AS67+Distributors_Cap!$P$47,1,0)))</f>
        <v/>
      </c>
      <c r="BI67" s="2">
        <f>IF(Demand!AW84&lt;=Retailers_Cap!P67,"ret=0",(IF(BD67&lt;=AT67+Distributors_Cap!$P$47,1,0)))</f>
        <v/>
      </c>
      <c r="BK67" s="64" t="n">
        <v>71</v>
      </c>
      <c r="BL67" s="64">
        <f>Retailers!BH66</f>
        <v/>
      </c>
      <c r="BM67" s="64">
        <f>Retailers!BI66</f>
        <v/>
      </c>
      <c r="BN67" s="64">
        <f>Retailers!BJ66</f>
        <v/>
      </c>
      <c r="BP67" s="64" t="n">
        <v>71</v>
      </c>
      <c r="BQ67" s="64">
        <f>#REF!</f>
        <v/>
      </c>
      <c r="BR67" s="64">
        <f>#REF!</f>
        <v/>
      </c>
      <c r="BS67" s="64">
        <f>#REF!</f>
        <v/>
      </c>
      <c r="BU67" s="64" t="n">
        <v>71</v>
      </c>
      <c r="BV67" s="64">
        <f>Retailers!AS66</f>
        <v/>
      </c>
      <c r="BW67" s="64">
        <f>Retailers!AT66</f>
        <v/>
      </c>
      <c r="BX67" s="64">
        <f>Retailers!AU66</f>
        <v/>
      </c>
      <c r="BZ67" s="64" t="n">
        <v>71</v>
      </c>
      <c r="CA67" s="64">
        <f>Results!#REF!</f>
        <v/>
      </c>
      <c r="CB67" s="64">
        <f>Results!#REF!</f>
        <v/>
      </c>
      <c r="CC67" s="64">
        <f>Results!#REF!</f>
        <v/>
      </c>
      <c r="CE67" s="64" t="n">
        <v>71</v>
      </c>
      <c r="CF67" s="64">
        <f>Retailers!BN66</f>
        <v/>
      </c>
      <c r="CG67" s="64">
        <f>Retailers!BO66</f>
        <v/>
      </c>
      <c r="CH67" s="64">
        <f>Retailers!BP66</f>
        <v/>
      </c>
      <c r="CJ67" s="64" t="n">
        <v>71</v>
      </c>
      <c r="CK67" s="64">
        <f>IF(BB67="ret=0",0,IF(BB67&gt;0,AR67+Distributors_Cap!$P$47-BB67,0))</f>
        <v/>
      </c>
      <c r="CL67" s="64">
        <f>IF(BC67="ret=0",0,IF(BC67&gt;0,AS67+Distributors_Cap!$P$47-BC67,0))</f>
        <v/>
      </c>
      <c r="CM67" s="64">
        <f>IF(BD67="ret=0",0,IF(BD67&gt;0,AT67+Distributors_Cap!$P$47-BD67,0))</f>
        <v/>
      </c>
    </row>
    <row r="68">
      <c r="G68" s="64" t="n">
        <v>72</v>
      </c>
      <c r="H68" s="64" t="n">
        <v>59.499</v>
      </c>
      <c r="I68" s="64" t="n">
        <v>47.473</v>
      </c>
      <c r="J68" s="64" t="n">
        <v>72.15000000000001</v>
      </c>
      <c r="L68" s="64">
        <f>TRUNC((_xlfn.NORM.INV((RAND()),$K$7,$K$8)),0)</f>
        <v/>
      </c>
      <c r="M68" s="64" t="n">
        <v>72</v>
      </c>
      <c r="N68" s="5" t="n">
        <v>22</v>
      </c>
      <c r="O68" s="5" t="n">
        <v>35</v>
      </c>
      <c r="P68" s="5" t="n">
        <v>25</v>
      </c>
      <c r="R68" s="2">
        <f>IF(N68&gt;Demand!AU85,0,(IF(((2*(Retailers!AJ67+Distributors_Cap!$P$47)-Retailers_Cap!$BB$7)*(Demand!AU85-Retailers_Cap!N68))&lt;0,0,((IF(BB68&gt;2*(Retailers!AJ67+Distributors_Cap!$P$47),0,(IF(BG68=0,ROUNDUP((2*(Retailers!AJ67+Distributors_Cap!$P$47)-BB68)^0.5,0),ROUNDUP((2*(Retailers!AJ67+Distributors_Cap!$P$47)-BB68)^0.5,0)))))))))</f>
        <v/>
      </c>
      <c r="S68" s="2">
        <f>IF(O68&gt;Demand!AV85,0,(IF(((2*(Retailers!AK67+Distributors_Cap!$P$47)-Retailers_Cap!$BB$7)*(Demand!AV85-Retailers_Cap!O68))&lt;0,0,((IF(BC68&gt;2*(Retailers!AK67+Distributors_Cap!$P$47),0,(IF(BH68=0,ROUNDUP((2*(Retailers!AK67+Distributors_Cap!$P$47)-BC68)^0.5,0),ROUNDUP((2*(Retailers!AK67+Distributors_Cap!$P$47)-BC68)^0.5,0)))))))))</f>
        <v/>
      </c>
      <c r="T68" s="2">
        <f>IF(P68&gt;Demand!AW85,0,(IF(((2*(Retailers!AL67+Distributors_Cap!$P$47)-Retailers_Cap!$BB$7)*(Demand!AW85-Retailers_Cap!P68))&lt;0,0,((IF(BD68&gt;2*(Retailers!AL67+Distributors_Cap!$P$47),0,(IF(BI68=0,ROUNDUP((2*(Retailers!AL67+Distributors_Cap!$P$47)-BD68)^0.5,0),ROUNDUP((2*(Retailers!AL67+Distributors_Cap!$P$47)-BD68)^0.5,0)))))))))</f>
        <v/>
      </c>
      <c r="W68" s="64" t="n">
        <v>72</v>
      </c>
      <c r="X68" s="9" t="n">
        <v>0</v>
      </c>
      <c r="Y68" s="9" t="n">
        <v>0</v>
      </c>
      <c r="Z68" s="9" t="n">
        <v>14</v>
      </c>
      <c r="AB68" s="2">
        <f>ROUNDDOWN(LOG((X68+1),2),0)</f>
        <v/>
      </c>
      <c r="AC68" s="2">
        <f>ROUNDDOWN(LOG((Y68+1),2),0)</f>
        <v/>
      </c>
      <c r="AD68" s="2">
        <f>ROUNDDOWN(LOG((Z68+1),2),0)</f>
        <v/>
      </c>
      <c r="AG68" s="64" t="n">
        <v>72</v>
      </c>
      <c r="AH68" s="9" t="n">
        <v>0</v>
      </c>
      <c r="AI68" s="9" t="n">
        <v>0</v>
      </c>
      <c r="AJ68" s="9" t="n">
        <v>3</v>
      </c>
      <c r="AQ68" s="64" t="n">
        <v>72</v>
      </c>
      <c r="AR68" s="64" t="n">
        <v>59.499</v>
      </c>
      <c r="AS68" s="64" t="n">
        <v>47.473</v>
      </c>
      <c r="AT68" s="64" t="n">
        <v>72.15000000000001</v>
      </c>
      <c r="AV68" s="64" t="n">
        <v>72</v>
      </c>
      <c r="AW68" s="64">
        <f>Beginning_stock!AT96</f>
        <v/>
      </c>
      <c r="AX68" s="64">
        <f>Beginning_stock!AU96</f>
        <v/>
      </c>
      <c r="AY68" s="64">
        <f>Beginning_stock!AV96</f>
        <v/>
      </c>
      <c r="BA68" s="64" t="n">
        <v>72</v>
      </c>
      <c r="BB68" s="64">
        <f>IF(Demand!AU85=Retailers_Cap!N68,"ret=0",(AW68/(Demand!AU85-Retailers_Cap!N68)))</f>
        <v/>
      </c>
      <c r="BC68" s="64">
        <f>IF(Demand!AV85=Retailers_Cap!O68,"ret=0",(AX68/(Demand!AV85-Retailers_Cap!O68)))</f>
        <v/>
      </c>
      <c r="BD68" s="64">
        <f>IF(Demand!AW85=Retailers_Cap!P68,"ret=0",(AY68/(Demand!AW85-Retailers_Cap!P68)))</f>
        <v/>
      </c>
      <c r="BF68" s="64" t="n">
        <v>72</v>
      </c>
      <c r="BG68" s="2">
        <f>IF(Demand!AU85&lt;=Retailers_Cap!N68,"ret=0",(IF(BB68&lt;=AR68+Distributors_Cap!$P$47,1,0)))</f>
        <v/>
      </c>
      <c r="BH68" s="2">
        <f>IF(Demand!AV85&lt;=Retailers_Cap!O68,"ret=0",(IF(BC68&lt;=AS68+Distributors_Cap!$P$47,1,0)))</f>
        <v/>
      </c>
      <c r="BI68" s="2">
        <f>IF(Demand!AW85&lt;=Retailers_Cap!P68,"ret=0",(IF(BD68&lt;=AT68+Distributors_Cap!$P$47,1,0)))</f>
        <v/>
      </c>
      <c r="BK68" s="64" t="n">
        <v>72</v>
      </c>
      <c r="BL68" s="64">
        <f>Retailers!BH67</f>
        <v/>
      </c>
      <c r="BM68" s="64">
        <f>Retailers!BI67</f>
        <v/>
      </c>
      <c r="BN68" s="64">
        <f>Retailers!BJ67</f>
        <v/>
      </c>
      <c r="BP68" s="64" t="n">
        <v>72</v>
      </c>
      <c r="BQ68" s="64">
        <f>#REF!</f>
        <v/>
      </c>
      <c r="BR68" s="64">
        <f>#REF!</f>
        <v/>
      </c>
      <c r="BS68" s="64">
        <f>#REF!</f>
        <v/>
      </c>
      <c r="BU68" s="64" t="n">
        <v>72</v>
      </c>
      <c r="BV68" s="64">
        <f>Retailers!AS67</f>
        <v/>
      </c>
      <c r="BW68" s="64">
        <f>Retailers!AT67</f>
        <v/>
      </c>
      <c r="BX68" s="64">
        <f>Retailers!AU67</f>
        <v/>
      </c>
      <c r="BZ68" s="64" t="n">
        <v>72</v>
      </c>
      <c r="CA68" s="64">
        <f>Results!#REF!</f>
        <v/>
      </c>
      <c r="CB68" s="64">
        <f>Results!#REF!</f>
        <v/>
      </c>
      <c r="CC68" s="64">
        <f>Results!#REF!</f>
        <v/>
      </c>
      <c r="CE68" s="64" t="n">
        <v>72</v>
      </c>
      <c r="CF68" s="64">
        <f>Retailers!BN67</f>
        <v/>
      </c>
      <c r="CG68" s="64">
        <f>Retailers!BO67</f>
        <v/>
      </c>
      <c r="CH68" s="64">
        <f>Retailers!BP67</f>
        <v/>
      </c>
      <c r="CJ68" s="64" t="n">
        <v>72</v>
      </c>
      <c r="CK68" s="64">
        <f>IF(BB68="ret=0",0,IF(BB68&gt;0,AR68+Distributors_Cap!$P$47-BB68,0))</f>
        <v/>
      </c>
      <c r="CL68" s="64">
        <f>IF(BC68="ret=0",0,IF(BC68&gt;0,AS68+Distributors_Cap!$P$47-BC68,0))</f>
        <v/>
      </c>
      <c r="CM68" s="64">
        <f>IF(BD68="ret=0",0,IF(BD68&gt;0,AT68+Distributors_Cap!$P$47-BD68,0))</f>
        <v/>
      </c>
    </row>
    <row r="69">
      <c r="G69" s="64" t="n">
        <v>73</v>
      </c>
      <c r="H69" s="64" t="n">
        <v>63.459</v>
      </c>
      <c r="I69" s="64" t="n">
        <v>73.873</v>
      </c>
      <c r="J69" s="64" t="n">
        <v>65.596</v>
      </c>
      <c r="L69" s="64">
        <f>TRUNC((_xlfn.NORM.INV((RAND()),$K$7,$K$8)),0)</f>
        <v/>
      </c>
      <c r="M69" s="64" t="n">
        <v>73</v>
      </c>
      <c r="N69" s="5" t="n">
        <v>22</v>
      </c>
      <c r="O69" s="5" t="n">
        <v>20</v>
      </c>
      <c r="P69" s="5" t="n">
        <v>23</v>
      </c>
      <c r="R69" s="2">
        <f>IF(N69&gt;Demand!AU86,0,(IF(((2*(Retailers!AJ68+Distributors_Cap!$P$47)-Retailers_Cap!$BB$7)*(Demand!AU86-Retailers_Cap!N69))&lt;0,0,((IF(BB69&gt;2*(Retailers!AJ68+Distributors_Cap!$P$47),0,(IF(BG69=0,ROUNDUP((2*(Retailers!AJ68+Distributors_Cap!$P$47)-BB69)^0.5,0),ROUNDUP((2*(Retailers!AJ68+Distributors_Cap!$P$47)-BB69)^0.5,0)))))))))</f>
        <v/>
      </c>
      <c r="S69" s="2">
        <f>IF(O69&gt;Demand!AV86,0,(IF(((2*(Retailers!AK68+Distributors_Cap!$P$47)-Retailers_Cap!$BB$7)*(Demand!AV86-Retailers_Cap!O69))&lt;0,0,((IF(BC69&gt;2*(Retailers!AK68+Distributors_Cap!$P$47),0,(IF(BH69=0,ROUNDUP((2*(Retailers!AK68+Distributors_Cap!$P$47)-BC69)^0.5,0),ROUNDUP((2*(Retailers!AK68+Distributors_Cap!$P$47)-BC69)^0.5,0)))))))))</f>
        <v/>
      </c>
      <c r="T69" s="2">
        <f>IF(P69&gt;Demand!AW86,0,(IF(((2*(Retailers!AL68+Distributors_Cap!$P$47)-Retailers_Cap!$BB$7)*(Demand!AW86-Retailers_Cap!P69))&lt;0,0,((IF(BD69&gt;2*(Retailers!AL68+Distributors_Cap!$P$47),0,(IF(BI69=0,ROUNDUP((2*(Retailers!AL68+Distributors_Cap!$P$47)-BD69)^0.5,0),ROUNDUP((2*(Retailers!AL68+Distributors_Cap!$P$47)-BD69)^0.5,0)))))))))</f>
        <v/>
      </c>
      <c r="W69" s="64" t="n">
        <v>73</v>
      </c>
      <c r="X69" s="9" t="n">
        <v>13</v>
      </c>
      <c r="Y69" s="9" t="n">
        <v>0</v>
      </c>
      <c r="Z69" s="9" t="n">
        <v>0</v>
      </c>
      <c r="AB69" s="2">
        <f>ROUNDDOWN(LOG((X69+1),2),0)</f>
        <v/>
      </c>
      <c r="AC69" s="2">
        <f>ROUNDDOWN(LOG((Y69+1),2),0)</f>
        <v/>
      </c>
      <c r="AD69" s="2">
        <f>ROUNDDOWN(LOG((Z69+1),2),0)</f>
        <v/>
      </c>
      <c r="AG69" s="64" t="n">
        <v>73</v>
      </c>
      <c r="AH69" s="9" t="n">
        <v>3</v>
      </c>
      <c r="AI69" s="9" t="n">
        <v>0</v>
      </c>
      <c r="AJ69" s="9" t="n">
        <v>0</v>
      </c>
      <c r="AQ69" s="64" t="n">
        <v>73</v>
      </c>
      <c r="AR69" s="64" t="n">
        <v>63.459</v>
      </c>
      <c r="AS69" s="64" t="n">
        <v>73.873</v>
      </c>
      <c r="AT69" s="64" t="n">
        <v>65.596</v>
      </c>
      <c r="AV69" s="64" t="n">
        <v>73</v>
      </c>
      <c r="AW69" s="64">
        <f>Beginning_stock!AT97</f>
        <v/>
      </c>
      <c r="AX69" s="64">
        <f>Beginning_stock!AU97</f>
        <v/>
      </c>
      <c r="AY69" s="64">
        <f>Beginning_stock!AV97</f>
        <v/>
      </c>
      <c r="BA69" s="64" t="n">
        <v>73</v>
      </c>
      <c r="BB69" s="64">
        <f>IF(Demand!AU86=Retailers_Cap!N69,"ret=0",(AW69/(Demand!AU86-Retailers_Cap!N69)))</f>
        <v/>
      </c>
      <c r="BC69" s="64">
        <f>IF(Demand!AV86=Retailers_Cap!O69,"ret=0",(AX69/(Demand!AV86-Retailers_Cap!O69)))</f>
        <v/>
      </c>
      <c r="BD69" s="64">
        <f>IF(Demand!AW86=Retailers_Cap!P69,"ret=0",(AY69/(Demand!AW86-Retailers_Cap!P69)))</f>
        <v/>
      </c>
      <c r="BF69" s="64" t="n">
        <v>73</v>
      </c>
      <c r="BG69" s="2">
        <f>IF(Demand!AU86&lt;=Retailers_Cap!N69,"ret=0",(IF(BB69&lt;=AR69+Distributors_Cap!$P$47,1,0)))</f>
        <v/>
      </c>
      <c r="BH69" s="2">
        <f>IF(Demand!AV86&lt;=Retailers_Cap!O69,"ret=0",(IF(BC69&lt;=AS69+Distributors_Cap!$P$47,1,0)))</f>
        <v/>
      </c>
      <c r="BI69" s="2">
        <f>IF(Demand!AW86&lt;=Retailers_Cap!P69,"ret=0",(IF(BD69&lt;=AT69+Distributors_Cap!$P$47,1,0)))</f>
        <v/>
      </c>
      <c r="BK69" s="64" t="n">
        <v>73</v>
      </c>
      <c r="BL69" s="64">
        <f>Retailers!BH68</f>
        <v/>
      </c>
      <c r="BM69" s="64">
        <f>Retailers!BI68</f>
        <v/>
      </c>
      <c r="BN69" s="64">
        <f>Retailers!BJ68</f>
        <v/>
      </c>
      <c r="BP69" s="64" t="n">
        <v>73</v>
      </c>
      <c r="BQ69" s="64">
        <f>#REF!</f>
        <v/>
      </c>
      <c r="BR69" s="64">
        <f>#REF!</f>
        <v/>
      </c>
      <c r="BS69" s="64">
        <f>#REF!</f>
        <v/>
      </c>
      <c r="BU69" s="64" t="n">
        <v>73</v>
      </c>
      <c r="BV69" s="64">
        <f>Retailers!AS68</f>
        <v/>
      </c>
      <c r="BW69" s="64">
        <f>Retailers!AT68</f>
        <v/>
      </c>
      <c r="BX69" s="64">
        <f>Retailers!AU68</f>
        <v/>
      </c>
      <c r="BZ69" s="64" t="n">
        <v>73</v>
      </c>
      <c r="CA69" s="64">
        <f>Results!#REF!</f>
        <v/>
      </c>
      <c r="CB69" s="64">
        <f>Results!#REF!</f>
        <v/>
      </c>
      <c r="CC69" s="64">
        <f>Results!#REF!</f>
        <v/>
      </c>
      <c r="CE69" s="64" t="n">
        <v>73</v>
      </c>
      <c r="CF69" s="64">
        <f>Retailers!BN68</f>
        <v/>
      </c>
      <c r="CG69" s="64">
        <f>Retailers!BO68</f>
        <v/>
      </c>
      <c r="CH69" s="64">
        <f>Retailers!BP68</f>
        <v/>
      </c>
      <c r="CJ69" s="64" t="n">
        <v>73</v>
      </c>
      <c r="CK69" s="64">
        <f>IF(BB69="ret=0",0,IF(BB69&gt;0,AR69+Distributors_Cap!$P$47-BB69,0))</f>
        <v/>
      </c>
      <c r="CL69" s="64">
        <f>IF(BC69="ret=0",0,IF(BC69&gt;0,AS69+Distributors_Cap!$P$47-BC69,0))</f>
        <v/>
      </c>
      <c r="CM69" s="64">
        <f>IF(BD69="ret=0",0,IF(BD69&gt;0,AT69+Distributors_Cap!$P$47-BD69,0))</f>
        <v/>
      </c>
    </row>
    <row r="70">
      <c r="G70" s="64" t="n">
        <v>74</v>
      </c>
      <c r="H70" s="64" t="n">
        <v>75.883</v>
      </c>
      <c r="I70" s="64" t="n">
        <v>67.568</v>
      </c>
      <c r="J70" s="64" t="n">
        <v>52.956</v>
      </c>
      <c r="L70" s="64">
        <f>TRUNC((_xlfn.NORM.INV((RAND()),$K$7,$K$8)),0)</f>
        <v/>
      </c>
      <c r="M70" s="64" t="n">
        <v>74</v>
      </c>
      <c r="N70" s="5" t="n">
        <v>37</v>
      </c>
      <c r="O70" s="5" t="n">
        <v>28</v>
      </c>
      <c r="P70" s="5" t="n">
        <v>30</v>
      </c>
      <c r="R70" s="2">
        <f>IF(N70&gt;Demand!AU87,0,(IF(((2*(Retailers!AJ69+Distributors_Cap!$P$47)-Retailers_Cap!$BB$7)*(Demand!AU87-Retailers_Cap!N70))&lt;0,0,((IF(BB70&gt;2*(Retailers!AJ69+Distributors_Cap!$P$47),0,(IF(BG70=0,ROUNDUP((2*(Retailers!AJ69+Distributors_Cap!$P$47)-BB70)^0.5,0),ROUNDUP((2*(Retailers!AJ69+Distributors_Cap!$P$47)-BB70)^0.5,0)))))))))</f>
        <v/>
      </c>
      <c r="S70" s="2">
        <f>IF(O70&gt;Demand!AV87,0,(IF(((2*(Retailers!AK69+Distributors_Cap!$P$47)-Retailers_Cap!$BB$7)*(Demand!AV87-Retailers_Cap!O70))&lt;0,0,((IF(BC70&gt;2*(Retailers!AK69+Distributors_Cap!$P$47),0,(IF(BH70=0,ROUNDUP((2*(Retailers!AK69+Distributors_Cap!$P$47)-BC70)^0.5,0),ROUNDUP((2*(Retailers!AK69+Distributors_Cap!$P$47)-BC70)^0.5,0)))))))))</f>
        <v/>
      </c>
      <c r="T70" s="2">
        <f>IF(P70&gt;Demand!AW87,0,(IF(((2*(Retailers!AL69+Distributors_Cap!$P$47)-Retailers_Cap!$BB$7)*(Demand!AW87-Retailers_Cap!P70))&lt;0,0,((IF(BD70&gt;2*(Retailers!AL69+Distributors_Cap!$P$47),0,(IF(BI70=0,ROUNDUP((2*(Retailers!AL69+Distributors_Cap!$P$47)-BD70)^0.5,0),ROUNDUP((2*(Retailers!AL69+Distributors_Cap!$P$47)-BD70)^0.5,0)))))))))</f>
        <v/>
      </c>
      <c r="W70" s="64" t="n">
        <v>74</v>
      </c>
      <c r="X70" s="9" t="n">
        <v>0</v>
      </c>
      <c r="Y70" s="9" t="n">
        <v>11</v>
      </c>
      <c r="Z70" s="9" t="n">
        <v>12</v>
      </c>
      <c r="AB70" s="2">
        <f>ROUNDDOWN(LOG((X70+1),2),0)</f>
        <v/>
      </c>
      <c r="AC70" s="2">
        <f>ROUNDDOWN(LOG((Y70+1),2),0)</f>
        <v/>
      </c>
      <c r="AD70" s="2">
        <f>ROUNDDOWN(LOG((Z70+1),2),0)</f>
        <v/>
      </c>
      <c r="AG70" s="64" t="n">
        <v>74</v>
      </c>
      <c r="AH70" s="9" t="n">
        <v>0</v>
      </c>
      <c r="AI70" s="9" t="n">
        <v>3</v>
      </c>
      <c r="AJ70" s="9" t="n">
        <v>3</v>
      </c>
      <c r="AQ70" s="64" t="n">
        <v>74</v>
      </c>
      <c r="AR70" s="64" t="n">
        <v>75.883</v>
      </c>
      <c r="AS70" s="64" t="n">
        <v>67.568</v>
      </c>
      <c r="AT70" s="64" t="n">
        <v>52.956</v>
      </c>
      <c r="AV70" s="64" t="n">
        <v>74</v>
      </c>
      <c r="AW70" s="64">
        <f>Beginning_stock!AT98</f>
        <v/>
      </c>
      <c r="AX70" s="64">
        <f>Beginning_stock!AU98</f>
        <v/>
      </c>
      <c r="AY70" s="64">
        <f>Beginning_stock!AV98</f>
        <v/>
      </c>
      <c r="BA70" s="64" t="n">
        <v>74</v>
      </c>
      <c r="BB70" s="64">
        <f>IF(Demand!AU87=Retailers_Cap!N70,"ret=0",(AW70/(Demand!AU87-Retailers_Cap!N70)))</f>
        <v/>
      </c>
      <c r="BC70" s="64">
        <f>IF(Demand!AV87=Retailers_Cap!O70,"ret=0",(AX70/(Demand!AV87-Retailers_Cap!O70)))</f>
        <v/>
      </c>
      <c r="BD70" s="64">
        <f>IF(Demand!AW87=Retailers_Cap!P70,"ret=0",(AY70/(Demand!AW87-Retailers_Cap!P70)))</f>
        <v/>
      </c>
      <c r="BF70" s="64" t="n">
        <v>74</v>
      </c>
      <c r="BG70" s="2">
        <f>IF(Demand!AU87&lt;=Retailers_Cap!N70,"ret=0",(IF(BB70&lt;=AR70+Distributors_Cap!$P$47,1,0)))</f>
        <v/>
      </c>
      <c r="BH70" s="2">
        <f>IF(Demand!AV87&lt;=Retailers_Cap!O70,"ret=0",(IF(BC70&lt;=AS70+Distributors_Cap!$P$47,1,0)))</f>
        <v/>
      </c>
      <c r="BI70" s="2">
        <f>IF(Demand!AW87&lt;=Retailers_Cap!P70,"ret=0",(IF(BD70&lt;=AT70+Distributors_Cap!$P$47,1,0)))</f>
        <v/>
      </c>
      <c r="BK70" s="64" t="n">
        <v>74</v>
      </c>
      <c r="BL70" s="64">
        <f>Retailers!BH69</f>
        <v/>
      </c>
      <c r="BM70" s="64">
        <f>Retailers!BI69</f>
        <v/>
      </c>
      <c r="BN70" s="64">
        <f>Retailers!BJ69</f>
        <v/>
      </c>
      <c r="BP70" s="64" t="n">
        <v>74</v>
      </c>
      <c r="BQ70" s="64">
        <f>#REF!</f>
        <v/>
      </c>
      <c r="BR70" s="64">
        <f>#REF!</f>
        <v/>
      </c>
      <c r="BS70" s="64">
        <f>#REF!</f>
        <v/>
      </c>
      <c r="BU70" s="64" t="n">
        <v>74</v>
      </c>
      <c r="BV70" s="64">
        <f>Retailers!AS69</f>
        <v/>
      </c>
      <c r="BW70" s="64">
        <f>Retailers!AT69</f>
        <v/>
      </c>
      <c r="BX70" s="64">
        <f>Retailers!AU69</f>
        <v/>
      </c>
      <c r="BZ70" s="64" t="n">
        <v>74</v>
      </c>
      <c r="CA70" s="64">
        <f>Results!#REF!</f>
        <v/>
      </c>
      <c r="CB70" s="64">
        <f>Results!#REF!</f>
        <v/>
      </c>
      <c r="CC70" s="64">
        <f>Results!#REF!</f>
        <v/>
      </c>
      <c r="CE70" s="64" t="n">
        <v>74</v>
      </c>
      <c r="CF70" s="64">
        <f>Retailers!BN69</f>
        <v/>
      </c>
      <c r="CG70" s="64">
        <f>Retailers!BO69</f>
        <v/>
      </c>
      <c r="CH70" s="64">
        <f>Retailers!BP69</f>
        <v/>
      </c>
      <c r="CJ70" s="64" t="n">
        <v>74</v>
      </c>
      <c r="CK70" s="64">
        <f>IF(BB70="ret=0",0,IF(BB70&gt;0,AR70+Distributors_Cap!$P$47-BB70,0))</f>
        <v/>
      </c>
      <c r="CL70" s="64">
        <f>IF(BC70="ret=0",0,IF(BC70&gt;0,AS70+Distributors_Cap!$P$47-BC70,0))</f>
        <v/>
      </c>
      <c r="CM70" s="64">
        <f>IF(BD70="ret=0",0,IF(BD70&gt;0,AT70+Distributors_Cap!$P$47-BD70,0))</f>
        <v/>
      </c>
    </row>
    <row r="71">
      <c r="G71" s="64" t="n">
        <v>75</v>
      </c>
      <c r="H71" s="64" t="n">
        <v>59.17</v>
      </c>
      <c r="I71" s="64" t="n">
        <v>63.307</v>
      </c>
      <c r="J71" s="64" t="n">
        <v>42.014</v>
      </c>
      <c r="L71" s="64">
        <f>TRUNC((_xlfn.NORM.INV((RAND()),$K$7,$K$8)),0)</f>
        <v/>
      </c>
      <c r="M71" s="64" t="n">
        <v>75</v>
      </c>
      <c r="N71" s="5" t="n">
        <v>33</v>
      </c>
      <c r="O71" s="5" t="n">
        <v>22</v>
      </c>
      <c r="P71" s="5" t="n">
        <v>28</v>
      </c>
      <c r="R71" s="2">
        <f>IF(N71&gt;Demand!AU88,0,(IF(((2*(Retailers!AJ70+Distributors_Cap!$P$47)-Retailers_Cap!$BB$7)*(Demand!AU88-Retailers_Cap!N71))&lt;0,0,((IF(BB71&gt;2*(Retailers!AJ70+Distributors_Cap!$P$47),0,(IF(BG71=0,ROUNDUP((2*(Retailers!AJ70+Distributors_Cap!$P$47)-BB71)^0.5,0),ROUNDUP((2*(Retailers!AJ70+Distributors_Cap!$P$47)-BB71)^0.5,0)))))))))</f>
        <v/>
      </c>
      <c r="S71" s="2">
        <f>IF(O71&gt;Demand!AV88,0,(IF(((2*(Retailers!AK70+Distributors_Cap!$P$47)-Retailers_Cap!$BB$7)*(Demand!AV88-Retailers_Cap!O71))&lt;0,0,((IF(BC71&gt;2*(Retailers!AK70+Distributors_Cap!$P$47),0,(IF(BH71=0,ROUNDUP((2*(Retailers!AK70+Distributors_Cap!$P$47)-BC71)^0.5,0),ROUNDUP((2*(Retailers!AK70+Distributors_Cap!$P$47)-BC71)^0.5,0)))))))))</f>
        <v/>
      </c>
      <c r="T71" s="2">
        <f>IF(P71&gt;Demand!AW88,0,(IF(((2*(Retailers!AL70+Distributors_Cap!$P$47)-Retailers_Cap!$BB$7)*(Demand!AW88-Retailers_Cap!P71))&lt;0,0,((IF(BD71&gt;2*(Retailers!AL70+Distributors_Cap!$P$47),0,(IF(BI71=0,ROUNDUP((2*(Retailers!AL70+Distributors_Cap!$P$47)-BD71)^0.5,0),ROUNDUP((2*(Retailers!AL70+Distributors_Cap!$P$47)-BD71)^0.5,0)))))))))</f>
        <v/>
      </c>
      <c r="W71" s="64" t="n">
        <v>75</v>
      </c>
      <c r="X71" s="9" t="n">
        <v>12</v>
      </c>
      <c r="Y71" s="9" t="n">
        <v>0</v>
      </c>
      <c r="Z71" s="9" t="n">
        <v>12</v>
      </c>
      <c r="AB71" s="2">
        <f>ROUNDDOWN(LOG((X71+1),2),0)</f>
        <v/>
      </c>
      <c r="AC71" s="2">
        <f>ROUNDDOWN(LOG((Y71+1),2),0)</f>
        <v/>
      </c>
      <c r="AD71" s="2">
        <f>ROUNDDOWN(LOG((Z71+1),2),0)</f>
        <v/>
      </c>
      <c r="AG71" s="64" t="n">
        <v>75</v>
      </c>
      <c r="AH71" s="9" t="n">
        <v>3</v>
      </c>
      <c r="AI71" s="9" t="n">
        <v>0</v>
      </c>
      <c r="AJ71" s="9" t="n">
        <v>3</v>
      </c>
      <c r="AQ71" s="64" t="n">
        <v>75</v>
      </c>
      <c r="AR71" s="64" t="n">
        <v>59.17</v>
      </c>
      <c r="AS71" s="64" t="n">
        <v>63.307</v>
      </c>
      <c r="AT71" s="64" t="n">
        <v>42.014</v>
      </c>
      <c r="AV71" s="64" t="n">
        <v>75</v>
      </c>
      <c r="AW71" s="64">
        <f>Beginning_stock!AT99</f>
        <v/>
      </c>
      <c r="AX71" s="64">
        <f>Beginning_stock!AU99</f>
        <v/>
      </c>
      <c r="AY71" s="64">
        <f>Beginning_stock!AV99</f>
        <v/>
      </c>
      <c r="BA71" s="64" t="n">
        <v>75</v>
      </c>
      <c r="BB71" s="64">
        <f>IF(Demand!AU88=Retailers_Cap!N71,"ret=0",(AW71/(Demand!AU88-Retailers_Cap!N71)))</f>
        <v/>
      </c>
      <c r="BC71" s="64">
        <f>IF(Demand!AV88=Retailers_Cap!O71,"ret=0",(AX71/(Demand!AV88-Retailers_Cap!O71)))</f>
        <v/>
      </c>
      <c r="BD71" s="64">
        <f>IF(Demand!AW88=Retailers_Cap!P71,"ret=0",(AY71/(Demand!AW88-Retailers_Cap!P71)))</f>
        <v/>
      </c>
      <c r="BF71" s="64" t="n">
        <v>75</v>
      </c>
      <c r="BG71" s="2">
        <f>IF(Demand!AU88&lt;=Retailers_Cap!N71,"ret=0",(IF(BB71&lt;=AR71+Distributors_Cap!$P$47,1,0)))</f>
        <v/>
      </c>
      <c r="BH71" s="2">
        <f>IF(Demand!AV88&lt;=Retailers_Cap!O71,"ret=0",(IF(BC71&lt;=AS71+Distributors_Cap!$P$47,1,0)))</f>
        <v/>
      </c>
      <c r="BI71" s="2">
        <f>IF(Demand!AW88&lt;=Retailers_Cap!P71,"ret=0",(IF(BD71&lt;=AT71+Distributors_Cap!$P$47,1,0)))</f>
        <v/>
      </c>
      <c r="BK71" s="64" t="n">
        <v>75</v>
      </c>
      <c r="BL71" s="64">
        <f>Retailers!BH70</f>
        <v/>
      </c>
      <c r="BM71" s="64">
        <f>Retailers!BI70</f>
        <v/>
      </c>
      <c r="BN71" s="64">
        <f>Retailers!BJ70</f>
        <v/>
      </c>
      <c r="BP71" s="64" t="n">
        <v>75</v>
      </c>
      <c r="BQ71" s="64">
        <f>#REF!</f>
        <v/>
      </c>
      <c r="BR71" s="64">
        <f>#REF!</f>
        <v/>
      </c>
      <c r="BS71" s="64">
        <f>#REF!</f>
        <v/>
      </c>
      <c r="BU71" s="64" t="n">
        <v>75</v>
      </c>
      <c r="BV71" s="64">
        <f>Retailers!AS70</f>
        <v/>
      </c>
      <c r="BW71" s="64">
        <f>Retailers!AT70</f>
        <v/>
      </c>
      <c r="BX71" s="64">
        <f>Retailers!AU70</f>
        <v/>
      </c>
      <c r="BZ71" s="64" t="n">
        <v>75</v>
      </c>
      <c r="CA71" s="64">
        <f>Results!#REF!</f>
        <v/>
      </c>
      <c r="CB71" s="64">
        <f>Results!#REF!</f>
        <v/>
      </c>
      <c r="CC71" s="64">
        <f>Results!#REF!</f>
        <v/>
      </c>
      <c r="CE71" s="64" t="n">
        <v>75</v>
      </c>
      <c r="CF71" s="64">
        <f>Retailers!BN70</f>
        <v/>
      </c>
      <c r="CG71" s="64">
        <f>Retailers!BO70</f>
        <v/>
      </c>
      <c r="CH71" s="64">
        <f>Retailers!BP70</f>
        <v/>
      </c>
      <c r="CJ71" s="64" t="n">
        <v>75</v>
      </c>
      <c r="CK71" s="64">
        <f>IF(BB71="ret=0",0,IF(BB71&gt;0,AR71+Distributors_Cap!$P$47-BB71,0))</f>
        <v/>
      </c>
      <c r="CL71" s="64">
        <f>IF(BC71="ret=0",0,IF(BC71&gt;0,AS71+Distributors_Cap!$P$47-BC71,0))</f>
        <v/>
      </c>
      <c r="CM71" s="64">
        <f>IF(BD71="ret=0",0,IF(BD71&gt;0,AT71+Distributors_Cap!$P$47-BD71,0))</f>
        <v/>
      </c>
    </row>
    <row r="72">
      <c r="G72" s="64" t="n">
        <v>76</v>
      </c>
      <c r="H72" s="64" t="n">
        <v>59.302</v>
      </c>
      <c r="I72" s="64" t="n">
        <v>59.712</v>
      </c>
      <c r="J72" s="64" t="n">
        <v>58.993</v>
      </c>
      <c r="L72" s="64">
        <f>TRUNC((_xlfn.NORM.INV((RAND()),$K$7,$K$8)),0)</f>
        <v/>
      </c>
      <c r="M72" s="64" t="n">
        <v>76</v>
      </c>
      <c r="N72" s="5" t="n">
        <v>30</v>
      </c>
      <c r="O72" s="5" t="n">
        <v>40</v>
      </c>
      <c r="P72" s="5" t="n">
        <v>12</v>
      </c>
      <c r="R72" s="2">
        <f>IF(N72&gt;Demand!AU89,0,(IF(((2*(Retailers!AJ71+Distributors_Cap!$P$47)-Retailers_Cap!$BB$7)*(Demand!AU89-Retailers_Cap!N72))&lt;0,0,((IF(BB72&gt;2*(Retailers!AJ71+Distributors_Cap!$P$47),0,(IF(BG72=0,ROUNDUP((2*(Retailers!AJ71+Distributors_Cap!$P$47)-BB72)^0.5,0),ROUNDUP((2*(Retailers!AJ71+Distributors_Cap!$P$47)-BB72)^0.5,0)))))))))</f>
        <v/>
      </c>
      <c r="S72" s="2">
        <f>IF(O72&gt;Demand!AV89,0,(IF(((2*(Retailers!AK71+Distributors_Cap!$P$47)-Retailers_Cap!$BB$7)*(Demand!AV89-Retailers_Cap!O72))&lt;0,0,((IF(BC72&gt;2*(Retailers!AK71+Distributors_Cap!$P$47),0,(IF(BH72=0,ROUNDUP((2*(Retailers!AK71+Distributors_Cap!$P$47)-BC72)^0.5,0),ROUNDUP((2*(Retailers!AK71+Distributors_Cap!$P$47)-BC72)^0.5,0)))))))))</f>
        <v/>
      </c>
      <c r="T72" s="2">
        <f>IF(P72&gt;Demand!AW89,0,(IF(((2*(Retailers!AL71+Distributors_Cap!$P$47)-Retailers_Cap!$BB$7)*(Demand!AW89-Retailers_Cap!P72))&lt;0,0,((IF(BD72&gt;2*(Retailers!AL71+Distributors_Cap!$P$47),0,(IF(BI72=0,ROUNDUP((2*(Retailers!AL71+Distributors_Cap!$P$47)-BD72)^0.5,0),ROUNDUP((2*(Retailers!AL71+Distributors_Cap!$P$47)-BD72)^0.5,0)))))))))</f>
        <v/>
      </c>
      <c r="W72" s="64" t="n">
        <v>76</v>
      </c>
      <c r="X72" s="9" t="n">
        <v>5</v>
      </c>
      <c r="Y72" s="9" t="n">
        <v>0</v>
      </c>
      <c r="Z72" s="9" t="n">
        <v>13</v>
      </c>
      <c r="AB72" s="2">
        <f>ROUNDDOWN(LOG((X72+1),2),0)</f>
        <v/>
      </c>
      <c r="AC72" s="2">
        <f>ROUNDDOWN(LOG((Y72+1),2),0)</f>
        <v/>
      </c>
      <c r="AD72" s="2">
        <f>ROUNDDOWN(LOG((Z72+1),2),0)</f>
        <v/>
      </c>
      <c r="AG72" s="64" t="n">
        <v>76</v>
      </c>
      <c r="AH72" s="9" t="n">
        <v>2</v>
      </c>
      <c r="AI72" s="9" t="n">
        <v>0</v>
      </c>
      <c r="AJ72" s="9" t="n">
        <v>3</v>
      </c>
      <c r="AQ72" s="64" t="n">
        <v>76</v>
      </c>
      <c r="AR72" s="64" t="n">
        <v>59.302</v>
      </c>
      <c r="AS72" s="64" t="n">
        <v>59.712</v>
      </c>
      <c r="AT72" s="64" t="n">
        <v>58.993</v>
      </c>
      <c r="AV72" s="64" t="n">
        <v>76</v>
      </c>
      <c r="AW72" s="64">
        <f>Beginning_stock!AT100</f>
        <v/>
      </c>
      <c r="AX72" s="64">
        <f>Beginning_stock!AU100</f>
        <v/>
      </c>
      <c r="AY72" s="64">
        <f>Beginning_stock!AV100</f>
        <v/>
      </c>
      <c r="BA72" s="64" t="n">
        <v>76</v>
      </c>
      <c r="BB72" s="64">
        <f>IF(Demand!AU89=Retailers_Cap!N72,"ret=0",(AW72/(Demand!AU89-Retailers_Cap!N72)))</f>
        <v/>
      </c>
      <c r="BC72" s="64">
        <f>IF(Demand!AV89=Retailers_Cap!O72,"ret=0",(AX72/(Demand!AV89-Retailers_Cap!O72)))</f>
        <v/>
      </c>
      <c r="BD72" s="64">
        <f>IF(Demand!AW89=Retailers_Cap!P72,"ret=0",(AY72/(Demand!AW89-Retailers_Cap!P72)))</f>
        <v/>
      </c>
      <c r="BF72" s="64" t="n">
        <v>76</v>
      </c>
      <c r="BG72" s="2">
        <f>IF(Demand!AU89&lt;=Retailers_Cap!N72,"ret=0",(IF(BB72&lt;=AR72+Distributors_Cap!$P$47,1,0)))</f>
        <v/>
      </c>
      <c r="BH72" s="2">
        <f>IF(Demand!AV89&lt;=Retailers_Cap!O72,"ret=0",(IF(BC72&lt;=AS72+Distributors_Cap!$P$47,1,0)))</f>
        <v/>
      </c>
      <c r="BI72" s="2">
        <f>IF(Demand!AW89&lt;=Retailers_Cap!P72,"ret=0",(IF(BD72&lt;=AT72+Distributors_Cap!$P$47,1,0)))</f>
        <v/>
      </c>
      <c r="BK72" s="64" t="n">
        <v>76</v>
      </c>
      <c r="BL72" s="64">
        <f>Retailers!BH71</f>
        <v/>
      </c>
      <c r="BM72" s="64">
        <f>Retailers!BI71</f>
        <v/>
      </c>
      <c r="BN72" s="64">
        <f>Retailers!BJ71</f>
        <v/>
      </c>
      <c r="BP72" s="64" t="n">
        <v>76</v>
      </c>
      <c r="BQ72" s="64">
        <f>#REF!</f>
        <v/>
      </c>
      <c r="BR72" s="64">
        <f>#REF!</f>
        <v/>
      </c>
      <c r="BS72" s="64">
        <f>#REF!</f>
        <v/>
      </c>
      <c r="BU72" s="64" t="n">
        <v>76</v>
      </c>
      <c r="BV72" s="64">
        <f>Retailers!AS71</f>
        <v/>
      </c>
      <c r="BW72" s="64">
        <f>Retailers!AT71</f>
        <v/>
      </c>
      <c r="BX72" s="64">
        <f>Retailers!AU71</f>
        <v/>
      </c>
      <c r="BZ72" s="64" t="n">
        <v>76</v>
      </c>
      <c r="CA72" s="64">
        <f>Results!#REF!</f>
        <v/>
      </c>
      <c r="CB72" s="64">
        <f>Results!#REF!</f>
        <v/>
      </c>
      <c r="CC72" s="64">
        <f>Results!#REF!</f>
        <v/>
      </c>
      <c r="CE72" s="64" t="n">
        <v>76</v>
      </c>
      <c r="CF72" s="64">
        <f>Retailers!BN71</f>
        <v/>
      </c>
      <c r="CG72" s="64">
        <f>Retailers!BO71</f>
        <v/>
      </c>
      <c r="CH72" s="64">
        <f>Retailers!BP71</f>
        <v/>
      </c>
      <c r="CJ72" s="64" t="n">
        <v>76</v>
      </c>
      <c r="CK72" s="64">
        <f>IF(BB72="ret=0",0,IF(BB72&gt;0,AR72+Distributors_Cap!$P$47-BB72,0))</f>
        <v/>
      </c>
      <c r="CL72" s="64">
        <f>IF(BC72="ret=0",0,IF(BC72&gt;0,AS72+Distributors_Cap!$P$47-BC72,0))</f>
        <v/>
      </c>
      <c r="CM72" s="64">
        <f>IF(BD72="ret=0",0,IF(BD72&gt;0,AT72+Distributors_Cap!$P$47-BD72,0))</f>
        <v/>
      </c>
    </row>
    <row r="73">
      <c r="G73" s="64" t="n">
        <v>77</v>
      </c>
      <c r="H73" s="64" t="n">
        <v>66.357</v>
      </c>
      <c r="I73" s="64" t="n">
        <v>54.774</v>
      </c>
      <c r="J73" s="64" t="n">
        <v>61.446</v>
      </c>
      <c r="L73" s="64">
        <f>TRUNC((_xlfn.NORM.INV((RAND()),$K$7,$K$8)),0)</f>
        <v/>
      </c>
      <c r="M73" s="64" t="n">
        <v>77</v>
      </c>
      <c r="N73" s="5" t="n">
        <v>30</v>
      </c>
      <c r="O73" s="5" t="n">
        <v>24</v>
      </c>
      <c r="P73" s="5" t="n">
        <v>22</v>
      </c>
      <c r="R73" s="2">
        <f>IF(N73&gt;Demand!AU90,0,(IF(((2*(Retailers!AJ72+Distributors_Cap!$P$47)-Retailers_Cap!$BB$7)*(Demand!AU90-Retailers_Cap!N73))&lt;0,0,((IF(BB73&gt;2*(Retailers!AJ72+Distributors_Cap!$P$47),0,(IF(BG73=0,ROUNDUP((2*(Retailers!AJ72+Distributors_Cap!$P$47)-BB73)^0.5,0),ROUNDUP((2*(Retailers!AJ72+Distributors_Cap!$P$47)-BB73)^0.5,0)))))))))</f>
        <v/>
      </c>
      <c r="S73" s="2">
        <f>IF(O73&gt;Demand!AV90,0,(IF(((2*(Retailers!AK72+Distributors_Cap!$P$47)-Retailers_Cap!$BB$7)*(Demand!AV90-Retailers_Cap!O73))&lt;0,0,((IF(BC73&gt;2*(Retailers!AK72+Distributors_Cap!$P$47),0,(IF(BH73=0,ROUNDUP((2*(Retailers!AK72+Distributors_Cap!$P$47)-BC73)^0.5,0),ROUNDUP((2*(Retailers!AK72+Distributors_Cap!$P$47)-BC73)^0.5,0)))))))))</f>
        <v/>
      </c>
      <c r="T73" s="2">
        <f>IF(P73&gt;Demand!AW90,0,(IF(((2*(Retailers!AL72+Distributors_Cap!$P$47)-Retailers_Cap!$BB$7)*(Demand!AW90-Retailers_Cap!P73))&lt;0,0,((IF(BD73&gt;2*(Retailers!AL72+Distributors_Cap!$P$47),0,(IF(BI73=0,ROUNDUP((2*(Retailers!AL72+Distributors_Cap!$P$47)-BD73)^0.5,0),ROUNDUP((2*(Retailers!AL72+Distributors_Cap!$P$47)-BD73)^0.5,0)))))))))</f>
        <v/>
      </c>
      <c r="W73" s="64" t="n">
        <v>77</v>
      </c>
      <c r="X73" s="9" t="n">
        <v>0</v>
      </c>
      <c r="Y73" s="9" t="n">
        <v>0</v>
      </c>
      <c r="Z73" s="9" t="n">
        <v>0</v>
      </c>
      <c r="AB73" s="2">
        <f>ROUNDDOWN(LOG((X73+1),2),0)</f>
        <v/>
      </c>
      <c r="AC73" s="2">
        <f>ROUNDDOWN(LOG((Y73+1),2),0)</f>
        <v/>
      </c>
      <c r="AD73" s="2">
        <f>ROUNDDOWN(LOG((Z73+1),2),0)</f>
        <v/>
      </c>
      <c r="AG73" s="64" t="n">
        <v>77</v>
      </c>
      <c r="AH73" s="9" t="n">
        <v>0</v>
      </c>
      <c r="AI73" s="9" t="n">
        <v>0</v>
      </c>
      <c r="AJ73" s="9" t="n">
        <v>0</v>
      </c>
      <c r="AQ73" s="64" t="n">
        <v>77</v>
      </c>
      <c r="AR73" s="64" t="n">
        <v>66.357</v>
      </c>
      <c r="AS73" s="64" t="n">
        <v>54.774</v>
      </c>
      <c r="AT73" s="64" t="n">
        <v>61.446</v>
      </c>
      <c r="AV73" s="64" t="n">
        <v>77</v>
      </c>
      <c r="AW73" s="64">
        <f>Beginning_stock!AT101</f>
        <v/>
      </c>
      <c r="AX73" s="64">
        <f>Beginning_stock!AU101</f>
        <v/>
      </c>
      <c r="AY73" s="64">
        <f>Beginning_stock!AV101</f>
        <v/>
      </c>
      <c r="BA73" s="64" t="n">
        <v>77</v>
      </c>
      <c r="BB73" s="64">
        <f>IF(Demand!AU90=Retailers_Cap!N73,"ret=0",(AW73/(Demand!AU90-Retailers_Cap!N73)))</f>
        <v/>
      </c>
      <c r="BC73" s="64">
        <f>IF(Demand!AV90=Retailers_Cap!O73,"ret=0",(AX73/(Demand!AV90-Retailers_Cap!O73)))</f>
        <v/>
      </c>
      <c r="BD73" s="64">
        <f>IF(Demand!AW90=Retailers_Cap!P73,"ret=0",(AY73/(Demand!AW90-Retailers_Cap!P73)))</f>
        <v/>
      </c>
      <c r="BF73" s="64" t="n">
        <v>77</v>
      </c>
      <c r="BG73" s="2">
        <f>IF(Demand!AU90&lt;=Retailers_Cap!N73,"ret=0",(IF(BB73&lt;=AR73+Distributors_Cap!$P$47,1,0)))</f>
        <v/>
      </c>
      <c r="BH73" s="2">
        <f>IF(Demand!AV90&lt;=Retailers_Cap!O73,"ret=0",(IF(BC73&lt;=AS73+Distributors_Cap!$P$47,1,0)))</f>
        <v/>
      </c>
      <c r="BI73" s="2">
        <f>IF(Demand!AW90&lt;=Retailers_Cap!P73,"ret=0",(IF(BD73&lt;=AT73+Distributors_Cap!$P$47,1,0)))</f>
        <v/>
      </c>
      <c r="BK73" s="64" t="n">
        <v>77</v>
      </c>
      <c r="BL73" s="64">
        <f>Retailers!BH72</f>
        <v/>
      </c>
      <c r="BM73" s="64">
        <f>Retailers!BI72</f>
        <v/>
      </c>
      <c r="BN73" s="64">
        <f>Retailers!BJ72</f>
        <v/>
      </c>
      <c r="BP73" s="64" t="n">
        <v>77</v>
      </c>
      <c r="BQ73" s="64">
        <f>#REF!</f>
        <v/>
      </c>
      <c r="BR73" s="64">
        <f>#REF!</f>
        <v/>
      </c>
      <c r="BS73" s="64">
        <f>#REF!</f>
        <v/>
      </c>
      <c r="BU73" s="64" t="n">
        <v>77</v>
      </c>
      <c r="BV73" s="64">
        <f>Retailers!AS72</f>
        <v/>
      </c>
      <c r="BW73" s="64">
        <f>Retailers!AT72</f>
        <v/>
      </c>
      <c r="BX73" s="64">
        <f>Retailers!AU72</f>
        <v/>
      </c>
      <c r="BZ73" s="64" t="n">
        <v>77</v>
      </c>
      <c r="CA73" s="64">
        <f>Results!#REF!</f>
        <v/>
      </c>
      <c r="CB73" s="64">
        <f>Results!#REF!</f>
        <v/>
      </c>
      <c r="CC73" s="64">
        <f>Results!#REF!</f>
        <v/>
      </c>
      <c r="CE73" s="64" t="n">
        <v>77</v>
      </c>
      <c r="CF73" s="64">
        <f>Retailers!BN72</f>
        <v/>
      </c>
      <c r="CG73" s="64">
        <f>Retailers!BO72</f>
        <v/>
      </c>
      <c r="CH73" s="64">
        <f>Retailers!BP72</f>
        <v/>
      </c>
      <c r="CJ73" s="64" t="n">
        <v>77</v>
      </c>
      <c r="CK73" s="64">
        <f>IF(BB73="ret=0",0,IF(BB73&gt;0,AR73+Distributors_Cap!$P$47-BB73,0))</f>
        <v/>
      </c>
      <c r="CL73" s="64">
        <f>IF(BC73="ret=0",0,IF(BC73&gt;0,AS73+Distributors_Cap!$P$47-BC73,0))</f>
        <v/>
      </c>
      <c r="CM73" s="64">
        <f>IF(BD73="ret=0",0,IF(BD73&gt;0,AT73+Distributors_Cap!$P$47-BD73,0))</f>
        <v/>
      </c>
    </row>
    <row r="74">
      <c r="G74" s="64" t="n">
        <v>78</v>
      </c>
      <c r="H74" s="64" t="n">
        <v>47.284</v>
      </c>
      <c r="I74" s="64" t="n">
        <v>76.55200000000001</v>
      </c>
      <c r="J74" s="64" t="n">
        <v>51.357</v>
      </c>
      <c r="L74" s="64">
        <f>TRUNC((_xlfn.NORM.INV((RAND()),$K$7,$K$8)),0)</f>
        <v/>
      </c>
      <c r="M74" s="64" t="n">
        <v>78</v>
      </c>
      <c r="N74" s="5" t="n">
        <v>44</v>
      </c>
      <c r="O74" s="5" t="n">
        <v>25</v>
      </c>
      <c r="P74" s="5" t="n">
        <v>29</v>
      </c>
      <c r="R74" s="2">
        <f>IF(N74&gt;Demand!AU91,0,(IF(((2*(Retailers!AJ73+Distributors_Cap!$P$47)-Retailers_Cap!$BB$7)*(Demand!AU91-Retailers_Cap!N74))&lt;0,0,((IF(BB74&gt;2*(Retailers!AJ73+Distributors_Cap!$P$47),0,(IF(BG74=0,ROUNDUP((2*(Retailers!AJ73+Distributors_Cap!$P$47)-BB74)^0.5,0),ROUNDUP((2*(Retailers!AJ73+Distributors_Cap!$P$47)-BB74)^0.5,0)))))))))</f>
        <v/>
      </c>
      <c r="S74" s="2">
        <f>IF(O74&gt;Demand!AV91,0,(IF(((2*(Retailers!AK73+Distributors_Cap!$P$47)-Retailers_Cap!$BB$7)*(Demand!AV91-Retailers_Cap!O74))&lt;0,0,((IF(BC74&gt;2*(Retailers!AK73+Distributors_Cap!$P$47),0,(IF(BH74=0,ROUNDUP((2*(Retailers!AK73+Distributors_Cap!$P$47)-BC74)^0.5,0),ROUNDUP((2*(Retailers!AK73+Distributors_Cap!$P$47)-BC74)^0.5,0)))))))))</f>
        <v/>
      </c>
      <c r="T74" s="2">
        <f>IF(P74&gt;Demand!AW91,0,(IF(((2*(Retailers!AL73+Distributors_Cap!$P$47)-Retailers_Cap!$BB$7)*(Demand!AW91-Retailers_Cap!P74))&lt;0,0,((IF(BD74&gt;2*(Retailers!AL73+Distributors_Cap!$P$47),0,(IF(BI74=0,ROUNDUP((2*(Retailers!AL73+Distributors_Cap!$P$47)-BD74)^0.5,0),ROUNDUP((2*(Retailers!AL73+Distributors_Cap!$P$47)-BD74)^0.5,0)))))))))</f>
        <v/>
      </c>
      <c r="W74" s="64" t="n">
        <v>78</v>
      </c>
      <c r="X74" s="9" t="n">
        <v>0</v>
      </c>
      <c r="Y74" s="9" t="n">
        <v>14</v>
      </c>
      <c r="Z74" s="9" t="n">
        <v>11</v>
      </c>
      <c r="AB74" s="2">
        <f>ROUNDDOWN(LOG((X74+1),2),0)</f>
        <v/>
      </c>
      <c r="AC74" s="2">
        <f>ROUNDDOWN(LOG((Y74+1),2),0)</f>
        <v/>
      </c>
      <c r="AD74" s="2">
        <f>ROUNDDOWN(LOG((Z74+1),2),0)</f>
        <v/>
      </c>
      <c r="AG74" s="64" t="n">
        <v>78</v>
      </c>
      <c r="AH74" s="9" t="n">
        <v>0</v>
      </c>
      <c r="AI74" s="9" t="n">
        <v>3</v>
      </c>
      <c r="AJ74" s="9" t="n">
        <v>3</v>
      </c>
      <c r="AQ74" s="64" t="n">
        <v>78</v>
      </c>
      <c r="AR74" s="64" t="n">
        <v>47.284</v>
      </c>
      <c r="AS74" s="64" t="n">
        <v>76.55200000000001</v>
      </c>
      <c r="AT74" s="64" t="n">
        <v>51.357</v>
      </c>
      <c r="AV74" s="64" t="n">
        <v>78</v>
      </c>
      <c r="AW74" s="64">
        <f>Beginning_stock!AT102</f>
        <v/>
      </c>
      <c r="AX74" s="64">
        <f>Beginning_stock!AU102</f>
        <v/>
      </c>
      <c r="AY74" s="64">
        <f>Beginning_stock!AV102</f>
        <v/>
      </c>
      <c r="BA74" s="64" t="n">
        <v>78</v>
      </c>
      <c r="BB74" s="64">
        <f>IF(Demand!AU91=Retailers_Cap!N74,"ret=0",(AW74/(Demand!AU91-Retailers_Cap!N74)))</f>
        <v/>
      </c>
      <c r="BC74" s="64">
        <f>IF(Demand!AV91=Retailers_Cap!O74,"ret=0",(AX74/(Demand!AV91-Retailers_Cap!O74)))</f>
        <v/>
      </c>
      <c r="BD74" s="64">
        <f>IF(Demand!AW91=Retailers_Cap!P74,"ret=0",(AY74/(Demand!AW91-Retailers_Cap!P74)))</f>
        <v/>
      </c>
      <c r="BF74" s="64" t="n">
        <v>78</v>
      </c>
      <c r="BG74" s="2">
        <f>IF(Demand!AU91&lt;=Retailers_Cap!N74,"ret=0",(IF(BB74&lt;=AR74+Distributors_Cap!$P$47,1,0)))</f>
        <v/>
      </c>
      <c r="BH74" s="2">
        <f>IF(Demand!AV91&lt;=Retailers_Cap!O74,"ret=0",(IF(BC74&lt;=AS74+Distributors_Cap!$P$47,1,0)))</f>
        <v/>
      </c>
      <c r="BI74" s="2">
        <f>IF(Demand!AW91&lt;=Retailers_Cap!P74,"ret=0",(IF(BD74&lt;=AT74+Distributors_Cap!$P$47,1,0)))</f>
        <v/>
      </c>
      <c r="BK74" s="64" t="n">
        <v>78</v>
      </c>
      <c r="BL74" s="64">
        <f>Retailers!BH73</f>
        <v/>
      </c>
      <c r="BM74" s="64">
        <f>Retailers!BI73</f>
        <v/>
      </c>
      <c r="BN74" s="64">
        <f>Retailers!BJ73</f>
        <v/>
      </c>
      <c r="BP74" s="64" t="n">
        <v>78</v>
      </c>
      <c r="BQ74" s="64">
        <f>#REF!</f>
        <v/>
      </c>
      <c r="BR74" s="64">
        <f>#REF!</f>
        <v/>
      </c>
      <c r="BS74" s="64">
        <f>#REF!</f>
        <v/>
      </c>
      <c r="BU74" s="64" t="n">
        <v>78</v>
      </c>
      <c r="BV74" s="64">
        <f>Retailers!AS73</f>
        <v/>
      </c>
      <c r="BW74" s="64">
        <f>Retailers!AT73</f>
        <v/>
      </c>
      <c r="BX74" s="64">
        <f>Retailers!AU73</f>
        <v/>
      </c>
      <c r="BZ74" s="64" t="n">
        <v>78</v>
      </c>
      <c r="CA74" s="64">
        <f>Results!#REF!</f>
        <v/>
      </c>
      <c r="CB74" s="64">
        <f>Results!#REF!</f>
        <v/>
      </c>
      <c r="CC74" s="64">
        <f>Results!#REF!</f>
        <v/>
      </c>
      <c r="CE74" s="64" t="n">
        <v>78</v>
      </c>
      <c r="CF74" s="64">
        <f>Retailers!BN73</f>
        <v/>
      </c>
      <c r="CG74" s="64">
        <f>Retailers!BO73</f>
        <v/>
      </c>
      <c r="CH74" s="64">
        <f>Retailers!BP73</f>
        <v/>
      </c>
      <c r="CJ74" s="64" t="n">
        <v>78</v>
      </c>
      <c r="CK74" s="64">
        <f>IF(BB74="ret=0",0,IF(BB74&gt;0,AR74+Distributors_Cap!$P$47-BB74,0))</f>
        <v/>
      </c>
      <c r="CL74" s="64">
        <f>IF(BC74="ret=0",0,IF(BC74&gt;0,AS74+Distributors_Cap!$P$47-BC74,0))</f>
        <v/>
      </c>
      <c r="CM74" s="64">
        <f>IF(BD74="ret=0",0,IF(BD74&gt;0,AT74+Distributors_Cap!$P$47-BD74,0))</f>
        <v/>
      </c>
    </row>
    <row r="75">
      <c r="G75" s="64" t="n">
        <v>79</v>
      </c>
      <c r="H75" s="64" t="n">
        <v>79.316</v>
      </c>
      <c r="I75" s="64" t="n">
        <v>61.48</v>
      </c>
      <c r="J75" s="64" t="n">
        <v>55.911</v>
      </c>
      <c r="L75" s="64">
        <f>TRUNC((_xlfn.NORM.INV((RAND()),$K$7,$K$8)),0)</f>
        <v/>
      </c>
      <c r="M75" s="64" t="n">
        <v>79</v>
      </c>
      <c r="N75" s="5" t="n">
        <v>25</v>
      </c>
      <c r="O75" s="5" t="n">
        <v>19</v>
      </c>
      <c r="P75" s="5" t="n">
        <v>31</v>
      </c>
      <c r="R75" s="2">
        <f>IF(N75&gt;Demand!AU92,0,(IF(((2*(Retailers!AJ74+Distributors_Cap!$P$47)-Retailers_Cap!$BB$7)*(Demand!AU92-Retailers_Cap!N75))&lt;0,0,((IF(BB75&gt;2*(Retailers!AJ74+Distributors_Cap!$P$47),0,(IF(BG75=0,ROUNDUP((2*(Retailers!AJ74+Distributors_Cap!$P$47)-BB75)^0.5,0),ROUNDUP((2*(Retailers!AJ74+Distributors_Cap!$P$47)-BB75)^0.5,0)))))))))</f>
        <v/>
      </c>
      <c r="S75" s="2">
        <f>IF(O75&gt;Demand!AV92,0,(IF(((2*(Retailers!AK74+Distributors_Cap!$P$47)-Retailers_Cap!$BB$7)*(Demand!AV92-Retailers_Cap!O75))&lt;0,0,((IF(BC75&gt;2*(Retailers!AK74+Distributors_Cap!$P$47),0,(IF(BH75=0,ROUNDUP((2*(Retailers!AK74+Distributors_Cap!$P$47)-BC75)^0.5,0),ROUNDUP((2*(Retailers!AK74+Distributors_Cap!$P$47)-BC75)^0.5,0)))))))))</f>
        <v/>
      </c>
      <c r="T75" s="2">
        <f>IF(P75&gt;Demand!AW92,0,(IF(((2*(Retailers!AL74+Distributors_Cap!$P$47)-Retailers_Cap!$BB$7)*(Demand!AW92-Retailers_Cap!P75))&lt;0,0,((IF(BD75&gt;2*(Retailers!AL74+Distributors_Cap!$P$47),0,(IF(BI75=0,ROUNDUP((2*(Retailers!AL74+Distributors_Cap!$P$47)-BD75)^0.5,0),ROUNDUP((2*(Retailers!AL74+Distributors_Cap!$P$47)-BD75)^0.5,0)))))))))</f>
        <v/>
      </c>
      <c r="W75" s="64" t="n">
        <v>79</v>
      </c>
      <c r="X75" s="9" t="n">
        <v>0</v>
      </c>
      <c r="Y75" s="9" t="n">
        <v>13</v>
      </c>
      <c r="Z75" s="9" t="n">
        <v>0</v>
      </c>
      <c r="AB75" s="2">
        <f>ROUNDDOWN(LOG((X75+1),2),0)</f>
        <v/>
      </c>
      <c r="AC75" s="2">
        <f>ROUNDDOWN(LOG((Y75+1),2),0)</f>
        <v/>
      </c>
      <c r="AD75" s="2">
        <f>ROUNDDOWN(LOG((Z75+1),2),0)</f>
        <v/>
      </c>
      <c r="AG75" s="64" t="n">
        <v>79</v>
      </c>
      <c r="AH75" s="9" t="n">
        <v>0</v>
      </c>
      <c r="AI75" s="9" t="n">
        <v>3</v>
      </c>
      <c r="AJ75" s="9" t="n">
        <v>0</v>
      </c>
      <c r="AQ75" s="64" t="n">
        <v>79</v>
      </c>
      <c r="AR75" s="64" t="n">
        <v>79.316</v>
      </c>
      <c r="AS75" s="64" t="n">
        <v>61.48</v>
      </c>
      <c r="AT75" s="64" t="n">
        <v>55.911</v>
      </c>
      <c r="AV75" s="64" t="n">
        <v>79</v>
      </c>
      <c r="AW75" s="64">
        <f>Beginning_stock!AT103</f>
        <v/>
      </c>
      <c r="AX75" s="64">
        <f>Beginning_stock!AU103</f>
        <v/>
      </c>
      <c r="AY75" s="64">
        <f>Beginning_stock!AV103</f>
        <v/>
      </c>
      <c r="BA75" s="64" t="n">
        <v>79</v>
      </c>
      <c r="BB75" s="64">
        <f>IF(Demand!AU92=Retailers_Cap!N75,"ret=0",(AW75/(Demand!AU92-Retailers_Cap!N75)))</f>
        <v/>
      </c>
      <c r="BC75" s="64">
        <f>IF(Demand!AV92=Retailers_Cap!O75,"ret=0",(AX75/(Demand!AV92-Retailers_Cap!O75)))</f>
        <v/>
      </c>
      <c r="BD75" s="64">
        <f>IF(Demand!AW92=Retailers_Cap!P75,"ret=0",(AY75/(Demand!AW92-Retailers_Cap!P75)))</f>
        <v/>
      </c>
      <c r="BF75" s="64" t="n">
        <v>79</v>
      </c>
      <c r="BG75" s="2">
        <f>IF(Demand!AU92&lt;=Retailers_Cap!N75,"ret=0",(IF(BB75&lt;=AR75+Distributors_Cap!$P$47,1,0)))</f>
        <v/>
      </c>
      <c r="BH75" s="2">
        <f>IF(Demand!AV92&lt;=Retailers_Cap!O75,"ret=0",(IF(BC75&lt;=AS75+Distributors_Cap!$P$47,1,0)))</f>
        <v/>
      </c>
      <c r="BI75" s="2">
        <f>IF(Demand!AW92&lt;=Retailers_Cap!P75,"ret=0",(IF(BD75&lt;=AT75+Distributors_Cap!$P$47,1,0)))</f>
        <v/>
      </c>
      <c r="BK75" s="64" t="n">
        <v>79</v>
      </c>
      <c r="BL75" s="64">
        <f>Retailers!BH74</f>
        <v/>
      </c>
      <c r="BM75" s="64">
        <f>Retailers!BI74</f>
        <v/>
      </c>
      <c r="BN75" s="64">
        <f>Retailers!BJ74</f>
        <v/>
      </c>
      <c r="BP75" s="64" t="n">
        <v>79</v>
      </c>
      <c r="BQ75" s="64">
        <f>#REF!</f>
        <v/>
      </c>
      <c r="BR75" s="64">
        <f>#REF!</f>
        <v/>
      </c>
      <c r="BS75" s="64">
        <f>#REF!</f>
        <v/>
      </c>
      <c r="BU75" s="64" t="n">
        <v>79</v>
      </c>
      <c r="BV75" s="64">
        <f>Retailers!AS74</f>
        <v/>
      </c>
      <c r="BW75" s="64">
        <f>Retailers!AT74</f>
        <v/>
      </c>
      <c r="BX75" s="64">
        <f>Retailers!AU74</f>
        <v/>
      </c>
      <c r="BZ75" s="64" t="n">
        <v>79</v>
      </c>
      <c r="CA75" s="64">
        <f>Results!#REF!</f>
        <v/>
      </c>
      <c r="CB75" s="64">
        <f>Results!#REF!</f>
        <v/>
      </c>
      <c r="CC75" s="64">
        <f>Results!#REF!</f>
        <v/>
      </c>
      <c r="CE75" s="64" t="n">
        <v>79</v>
      </c>
      <c r="CF75" s="64">
        <f>Retailers!BN74</f>
        <v/>
      </c>
      <c r="CG75" s="64">
        <f>Retailers!BO74</f>
        <v/>
      </c>
      <c r="CH75" s="64">
        <f>Retailers!BP74</f>
        <v/>
      </c>
      <c r="CJ75" s="64" t="n">
        <v>79</v>
      </c>
      <c r="CK75" s="64">
        <f>IF(BB75="ret=0",0,IF(BB75&gt;0,AR75+Distributors_Cap!$P$47-BB75,0))</f>
        <v/>
      </c>
      <c r="CL75" s="64">
        <f>IF(BC75="ret=0",0,IF(BC75&gt;0,AS75+Distributors_Cap!$P$47-BC75,0))</f>
        <v/>
      </c>
      <c r="CM75" s="64">
        <f>IF(BD75="ret=0",0,IF(BD75&gt;0,AT75+Distributors_Cap!$P$47-BD75,0))</f>
        <v/>
      </c>
    </row>
    <row r="76">
      <c r="G76" s="64" t="n">
        <v>80</v>
      </c>
      <c r="H76" s="64" t="n">
        <v>44.08</v>
      </c>
      <c r="I76" s="64" t="n">
        <v>41.398</v>
      </c>
      <c r="J76" s="64" t="n">
        <v>78.483</v>
      </c>
      <c r="L76" s="64">
        <f>TRUNC((_xlfn.NORM.INV((RAND()),$K$7,$K$8)),0)</f>
        <v/>
      </c>
      <c r="M76" s="64" t="n">
        <v>80</v>
      </c>
      <c r="N76" s="5" t="n">
        <v>31</v>
      </c>
      <c r="O76" s="5" t="n">
        <v>30</v>
      </c>
      <c r="P76" s="5" t="n">
        <v>26</v>
      </c>
      <c r="R76" s="2">
        <f>IF(N76&gt;Demand!AU93,0,(IF(((2*(Retailers!AJ75+Distributors_Cap!$P$47)-Retailers_Cap!$BB$7)*(Demand!AU93-Retailers_Cap!N76))&lt;0,0,((IF(BB76&gt;2*(Retailers!AJ75+Distributors_Cap!$P$47),0,(IF(BG76=0,ROUNDUP((2*(Retailers!AJ75+Distributors_Cap!$P$47)-BB76)^0.5,0),ROUNDUP((2*(Retailers!AJ75+Distributors_Cap!$P$47)-BB76)^0.5,0)))))))))</f>
        <v/>
      </c>
      <c r="S76" s="2">
        <f>IF(O76&gt;Demand!AV93,0,(IF(((2*(Retailers!AK75+Distributors_Cap!$P$47)-Retailers_Cap!$BB$7)*(Demand!AV93-Retailers_Cap!O76))&lt;0,0,((IF(BC76&gt;2*(Retailers!AK75+Distributors_Cap!$P$47),0,(IF(BH76=0,ROUNDUP((2*(Retailers!AK75+Distributors_Cap!$P$47)-BC76)^0.5,0),ROUNDUP((2*(Retailers!AK75+Distributors_Cap!$P$47)-BC76)^0.5,0)))))))))</f>
        <v/>
      </c>
      <c r="T76" s="2">
        <f>IF(P76&gt;Demand!AW93,0,(IF(((2*(Retailers!AL75+Distributors_Cap!$P$47)-Retailers_Cap!$BB$7)*(Demand!AW93-Retailers_Cap!P76))&lt;0,0,((IF(BD76&gt;2*(Retailers!AL75+Distributors_Cap!$P$47),0,(IF(BI76=0,ROUNDUP((2*(Retailers!AL75+Distributors_Cap!$P$47)-BD76)^0.5,0),ROUNDUP((2*(Retailers!AL75+Distributors_Cap!$P$47)-BD76)^0.5,0)))))))))</f>
        <v/>
      </c>
      <c r="W76" s="64" t="n">
        <v>80</v>
      </c>
      <c r="X76" s="9" t="n">
        <v>0</v>
      </c>
      <c r="Y76" s="9" t="n">
        <v>0</v>
      </c>
      <c r="Z76" s="9" t="n">
        <v>14</v>
      </c>
      <c r="AB76" s="2">
        <f>ROUNDDOWN(LOG((X76+1),2),0)</f>
        <v/>
      </c>
      <c r="AC76" s="2">
        <f>ROUNDDOWN(LOG((Y76+1),2),0)</f>
        <v/>
      </c>
      <c r="AD76" s="2">
        <f>ROUNDDOWN(LOG((Z76+1),2),0)</f>
        <v/>
      </c>
      <c r="AG76" s="64" t="n">
        <v>80</v>
      </c>
      <c r="AH76" s="9" t="n">
        <v>0</v>
      </c>
      <c r="AI76" s="9" t="n">
        <v>0</v>
      </c>
      <c r="AJ76" s="9" t="n">
        <v>3</v>
      </c>
      <c r="AQ76" s="64" t="n">
        <v>80</v>
      </c>
      <c r="AR76" s="64" t="n">
        <v>44.08</v>
      </c>
      <c r="AS76" s="64" t="n">
        <v>41.398</v>
      </c>
      <c r="AT76" s="64" t="n">
        <v>78.483</v>
      </c>
      <c r="AV76" s="64" t="n">
        <v>80</v>
      </c>
      <c r="AW76" s="64">
        <f>Beginning_stock!AT104</f>
        <v/>
      </c>
      <c r="AX76" s="64">
        <f>Beginning_stock!AU104</f>
        <v/>
      </c>
      <c r="AY76" s="64">
        <f>Beginning_stock!AV104</f>
        <v/>
      </c>
      <c r="BA76" s="64" t="n">
        <v>80</v>
      </c>
      <c r="BB76" s="64">
        <f>IF(Demand!AU93=Retailers_Cap!N76,"ret=0",(AW76/(Demand!AU93-Retailers_Cap!N76)))</f>
        <v/>
      </c>
      <c r="BC76" s="64">
        <f>IF(Demand!AV93=Retailers_Cap!O76,"ret=0",(AX76/(Demand!AV93-Retailers_Cap!O76)))</f>
        <v/>
      </c>
      <c r="BD76" s="64">
        <f>IF(Demand!AW93=Retailers_Cap!P76,"ret=0",(AY76/(Demand!AW93-Retailers_Cap!P76)))</f>
        <v/>
      </c>
      <c r="BF76" s="64" t="n">
        <v>80</v>
      </c>
      <c r="BG76" s="2">
        <f>IF(Demand!AU93&lt;=Retailers_Cap!N76,"ret=0",(IF(BB76&lt;=AR76+Distributors_Cap!$P$47,1,0)))</f>
        <v/>
      </c>
      <c r="BH76" s="2">
        <f>IF(Demand!AV93&lt;=Retailers_Cap!O76,"ret=0",(IF(BC76&lt;=AS76+Distributors_Cap!$P$47,1,0)))</f>
        <v/>
      </c>
      <c r="BI76" s="2">
        <f>IF(Demand!AW93&lt;=Retailers_Cap!P76,"ret=0",(IF(BD76&lt;=AT76+Distributors_Cap!$P$47,1,0)))</f>
        <v/>
      </c>
      <c r="BK76" s="64" t="n">
        <v>80</v>
      </c>
      <c r="BL76" s="64">
        <f>Retailers!BH75</f>
        <v/>
      </c>
      <c r="BM76" s="64">
        <f>Retailers!BI75</f>
        <v/>
      </c>
      <c r="BN76" s="64">
        <f>Retailers!BJ75</f>
        <v/>
      </c>
      <c r="BP76" s="64" t="n">
        <v>80</v>
      </c>
      <c r="BQ76" s="64">
        <f>#REF!</f>
        <v/>
      </c>
      <c r="BR76" s="64">
        <f>#REF!</f>
        <v/>
      </c>
      <c r="BS76" s="64">
        <f>#REF!</f>
        <v/>
      </c>
      <c r="BU76" s="64" t="n">
        <v>80</v>
      </c>
      <c r="BV76" s="64">
        <f>Retailers!AS75</f>
        <v/>
      </c>
      <c r="BW76" s="64">
        <f>Retailers!AT75</f>
        <v/>
      </c>
      <c r="BX76" s="64">
        <f>Retailers!AU75</f>
        <v/>
      </c>
      <c r="BZ76" s="64" t="n">
        <v>80</v>
      </c>
      <c r="CA76" s="64">
        <f>Results!#REF!</f>
        <v/>
      </c>
      <c r="CB76" s="64">
        <f>Results!#REF!</f>
        <v/>
      </c>
      <c r="CC76" s="64">
        <f>Results!#REF!</f>
        <v/>
      </c>
      <c r="CE76" s="64" t="n">
        <v>80</v>
      </c>
      <c r="CF76" s="64">
        <f>Retailers!BN75</f>
        <v/>
      </c>
      <c r="CG76" s="64">
        <f>Retailers!BO75</f>
        <v/>
      </c>
      <c r="CH76" s="64">
        <f>Retailers!BP75</f>
        <v/>
      </c>
      <c r="CJ76" s="64" t="n">
        <v>80</v>
      </c>
      <c r="CK76" s="64">
        <f>IF(BB76="ret=0",0,IF(BB76&gt;0,AR76+Distributors_Cap!$P$47-BB76,0))</f>
        <v/>
      </c>
      <c r="CL76" s="64">
        <f>IF(BC76="ret=0",0,IF(BC76&gt;0,AS76+Distributors_Cap!$P$47-BC76,0))</f>
        <v/>
      </c>
      <c r="CM76" s="64">
        <f>IF(BD76="ret=0",0,IF(BD76&gt;0,AT76+Distributors_Cap!$P$47-BD76,0))</f>
        <v/>
      </c>
    </row>
    <row r="77">
      <c r="G77" s="64" t="n">
        <v>81</v>
      </c>
      <c r="H77" s="64" t="n">
        <v>65.432</v>
      </c>
      <c r="I77" s="64" t="n">
        <v>60.978</v>
      </c>
      <c r="J77" s="64" t="n">
        <v>53.082</v>
      </c>
      <c r="L77" s="64">
        <f>TRUNC((_xlfn.NORM.INV((RAND()),$K$7,$K$8)),0)</f>
        <v/>
      </c>
      <c r="M77" s="64" t="n">
        <v>81</v>
      </c>
      <c r="N77" s="5" t="n">
        <v>33</v>
      </c>
      <c r="O77" s="5" t="n">
        <v>25</v>
      </c>
      <c r="P77" s="5" t="n">
        <v>30</v>
      </c>
      <c r="R77" s="2">
        <f>IF(N77&gt;Demand!AU94,0,(IF(((2*(Retailers!AJ76+Distributors_Cap!$P$47)-Retailers_Cap!$BB$7)*(Demand!AU94-Retailers_Cap!N77))&lt;0,0,((IF(BB77&gt;2*(Retailers!AJ76+Distributors_Cap!$P$47),0,(IF(BG77=0,ROUNDUP((2*(Retailers!AJ76+Distributors_Cap!$P$47)-BB77)^0.5,0),ROUNDUP((2*(Retailers!AJ76+Distributors_Cap!$P$47)-BB77)^0.5,0)))))))))</f>
        <v/>
      </c>
      <c r="S77" s="2">
        <f>IF(O77&gt;Demand!AV94,0,(IF(((2*(Retailers!AK76+Distributors_Cap!$P$47)-Retailers_Cap!$BB$7)*(Demand!AV94-Retailers_Cap!O77))&lt;0,0,((IF(BC77&gt;2*(Retailers!AK76+Distributors_Cap!$P$47),0,(IF(BH77=0,ROUNDUP((2*(Retailers!AK76+Distributors_Cap!$P$47)-BC77)^0.5,0),ROUNDUP((2*(Retailers!AK76+Distributors_Cap!$P$47)-BC77)^0.5,0)))))))))</f>
        <v/>
      </c>
      <c r="T77" s="2">
        <f>IF(P77&gt;Demand!AW94,0,(IF(((2*(Retailers!AL76+Distributors_Cap!$P$47)-Retailers_Cap!$BB$7)*(Demand!AW94-Retailers_Cap!P77))&lt;0,0,((IF(BD77&gt;2*(Retailers!AL76+Distributors_Cap!$P$47),0,(IF(BI77=0,ROUNDUP((2*(Retailers!AL76+Distributors_Cap!$P$47)-BD77)^0.5,0),ROUNDUP((2*(Retailers!AL76+Distributors_Cap!$P$47)-BD77)^0.5,0)))))))))</f>
        <v/>
      </c>
      <c r="W77" s="64" t="n">
        <v>81</v>
      </c>
      <c r="X77" s="9" t="n">
        <v>0</v>
      </c>
      <c r="Y77" s="9" t="n">
        <v>0</v>
      </c>
      <c r="Z77" s="9" t="n">
        <v>0</v>
      </c>
      <c r="AB77" s="2">
        <f>ROUNDDOWN(LOG((X77+1),2),0)</f>
        <v/>
      </c>
      <c r="AC77" s="2">
        <f>ROUNDDOWN(LOG((Y77+1),2),0)</f>
        <v/>
      </c>
      <c r="AD77" s="2">
        <f>ROUNDDOWN(LOG((Z77+1),2),0)</f>
        <v/>
      </c>
      <c r="AG77" s="64" t="n">
        <v>81</v>
      </c>
      <c r="AH77" s="9" t="n">
        <v>0</v>
      </c>
      <c r="AI77" s="9" t="n">
        <v>0</v>
      </c>
      <c r="AJ77" s="9" t="n">
        <v>0</v>
      </c>
      <c r="AQ77" s="64" t="n">
        <v>81</v>
      </c>
      <c r="AR77" s="64" t="n">
        <v>65.432</v>
      </c>
      <c r="AS77" s="64" t="n">
        <v>60.978</v>
      </c>
      <c r="AT77" s="64" t="n">
        <v>53.082</v>
      </c>
      <c r="AV77" s="64" t="n">
        <v>81</v>
      </c>
      <c r="AW77" s="64">
        <f>Beginning_stock!AT105</f>
        <v/>
      </c>
      <c r="AX77" s="64">
        <f>Beginning_stock!AU105</f>
        <v/>
      </c>
      <c r="AY77" s="64">
        <f>Beginning_stock!AV105</f>
        <v/>
      </c>
      <c r="BA77" s="64" t="n">
        <v>81</v>
      </c>
      <c r="BB77" s="64">
        <f>IF(Demand!AU94=Retailers_Cap!N77,"ret=0",(AW77/(Demand!AU94-Retailers_Cap!N77)))</f>
        <v/>
      </c>
      <c r="BC77" s="64">
        <f>IF(Demand!AV94=Retailers_Cap!O77,"ret=0",(AX77/(Demand!AV94-Retailers_Cap!O77)))</f>
        <v/>
      </c>
      <c r="BD77" s="64">
        <f>IF(Demand!AW94=Retailers_Cap!P77,"ret=0",(AY77/(Demand!AW94-Retailers_Cap!P77)))</f>
        <v/>
      </c>
      <c r="BF77" s="64" t="n">
        <v>81</v>
      </c>
      <c r="BG77" s="2">
        <f>IF(Demand!AU94&lt;=Retailers_Cap!N77,"ret=0",(IF(BB77&lt;=AR77+Distributors_Cap!$P$47,1,0)))</f>
        <v/>
      </c>
      <c r="BH77" s="2">
        <f>IF(Demand!AV94&lt;=Retailers_Cap!O77,"ret=0",(IF(BC77&lt;=AS77+Distributors_Cap!$P$47,1,0)))</f>
        <v/>
      </c>
      <c r="BI77" s="2">
        <f>IF(Demand!AW94&lt;=Retailers_Cap!P77,"ret=0",(IF(BD77&lt;=AT77+Distributors_Cap!$P$47,1,0)))</f>
        <v/>
      </c>
      <c r="BK77" s="64" t="n">
        <v>81</v>
      </c>
      <c r="BL77" s="64">
        <f>Retailers!BH76</f>
        <v/>
      </c>
      <c r="BM77" s="64">
        <f>Retailers!BI76</f>
        <v/>
      </c>
      <c r="BN77" s="64">
        <f>Retailers!BJ76</f>
        <v/>
      </c>
      <c r="BP77" s="64" t="n">
        <v>81</v>
      </c>
      <c r="BQ77" s="64">
        <f>#REF!</f>
        <v/>
      </c>
      <c r="BR77" s="64">
        <f>#REF!</f>
        <v/>
      </c>
      <c r="BS77" s="64">
        <f>#REF!</f>
        <v/>
      </c>
      <c r="BU77" s="64" t="n">
        <v>81</v>
      </c>
      <c r="BV77" s="64">
        <f>Retailers!AS76</f>
        <v/>
      </c>
      <c r="BW77" s="64">
        <f>Retailers!AT76</f>
        <v/>
      </c>
      <c r="BX77" s="64">
        <f>Retailers!AU76</f>
        <v/>
      </c>
      <c r="BZ77" s="64" t="n">
        <v>81</v>
      </c>
      <c r="CA77" s="64">
        <f>Results!#REF!</f>
        <v/>
      </c>
      <c r="CB77" s="64">
        <f>Results!#REF!</f>
        <v/>
      </c>
      <c r="CC77" s="64">
        <f>Results!#REF!</f>
        <v/>
      </c>
      <c r="CE77" s="64" t="n">
        <v>81</v>
      </c>
      <c r="CF77" s="64">
        <f>Retailers!BN76</f>
        <v/>
      </c>
      <c r="CG77" s="64">
        <f>Retailers!BO76</f>
        <v/>
      </c>
      <c r="CH77" s="64">
        <f>Retailers!BP76</f>
        <v/>
      </c>
      <c r="CJ77" s="64" t="n">
        <v>81</v>
      </c>
      <c r="CK77" s="64">
        <f>IF(BB77="ret=0",0,IF(BB77&gt;0,AR77+Distributors_Cap!$P$47-BB77,0))</f>
        <v/>
      </c>
      <c r="CL77" s="64">
        <f>IF(BC77="ret=0",0,IF(BC77&gt;0,AS77+Distributors_Cap!$P$47-BC77,0))</f>
        <v/>
      </c>
      <c r="CM77" s="64">
        <f>IF(BD77="ret=0",0,IF(BD77&gt;0,AT77+Distributors_Cap!$P$47-BD77,0))</f>
        <v/>
      </c>
    </row>
    <row r="78">
      <c r="G78" s="64" t="n">
        <v>82</v>
      </c>
      <c r="H78" s="64" t="n">
        <v>48.372</v>
      </c>
      <c r="I78" s="64" t="n">
        <v>36.4</v>
      </c>
      <c r="J78" s="64" t="n">
        <v>59.973</v>
      </c>
      <c r="L78" s="64">
        <f>TRUNC((_xlfn.NORM.INV((RAND()),$K$7,$K$8)),0)</f>
        <v/>
      </c>
      <c r="M78" s="64" t="n">
        <v>82</v>
      </c>
      <c r="N78" s="5" t="n">
        <v>21</v>
      </c>
      <c r="O78" s="5" t="n">
        <v>25</v>
      </c>
      <c r="P78" s="5" t="n">
        <v>25</v>
      </c>
      <c r="R78" s="2">
        <f>IF(N78&gt;Demand!AU95,0,(IF(((2*(Retailers!AJ77+Distributors_Cap!$P$47)-Retailers_Cap!$BB$7)*(Demand!AU95-Retailers_Cap!N78))&lt;0,0,((IF(BB78&gt;2*(Retailers!AJ77+Distributors_Cap!$P$47),0,(IF(BG78=0,ROUNDUP((2*(Retailers!AJ77+Distributors_Cap!$P$47)-BB78)^0.5,0),ROUNDUP((2*(Retailers!AJ77+Distributors_Cap!$P$47)-BB78)^0.5,0)))))))))</f>
        <v/>
      </c>
      <c r="S78" s="2">
        <f>IF(O78&gt;Demand!AV95,0,(IF(((2*(Retailers!AK77+Distributors_Cap!$P$47)-Retailers_Cap!$BB$7)*(Demand!AV95-Retailers_Cap!O78))&lt;0,0,((IF(BC78&gt;2*(Retailers!AK77+Distributors_Cap!$P$47),0,(IF(BH78=0,ROUNDUP((2*(Retailers!AK77+Distributors_Cap!$P$47)-BC78)^0.5,0),ROUNDUP((2*(Retailers!AK77+Distributors_Cap!$P$47)-BC78)^0.5,0)))))))))</f>
        <v/>
      </c>
      <c r="T78" s="2">
        <f>IF(P78&gt;Demand!AW95,0,(IF(((2*(Retailers!AL77+Distributors_Cap!$P$47)-Retailers_Cap!$BB$7)*(Demand!AW95-Retailers_Cap!P78))&lt;0,0,((IF(BD78&gt;2*(Retailers!AL77+Distributors_Cap!$P$47),0,(IF(BI78=0,ROUNDUP((2*(Retailers!AL77+Distributors_Cap!$P$47)-BD78)^0.5,0),ROUNDUP((2*(Retailers!AL77+Distributors_Cap!$P$47)-BD78)^0.5,0)))))))))</f>
        <v/>
      </c>
      <c r="W78" s="64" t="n">
        <v>82</v>
      </c>
      <c r="X78" s="9" t="n">
        <v>0</v>
      </c>
      <c r="Y78" s="9" t="n">
        <v>0</v>
      </c>
      <c r="Z78" s="9" t="n">
        <v>0</v>
      </c>
      <c r="AB78" s="2">
        <f>ROUNDDOWN(LOG((X78+1),2),0)</f>
        <v/>
      </c>
      <c r="AC78" s="2">
        <f>ROUNDDOWN(LOG((Y78+1),2),0)</f>
        <v/>
      </c>
      <c r="AD78" s="2">
        <f>ROUNDDOWN(LOG((Z78+1),2),0)</f>
        <v/>
      </c>
      <c r="AG78" s="64" t="n">
        <v>82</v>
      </c>
      <c r="AH78" s="9" t="n">
        <v>0</v>
      </c>
      <c r="AI78" s="9" t="n">
        <v>0</v>
      </c>
      <c r="AJ78" s="9" t="n">
        <v>0</v>
      </c>
      <c r="AQ78" s="64" t="n">
        <v>82</v>
      </c>
      <c r="AR78" s="64" t="n">
        <v>48.372</v>
      </c>
      <c r="AS78" s="64" t="n">
        <v>36.4</v>
      </c>
      <c r="AT78" s="64" t="n">
        <v>59.973</v>
      </c>
      <c r="AV78" s="64" t="n">
        <v>82</v>
      </c>
      <c r="AW78" s="64">
        <f>Beginning_stock!AT106</f>
        <v/>
      </c>
      <c r="AX78" s="64">
        <f>Beginning_stock!AU106</f>
        <v/>
      </c>
      <c r="AY78" s="64">
        <f>Beginning_stock!AV106</f>
        <v/>
      </c>
      <c r="BA78" s="64" t="n">
        <v>82</v>
      </c>
      <c r="BB78" s="64">
        <f>IF(Demand!AU95=Retailers_Cap!N78,"ret=0",(AW78/(Demand!AU95-Retailers_Cap!N78)))</f>
        <v/>
      </c>
      <c r="BC78" s="64">
        <f>IF(Demand!AV95=Retailers_Cap!O78,"ret=0",(AX78/(Demand!AV95-Retailers_Cap!O78)))</f>
        <v/>
      </c>
      <c r="BD78" s="64">
        <f>IF(Demand!AW95=Retailers_Cap!P78,"ret=0",(AY78/(Demand!AW95-Retailers_Cap!P78)))</f>
        <v/>
      </c>
      <c r="BF78" s="64" t="n">
        <v>82</v>
      </c>
      <c r="BG78" s="2">
        <f>IF(Demand!AU95&lt;=Retailers_Cap!N78,"ret=0",(IF(BB78&lt;=AR78+Distributors_Cap!$P$47,1,0)))</f>
        <v/>
      </c>
      <c r="BH78" s="2">
        <f>IF(Demand!AV95&lt;=Retailers_Cap!O78,"ret=0",(IF(BC78&lt;=AS78+Distributors_Cap!$P$47,1,0)))</f>
        <v/>
      </c>
      <c r="BI78" s="2">
        <f>IF(Demand!AW95&lt;=Retailers_Cap!P78,"ret=0",(IF(BD78&lt;=AT78+Distributors_Cap!$P$47,1,0)))</f>
        <v/>
      </c>
      <c r="BK78" s="64" t="n">
        <v>82</v>
      </c>
      <c r="BL78" s="64">
        <f>Retailers!BH77</f>
        <v/>
      </c>
      <c r="BM78" s="64">
        <f>Retailers!BI77</f>
        <v/>
      </c>
      <c r="BN78" s="64">
        <f>Retailers!BJ77</f>
        <v/>
      </c>
      <c r="BP78" s="64" t="n">
        <v>82</v>
      </c>
      <c r="BQ78" s="64">
        <f>#REF!</f>
        <v/>
      </c>
      <c r="BR78" s="64">
        <f>#REF!</f>
        <v/>
      </c>
      <c r="BS78" s="64">
        <f>#REF!</f>
        <v/>
      </c>
      <c r="BU78" s="64" t="n">
        <v>82</v>
      </c>
      <c r="BV78" s="64">
        <f>Retailers!AS77</f>
        <v/>
      </c>
      <c r="BW78" s="64">
        <f>Retailers!AT77</f>
        <v/>
      </c>
      <c r="BX78" s="64">
        <f>Retailers!AU77</f>
        <v/>
      </c>
      <c r="BZ78" s="64" t="n">
        <v>82</v>
      </c>
      <c r="CA78" s="64">
        <f>Results!#REF!</f>
        <v/>
      </c>
      <c r="CB78" s="64">
        <f>Results!#REF!</f>
        <v/>
      </c>
      <c r="CC78" s="64">
        <f>Results!#REF!</f>
        <v/>
      </c>
      <c r="CE78" s="64" t="n">
        <v>82</v>
      </c>
      <c r="CF78" s="64">
        <f>Retailers!BN77</f>
        <v/>
      </c>
      <c r="CG78" s="64">
        <f>Retailers!BO77</f>
        <v/>
      </c>
      <c r="CH78" s="64">
        <f>Retailers!BP77</f>
        <v/>
      </c>
      <c r="CJ78" s="64" t="n">
        <v>82</v>
      </c>
      <c r="CK78" s="64">
        <f>IF(BB78="ret=0",0,IF(BB78&gt;0,AR78+Distributors_Cap!$P$47-BB78,0))</f>
        <v/>
      </c>
      <c r="CL78" s="64">
        <f>IF(BC78="ret=0",0,IF(BC78&gt;0,AS78+Distributors_Cap!$P$47-BC78,0))</f>
        <v/>
      </c>
      <c r="CM78" s="64">
        <f>IF(BD78="ret=0",0,IF(BD78&gt;0,AT78+Distributors_Cap!$P$47-BD78,0))</f>
        <v/>
      </c>
    </row>
    <row r="79">
      <c r="G79" s="64" t="n">
        <v>83</v>
      </c>
      <c r="H79" s="64" t="n">
        <v>58.308</v>
      </c>
      <c r="I79" s="64" t="n">
        <v>40.555</v>
      </c>
      <c r="J79" s="64" t="n">
        <v>54.947</v>
      </c>
      <c r="L79" s="64">
        <f>TRUNC((_xlfn.NORM.INV((RAND()),$K$7,$K$8)),0)</f>
        <v/>
      </c>
      <c r="M79" s="64" t="n">
        <v>83</v>
      </c>
      <c r="N79" s="5" t="n">
        <v>20</v>
      </c>
      <c r="O79" s="5" t="n">
        <v>35</v>
      </c>
      <c r="P79" s="5" t="n">
        <v>20</v>
      </c>
      <c r="R79" s="2">
        <f>IF(N79&gt;Demand!AU96,0,(IF(((2*(Retailers!AJ78+Distributors_Cap!$P$47)-Retailers_Cap!$BB$7)*(Demand!AU96-Retailers_Cap!N79))&lt;0,0,((IF(BB79&gt;2*(Retailers!AJ78+Distributors_Cap!$P$47),0,(IF(BG79=0,ROUNDUP((2*(Retailers!AJ78+Distributors_Cap!$P$47)-BB79)^0.5,0),ROUNDUP((2*(Retailers!AJ78+Distributors_Cap!$P$47)-BB79)^0.5,0)))))))))</f>
        <v/>
      </c>
      <c r="S79" s="2">
        <f>IF(O79&gt;Demand!AV96,0,(IF(((2*(Retailers!AK78+Distributors_Cap!$P$47)-Retailers_Cap!$BB$7)*(Demand!AV96-Retailers_Cap!O79))&lt;0,0,((IF(BC79&gt;2*(Retailers!AK78+Distributors_Cap!$P$47),0,(IF(BH79=0,ROUNDUP((2*(Retailers!AK78+Distributors_Cap!$P$47)-BC79)^0.5,0),ROUNDUP((2*(Retailers!AK78+Distributors_Cap!$P$47)-BC79)^0.5,0)))))))))</f>
        <v/>
      </c>
      <c r="T79" s="2">
        <f>IF(P79&gt;Demand!AW96,0,(IF(((2*(Retailers!AL78+Distributors_Cap!$P$47)-Retailers_Cap!$BB$7)*(Demand!AW96-Retailers_Cap!P79))&lt;0,0,((IF(BD79&gt;2*(Retailers!AL78+Distributors_Cap!$P$47),0,(IF(BI79=0,ROUNDUP((2*(Retailers!AL78+Distributors_Cap!$P$47)-BD79)^0.5,0),ROUNDUP((2*(Retailers!AL78+Distributors_Cap!$P$47)-BD79)^0.5,0)))))))))</f>
        <v/>
      </c>
      <c r="W79" s="64" t="n">
        <v>83</v>
      </c>
      <c r="X79" s="9" t="n">
        <v>10</v>
      </c>
      <c r="Y79" s="9" t="n">
        <v>0</v>
      </c>
      <c r="Z79" s="9" t="n">
        <v>0</v>
      </c>
      <c r="AB79" s="2">
        <f>ROUNDDOWN(LOG((X79+1),2),0)</f>
        <v/>
      </c>
      <c r="AC79" s="2">
        <f>ROUNDDOWN(LOG((Y79+1),2),0)</f>
        <v/>
      </c>
      <c r="AD79" s="2">
        <f>ROUNDDOWN(LOG((Z79+1),2),0)</f>
        <v/>
      </c>
      <c r="AG79" s="64" t="n">
        <v>83</v>
      </c>
      <c r="AH79" s="9" t="n">
        <v>3</v>
      </c>
      <c r="AI79" s="9" t="n">
        <v>0</v>
      </c>
      <c r="AJ79" s="9" t="n">
        <v>0</v>
      </c>
      <c r="AQ79" s="64" t="n">
        <v>83</v>
      </c>
      <c r="AR79" s="64" t="n">
        <v>58.308</v>
      </c>
      <c r="AS79" s="64" t="n">
        <v>40.555</v>
      </c>
      <c r="AT79" s="64" t="n">
        <v>54.947</v>
      </c>
      <c r="AV79" s="64" t="n">
        <v>83</v>
      </c>
      <c r="AW79" s="64">
        <f>Beginning_stock!AT107</f>
        <v/>
      </c>
      <c r="AX79" s="64">
        <f>Beginning_stock!AU107</f>
        <v/>
      </c>
      <c r="AY79" s="64">
        <f>Beginning_stock!AV107</f>
        <v/>
      </c>
      <c r="BA79" s="64" t="n">
        <v>83</v>
      </c>
      <c r="BB79" s="64">
        <f>IF(Demand!AU96=Retailers_Cap!N79,"ret=0",(AW79/(Demand!AU96-Retailers_Cap!N79)))</f>
        <v/>
      </c>
      <c r="BC79" s="64">
        <f>IF(Demand!AV96=Retailers_Cap!O79,"ret=0",(AX79/(Demand!AV96-Retailers_Cap!O79)))</f>
        <v/>
      </c>
      <c r="BD79" s="64">
        <f>IF(Demand!AW96=Retailers_Cap!P79,"ret=0",(AY79/(Demand!AW96-Retailers_Cap!P79)))</f>
        <v/>
      </c>
      <c r="BF79" s="64" t="n">
        <v>83</v>
      </c>
      <c r="BG79" s="2">
        <f>IF(Demand!AU96&lt;=Retailers_Cap!N79,"ret=0",(IF(BB79&lt;=AR79+Distributors_Cap!$P$47,1,0)))</f>
        <v/>
      </c>
      <c r="BH79" s="2">
        <f>IF(Demand!AV96&lt;=Retailers_Cap!O79,"ret=0",(IF(BC79&lt;=AS79+Distributors_Cap!$P$47,1,0)))</f>
        <v/>
      </c>
      <c r="BI79" s="2">
        <f>IF(Demand!AW96&lt;=Retailers_Cap!P79,"ret=0",(IF(BD79&lt;=AT79+Distributors_Cap!$P$47,1,0)))</f>
        <v/>
      </c>
      <c r="BK79" s="64" t="n">
        <v>83</v>
      </c>
      <c r="BL79" s="64">
        <f>Retailers!BH78</f>
        <v/>
      </c>
      <c r="BM79" s="64">
        <f>Retailers!BI78</f>
        <v/>
      </c>
      <c r="BN79" s="64">
        <f>Retailers!BJ78</f>
        <v/>
      </c>
      <c r="BP79" s="64" t="n">
        <v>83</v>
      </c>
      <c r="BQ79" s="64">
        <f>#REF!</f>
        <v/>
      </c>
      <c r="BR79" s="64">
        <f>#REF!</f>
        <v/>
      </c>
      <c r="BS79" s="64">
        <f>#REF!</f>
        <v/>
      </c>
      <c r="BU79" s="64" t="n">
        <v>83</v>
      </c>
      <c r="BV79" s="64">
        <f>Retailers!AS78</f>
        <v/>
      </c>
      <c r="BW79" s="64">
        <f>Retailers!AT78</f>
        <v/>
      </c>
      <c r="BX79" s="64">
        <f>Retailers!AU78</f>
        <v/>
      </c>
      <c r="BZ79" s="64" t="n">
        <v>83</v>
      </c>
      <c r="CA79" s="64">
        <f>Results!#REF!</f>
        <v/>
      </c>
      <c r="CB79" s="64">
        <f>Results!#REF!</f>
        <v/>
      </c>
      <c r="CC79" s="64">
        <f>Results!#REF!</f>
        <v/>
      </c>
      <c r="CE79" s="64" t="n">
        <v>83</v>
      </c>
      <c r="CF79" s="64">
        <f>Retailers!BN78</f>
        <v/>
      </c>
      <c r="CG79" s="64">
        <f>Retailers!BO78</f>
        <v/>
      </c>
      <c r="CH79" s="64">
        <f>Retailers!BP78</f>
        <v/>
      </c>
      <c r="CJ79" s="64" t="n">
        <v>83</v>
      </c>
      <c r="CK79" s="64">
        <f>IF(BB79="ret=0",0,IF(BB79&gt;0,AR79+Distributors_Cap!$P$47-BB79,0))</f>
        <v/>
      </c>
      <c r="CL79" s="64">
        <f>IF(BC79="ret=0",0,IF(BC79&gt;0,AS79+Distributors_Cap!$P$47-BC79,0))</f>
        <v/>
      </c>
      <c r="CM79" s="64">
        <f>IF(BD79="ret=0",0,IF(BD79&gt;0,AT79+Distributors_Cap!$P$47-BD79,0))</f>
        <v/>
      </c>
    </row>
    <row r="80">
      <c r="G80" s="64" t="n">
        <v>84</v>
      </c>
      <c r="H80" s="64" t="n">
        <v>74.29300000000001</v>
      </c>
      <c r="I80" s="64" t="n">
        <v>63.705</v>
      </c>
      <c r="J80" s="64" t="n">
        <v>78.667</v>
      </c>
      <c r="L80" s="64">
        <f>TRUNC((_xlfn.NORM.INV((RAND()),$K$7,$K$8)),0)</f>
        <v/>
      </c>
      <c r="M80" s="64" t="n">
        <v>84</v>
      </c>
      <c r="N80" s="5" t="n">
        <v>14</v>
      </c>
      <c r="O80" s="5" t="n">
        <v>36</v>
      </c>
      <c r="P80" s="5" t="n">
        <v>25</v>
      </c>
      <c r="R80" s="2">
        <f>IF(N80&gt;Demand!AU97,0,(IF(((2*(Retailers!AJ79+Distributors_Cap!$P$47)-Retailers_Cap!$BB$7)*(Demand!AU97-Retailers_Cap!N80))&lt;0,0,((IF(BB80&gt;2*(Retailers!AJ79+Distributors_Cap!$P$47),0,(IF(BG80=0,ROUNDUP((2*(Retailers!AJ79+Distributors_Cap!$P$47)-BB80)^0.5,0),ROUNDUP((2*(Retailers!AJ79+Distributors_Cap!$P$47)-BB80)^0.5,0)))))))))</f>
        <v/>
      </c>
      <c r="S80" s="2">
        <f>IF(O80&gt;Demand!AV97,0,(IF(((2*(Retailers!AK79+Distributors_Cap!$P$47)-Retailers_Cap!$BB$7)*(Demand!AV97-Retailers_Cap!O80))&lt;0,0,((IF(BC80&gt;2*(Retailers!AK79+Distributors_Cap!$P$47),0,(IF(BH80=0,ROUNDUP((2*(Retailers!AK79+Distributors_Cap!$P$47)-BC80)^0.5,0),ROUNDUP((2*(Retailers!AK79+Distributors_Cap!$P$47)-BC80)^0.5,0)))))))))</f>
        <v/>
      </c>
      <c r="T80" s="2">
        <f>IF(P80&gt;Demand!AW97,0,(IF(((2*(Retailers!AL79+Distributors_Cap!$P$47)-Retailers_Cap!$BB$7)*(Demand!AW97-Retailers_Cap!P80))&lt;0,0,((IF(BD80&gt;2*(Retailers!AL79+Distributors_Cap!$P$47),0,(IF(BI80=0,ROUNDUP((2*(Retailers!AL79+Distributors_Cap!$P$47)-BD80)^0.5,0),ROUNDUP((2*(Retailers!AL79+Distributors_Cap!$P$47)-BD80)^0.5,0)))))))))</f>
        <v/>
      </c>
      <c r="W80" s="64" t="n">
        <v>84</v>
      </c>
      <c r="X80" s="9" t="n">
        <v>14</v>
      </c>
      <c r="Y80" s="9" t="n">
        <v>10</v>
      </c>
      <c r="Z80" s="9" t="n">
        <v>7</v>
      </c>
      <c r="AB80" s="2">
        <f>ROUNDDOWN(LOG((X80+1),2),0)</f>
        <v/>
      </c>
      <c r="AC80" s="2">
        <f>ROUNDDOWN(LOG((Y80+1),2),0)</f>
        <v/>
      </c>
      <c r="AD80" s="2">
        <f>ROUNDDOWN(LOG((Z80+1),2),0)</f>
        <v/>
      </c>
      <c r="AG80" s="64" t="n">
        <v>84</v>
      </c>
      <c r="AH80" s="9" t="n">
        <v>3</v>
      </c>
      <c r="AI80" s="9" t="n">
        <v>3</v>
      </c>
      <c r="AJ80" s="9" t="n">
        <v>3</v>
      </c>
      <c r="AQ80" s="64" t="n">
        <v>84</v>
      </c>
      <c r="AR80" s="64" t="n">
        <v>74.29300000000001</v>
      </c>
      <c r="AS80" s="64" t="n">
        <v>63.705</v>
      </c>
      <c r="AT80" s="64" t="n">
        <v>78.667</v>
      </c>
      <c r="AV80" s="64" t="n">
        <v>84</v>
      </c>
      <c r="AW80" s="64">
        <f>Beginning_stock!AT108</f>
        <v/>
      </c>
      <c r="AX80" s="64">
        <f>Beginning_stock!AU108</f>
        <v/>
      </c>
      <c r="AY80" s="64">
        <f>Beginning_stock!AV108</f>
        <v/>
      </c>
      <c r="BA80" s="64" t="n">
        <v>84</v>
      </c>
      <c r="BB80" s="64">
        <f>IF(Demand!AU97=Retailers_Cap!N80,"ret=0",(AW80/(Demand!AU97-Retailers_Cap!N80)))</f>
        <v/>
      </c>
      <c r="BC80" s="64">
        <f>IF(Demand!AV97=Retailers_Cap!O80,"ret=0",(AX80/(Demand!AV97-Retailers_Cap!O80)))</f>
        <v/>
      </c>
      <c r="BD80" s="64">
        <f>IF(Demand!AW97=Retailers_Cap!P80,"ret=0",(AY80/(Demand!AW97-Retailers_Cap!P80)))</f>
        <v/>
      </c>
      <c r="BF80" s="64" t="n">
        <v>84</v>
      </c>
      <c r="BG80" s="2">
        <f>IF(Demand!AU97&lt;=Retailers_Cap!N80,"ret=0",(IF(BB80&lt;=AR80+Distributors_Cap!$P$47,1,0)))</f>
        <v/>
      </c>
      <c r="BH80" s="2">
        <f>IF(Demand!AV97&lt;=Retailers_Cap!O80,"ret=0",(IF(BC80&lt;=AS80+Distributors_Cap!$P$47,1,0)))</f>
        <v/>
      </c>
      <c r="BI80" s="2">
        <f>IF(Demand!AW97&lt;=Retailers_Cap!P80,"ret=0",(IF(BD80&lt;=AT80+Distributors_Cap!$P$47,1,0)))</f>
        <v/>
      </c>
      <c r="BK80" s="64" t="n">
        <v>84</v>
      </c>
      <c r="BL80" s="64">
        <f>Retailers!BH79</f>
        <v/>
      </c>
      <c r="BM80" s="64">
        <f>Retailers!BI79</f>
        <v/>
      </c>
      <c r="BN80" s="64">
        <f>Retailers!BJ79</f>
        <v/>
      </c>
      <c r="BP80" s="64" t="n">
        <v>84</v>
      </c>
      <c r="BQ80" s="64">
        <f>#REF!</f>
        <v/>
      </c>
      <c r="BR80" s="64">
        <f>#REF!</f>
        <v/>
      </c>
      <c r="BS80" s="64">
        <f>#REF!</f>
        <v/>
      </c>
      <c r="BU80" s="64" t="n">
        <v>84</v>
      </c>
      <c r="BV80" s="64">
        <f>Retailers!AS79</f>
        <v/>
      </c>
      <c r="BW80" s="64">
        <f>Retailers!AT79</f>
        <v/>
      </c>
      <c r="BX80" s="64">
        <f>Retailers!AU79</f>
        <v/>
      </c>
      <c r="BZ80" s="64" t="n">
        <v>84</v>
      </c>
      <c r="CA80" s="64">
        <f>Results!#REF!</f>
        <v/>
      </c>
      <c r="CB80" s="64">
        <f>Results!#REF!</f>
        <v/>
      </c>
      <c r="CC80" s="64">
        <f>Results!#REF!</f>
        <v/>
      </c>
      <c r="CE80" s="64" t="n">
        <v>84</v>
      </c>
      <c r="CF80" s="64">
        <f>Retailers!BN79</f>
        <v/>
      </c>
      <c r="CG80" s="64">
        <f>Retailers!BO79</f>
        <v/>
      </c>
      <c r="CH80" s="64">
        <f>Retailers!BP79</f>
        <v/>
      </c>
      <c r="CJ80" s="64" t="n">
        <v>84</v>
      </c>
      <c r="CK80" s="64">
        <f>IF(BB80="ret=0",0,IF(BB80&gt;0,AR80+Distributors_Cap!$P$47-BB80,0))</f>
        <v/>
      </c>
      <c r="CL80" s="64">
        <f>IF(BC80="ret=0",0,IF(BC80&gt;0,AS80+Distributors_Cap!$P$47-BC80,0))</f>
        <v/>
      </c>
      <c r="CM80" s="64">
        <f>IF(BD80="ret=0",0,IF(BD80&gt;0,AT80+Distributors_Cap!$P$47-BD80,0))</f>
        <v/>
      </c>
    </row>
    <row r="81">
      <c r="G81" s="64" t="n">
        <v>85</v>
      </c>
      <c r="H81" s="64" t="n">
        <v>43.88</v>
      </c>
      <c r="I81" s="64" t="n">
        <v>45.26</v>
      </c>
      <c r="J81" s="64" t="n">
        <v>73.002</v>
      </c>
      <c r="L81" s="64">
        <f>TRUNC((_xlfn.NORM.INV((RAND()),$K$7,$K$8)),0)</f>
        <v/>
      </c>
      <c r="M81" s="64" t="n">
        <v>85</v>
      </c>
      <c r="N81" s="5" t="n">
        <v>19</v>
      </c>
      <c r="O81" s="5" t="n">
        <v>28</v>
      </c>
      <c r="P81" s="5" t="n">
        <v>19</v>
      </c>
      <c r="R81" s="2">
        <f>IF(N81&gt;Demand!AU98,0,(IF(((2*(Retailers!AJ80+Distributors_Cap!$P$47)-Retailers_Cap!$BB$7)*(Demand!AU98-Retailers_Cap!N81))&lt;0,0,((IF(BB81&gt;2*(Retailers!AJ80+Distributors_Cap!$P$47),0,(IF(BG81=0,ROUNDUP((2*(Retailers!AJ80+Distributors_Cap!$P$47)-BB81)^0.5,0),ROUNDUP((2*(Retailers!AJ80+Distributors_Cap!$P$47)-BB81)^0.5,0)))))))))</f>
        <v/>
      </c>
      <c r="S81" s="2">
        <f>IF(O81&gt;Demand!AV98,0,(IF(((2*(Retailers!AK80+Distributors_Cap!$P$47)-Retailers_Cap!$BB$7)*(Demand!AV98-Retailers_Cap!O81))&lt;0,0,((IF(BC81&gt;2*(Retailers!AK80+Distributors_Cap!$P$47),0,(IF(BH81=0,ROUNDUP((2*(Retailers!AK80+Distributors_Cap!$P$47)-BC81)^0.5,0),ROUNDUP((2*(Retailers!AK80+Distributors_Cap!$P$47)-BC81)^0.5,0)))))))))</f>
        <v/>
      </c>
      <c r="T81" s="2">
        <f>IF(P81&gt;Demand!AW98,0,(IF(((2*(Retailers!AL80+Distributors_Cap!$P$47)-Retailers_Cap!$BB$7)*(Demand!AW98-Retailers_Cap!P81))&lt;0,0,((IF(BD81&gt;2*(Retailers!AL80+Distributors_Cap!$P$47),0,(IF(BI81=0,ROUNDUP((2*(Retailers!AL80+Distributors_Cap!$P$47)-BD81)^0.5,0),ROUNDUP((2*(Retailers!AL80+Distributors_Cap!$P$47)-BD81)^0.5,0)))))))))</f>
        <v/>
      </c>
      <c r="W81" s="64" t="n">
        <v>85</v>
      </c>
      <c r="X81" s="9" t="n">
        <v>12</v>
      </c>
      <c r="Y81" s="9" t="n">
        <v>4</v>
      </c>
      <c r="Z81" s="9" t="n">
        <v>14</v>
      </c>
      <c r="AB81" s="2">
        <f>ROUNDDOWN(LOG((X81+1),2),0)</f>
        <v/>
      </c>
      <c r="AC81" s="2">
        <f>ROUNDDOWN(LOG((Y81+1),2),0)</f>
        <v/>
      </c>
      <c r="AD81" s="2">
        <f>ROUNDDOWN(LOG((Z81+1),2),0)</f>
        <v/>
      </c>
      <c r="AG81" s="64" t="n">
        <v>85</v>
      </c>
      <c r="AH81" s="9" t="n">
        <v>3</v>
      </c>
      <c r="AI81" s="9" t="n">
        <v>2</v>
      </c>
      <c r="AJ81" s="9" t="n">
        <v>3</v>
      </c>
      <c r="AQ81" s="64" t="n">
        <v>85</v>
      </c>
      <c r="AR81" s="64" t="n">
        <v>43.88</v>
      </c>
      <c r="AS81" s="64" t="n">
        <v>45.26</v>
      </c>
      <c r="AT81" s="64" t="n">
        <v>73.002</v>
      </c>
      <c r="AV81" s="64" t="n">
        <v>85</v>
      </c>
      <c r="AW81" s="64">
        <f>Beginning_stock!AT109</f>
        <v/>
      </c>
      <c r="AX81" s="64">
        <f>Beginning_stock!AU109</f>
        <v/>
      </c>
      <c r="AY81" s="64">
        <f>Beginning_stock!AV109</f>
        <v/>
      </c>
      <c r="BA81" s="64" t="n">
        <v>85</v>
      </c>
      <c r="BB81" s="64">
        <f>IF(Demand!AU98=Retailers_Cap!N81,"ret=0",(AW81/(Demand!AU98-Retailers_Cap!N81)))</f>
        <v/>
      </c>
      <c r="BC81" s="64">
        <f>IF(Demand!AV98=Retailers_Cap!O81,"ret=0",(AX81/(Demand!AV98-Retailers_Cap!O81)))</f>
        <v/>
      </c>
      <c r="BD81" s="64">
        <f>IF(Demand!AW98=Retailers_Cap!P81,"ret=0",(AY81/(Demand!AW98-Retailers_Cap!P81)))</f>
        <v/>
      </c>
      <c r="BF81" s="64" t="n">
        <v>85</v>
      </c>
      <c r="BG81" s="2">
        <f>IF(Demand!AU98&lt;=Retailers_Cap!N81,"ret=0",(IF(BB81&lt;=AR81+Distributors_Cap!$P$47,1,0)))</f>
        <v/>
      </c>
      <c r="BH81" s="2">
        <f>IF(Demand!AV98&lt;=Retailers_Cap!O81,"ret=0",(IF(BC81&lt;=AS81+Distributors_Cap!$P$47,1,0)))</f>
        <v/>
      </c>
      <c r="BI81" s="2">
        <f>IF(Demand!AW98&lt;=Retailers_Cap!P81,"ret=0",(IF(BD81&lt;=AT81+Distributors_Cap!$P$47,1,0)))</f>
        <v/>
      </c>
      <c r="BK81" s="64" t="n">
        <v>85</v>
      </c>
      <c r="BL81" s="64">
        <f>Retailers!BH80</f>
        <v/>
      </c>
      <c r="BM81" s="64">
        <f>Retailers!BI80</f>
        <v/>
      </c>
      <c r="BN81" s="64">
        <f>Retailers!BJ80</f>
        <v/>
      </c>
      <c r="BP81" s="64" t="n">
        <v>85</v>
      </c>
      <c r="BQ81" s="64">
        <f>#REF!</f>
        <v/>
      </c>
      <c r="BR81" s="64">
        <f>#REF!</f>
        <v/>
      </c>
      <c r="BS81" s="64">
        <f>#REF!</f>
        <v/>
      </c>
      <c r="BU81" s="64" t="n">
        <v>85</v>
      </c>
      <c r="BV81" s="64">
        <f>Retailers!AS80</f>
        <v/>
      </c>
      <c r="BW81" s="64">
        <f>Retailers!AT80</f>
        <v/>
      </c>
      <c r="BX81" s="64">
        <f>Retailers!AU80</f>
        <v/>
      </c>
      <c r="BZ81" s="64" t="n">
        <v>85</v>
      </c>
      <c r="CA81" s="64">
        <f>Results!#REF!</f>
        <v/>
      </c>
      <c r="CB81" s="64">
        <f>Results!#REF!</f>
        <v/>
      </c>
      <c r="CC81" s="64">
        <f>Results!#REF!</f>
        <v/>
      </c>
      <c r="CE81" s="64" t="n">
        <v>85</v>
      </c>
      <c r="CF81" s="64">
        <f>Retailers!BN80</f>
        <v/>
      </c>
      <c r="CG81" s="64">
        <f>Retailers!BO80</f>
        <v/>
      </c>
      <c r="CH81" s="64">
        <f>Retailers!BP80</f>
        <v/>
      </c>
      <c r="CJ81" s="64" t="n">
        <v>85</v>
      </c>
      <c r="CK81" s="64">
        <f>IF(BB81="ret=0",0,IF(BB81&gt;0,AR81+Distributors_Cap!$P$47-BB81,0))</f>
        <v/>
      </c>
      <c r="CL81" s="64">
        <f>IF(BC81="ret=0",0,IF(BC81&gt;0,AS81+Distributors_Cap!$P$47-BC81,0))</f>
        <v/>
      </c>
      <c r="CM81" s="64">
        <f>IF(BD81="ret=0",0,IF(BD81&gt;0,AT81+Distributors_Cap!$P$47-BD81,0))</f>
        <v/>
      </c>
    </row>
    <row r="82">
      <c r="G82" s="64" t="n">
        <v>86</v>
      </c>
      <c r="H82" s="64" t="n">
        <v>48.869</v>
      </c>
      <c r="I82" s="64" t="n">
        <v>72.712</v>
      </c>
      <c r="J82" s="64" t="n">
        <v>37.245</v>
      </c>
      <c r="L82" s="64">
        <f>TRUNC((_xlfn.NORM.INV((RAND()),$K$7,$K$8)),0)</f>
        <v/>
      </c>
      <c r="M82" s="64" t="n">
        <v>86</v>
      </c>
      <c r="N82" s="5" t="n">
        <v>36</v>
      </c>
      <c r="O82" s="5" t="n">
        <v>25</v>
      </c>
      <c r="P82" s="5" t="n">
        <v>31</v>
      </c>
      <c r="R82" s="2">
        <f>IF(N82&gt;Demand!AU99,0,(IF(((2*(Retailers!AJ81+Distributors_Cap!$P$47)-Retailers_Cap!$BB$7)*(Demand!AU99-Retailers_Cap!N82))&lt;0,0,((IF(BB82&gt;2*(Retailers!AJ81+Distributors_Cap!$P$47),0,(IF(BG82=0,ROUNDUP((2*(Retailers!AJ81+Distributors_Cap!$P$47)-BB82)^0.5,0),ROUNDUP((2*(Retailers!AJ81+Distributors_Cap!$P$47)-BB82)^0.5,0)))))))))</f>
        <v/>
      </c>
      <c r="S82" s="2">
        <f>IF(O82&gt;Demand!AV99,0,(IF(((2*(Retailers!AK81+Distributors_Cap!$P$47)-Retailers_Cap!$BB$7)*(Demand!AV99-Retailers_Cap!O82))&lt;0,0,((IF(BC82&gt;2*(Retailers!AK81+Distributors_Cap!$P$47),0,(IF(BH82=0,ROUNDUP((2*(Retailers!AK81+Distributors_Cap!$P$47)-BC82)^0.5,0),ROUNDUP((2*(Retailers!AK81+Distributors_Cap!$P$47)-BC82)^0.5,0)))))))))</f>
        <v/>
      </c>
      <c r="T82" s="2">
        <f>IF(P82&gt;Demand!AW99,0,(IF(((2*(Retailers!AL81+Distributors_Cap!$P$47)-Retailers_Cap!$BB$7)*(Demand!AW99-Retailers_Cap!P82))&lt;0,0,((IF(BD82&gt;2*(Retailers!AL81+Distributors_Cap!$P$47),0,(IF(BI82=0,ROUNDUP((2*(Retailers!AL81+Distributors_Cap!$P$47)-BD82)^0.5,0),ROUNDUP((2*(Retailers!AL81+Distributors_Cap!$P$47)-BD82)^0.5,0)))))))))</f>
        <v/>
      </c>
      <c r="W82" s="64" t="n">
        <v>86</v>
      </c>
      <c r="X82" s="9" t="n">
        <v>0</v>
      </c>
      <c r="Y82" s="9" t="n">
        <v>0</v>
      </c>
      <c r="Z82" s="9" t="n">
        <v>0</v>
      </c>
      <c r="AB82" s="2">
        <f>ROUNDDOWN(LOG((X82+1),2),0)</f>
        <v/>
      </c>
      <c r="AC82" s="2">
        <f>ROUNDDOWN(LOG((Y82+1),2),0)</f>
        <v/>
      </c>
      <c r="AD82" s="2">
        <f>ROUNDDOWN(LOG((Z82+1),2),0)</f>
        <v/>
      </c>
      <c r="AG82" s="64" t="n">
        <v>86</v>
      </c>
      <c r="AH82" s="9" t="n">
        <v>0</v>
      </c>
      <c r="AI82" s="9" t="n">
        <v>0</v>
      </c>
      <c r="AJ82" s="9" t="n">
        <v>0</v>
      </c>
      <c r="AQ82" s="64" t="n">
        <v>86</v>
      </c>
      <c r="AR82" s="64" t="n">
        <v>48.869</v>
      </c>
      <c r="AS82" s="64" t="n">
        <v>72.712</v>
      </c>
      <c r="AT82" s="64" t="n">
        <v>37.245</v>
      </c>
      <c r="AV82" s="64" t="n">
        <v>86</v>
      </c>
      <c r="AW82" s="64">
        <f>Beginning_stock!AT110</f>
        <v/>
      </c>
      <c r="AX82" s="64">
        <f>Beginning_stock!AU110</f>
        <v/>
      </c>
      <c r="AY82" s="64">
        <f>Beginning_stock!AV110</f>
        <v/>
      </c>
      <c r="BA82" s="64" t="n">
        <v>86</v>
      </c>
      <c r="BB82" s="64">
        <f>IF(Demand!AU99=Retailers_Cap!N82,"ret=0",(AW82/(Demand!AU99-Retailers_Cap!N82)))</f>
        <v/>
      </c>
      <c r="BC82" s="64">
        <f>IF(Demand!AV99=Retailers_Cap!O82,"ret=0",(AX82/(Demand!AV99-Retailers_Cap!O82)))</f>
        <v/>
      </c>
      <c r="BD82" s="64">
        <f>IF(Demand!AW99=Retailers_Cap!P82,"ret=0",(AY82/(Demand!AW99-Retailers_Cap!P82)))</f>
        <v/>
      </c>
      <c r="BF82" s="64" t="n">
        <v>86</v>
      </c>
      <c r="BG82" s="2">
        <f>IF(Demand!AU99&lt;=Retailers_Cap!N82,"ret=0",(IF(BB82&lt;=AR82+Distributors_Cap!$P$47,1,0)))</f>
        <v/>
      </c>
      <c r="BH82" s="2">
        <f>IF(Demand!AV99&lt;=Retailers_Cap!O82,"ret=0",(IF(BC82&lt;=AS82+Distributors_Cap!$P$47,1,0)))</f>
        <v/>
      </c>
      <c r="BI82" s="2">
        <f>IF(Demand!AW99&lt;=Retailers_Cap!P82,"ret=0",(IF(BD82&lt;=AT82+Distributors_Cap!$P$47,1,0)))</f>
        <v/>
      </c>
      <c r="BK82" s="64" t="n">
        <v>86</v>
      </c>
      <c r="BL82" s="64">
        <f>Retailers!BH81</f>
        <v/>
      </c>
      <c r="BM82" s="64">
        <f>Retailers!BI81</f>
        <v/>
      </c>
      <c r="BN82" s="64">
        <f>Retailers!BJ81</f>
        <v/>
      </c>
      <c r="BP82" s="64" t="n">
        <v>86</v>
      </c>
      <c r="BQ82" s="64">
        <f>#REF!</f>
        <v/>
      </c>
      <c r="BR82" s="64">
        <f>#REF!</f>
        <v/>
      </c>
      <c r="BS82" s="64">
        <f>#REF!</f>
        <v/>
      </c>
      <c r="BU82" s="64" t="n">
        <v>86</v>
      </c>
      <c r="BV82" s="64">
        <f>Retailers!AS81</f>
        <v/>
      </c>
      <c r="BW82" s="64">
        <f>Retailers!AT81</f>
        <v/>
      </c>
      <c r="BX82" s="64">
        <f>Retailers!AU81</f>
        <v/>
      </c>
      <c r="BZ82" s="64" t="n">
        <v>86</v>
      </c>
      <c r="CA82" s="64">
        <f>Results!#REF!</f>
        <v/>
      </c>
      <c r="CB82" s="64">
        <f>Results!#REF!</f>
        <v/>
      </c>
      <c r="CC82" s="64">
        <f>Results!#REF!</f>
        <v/>
      </c>
      <c r="CE82" s="64" t="n">
        <v>86</v>
      </c>
      <c r="CF82" s="64">
        <f>Retailers!BN81</f>
        <v/>
      </c>
      <c r="CG82" s="64">
        <f>Retailers!BO81</f>
        <v/>
      </c>
      <c r="CH82" s="64">
        <f>Retailers!BP81</f>
        <v/>
      </c>
      <c r="CJ82" s="64" t="n">
        <v>86</v>
      </c>
      <c r="CK82" s="64">
        <f>IF(BB82="ret=0",0,IF(BB82&gt;0,AR82+Distributors_Cap!$P$47-BB82,0))</f>
        <v/>
      </c>
      <c r="CL82" s="64">
        <f>IF(BC82="ret=0",0,IF(BC82&gt;0,AS82+Distributors_Cap!$P$47-BC82,0))</f>
        <v/>
      </c>
      <c r="CM82" s="64">
        <f>IF(BD82="ret=0",0,IF(BD82&gt;0,AT82+Distributors_Cap!$P$47-BD82,0))</f>
        <v/>
      </c>
    </row>
    <row r="83">
      <c r="G83" s="64" t="n">
        <v>87</v>
      </c>
      <c r="H83" s="64" t="n">
        <v>49.193</v>
      </c>
      <c r="I83" s="64" t="n">
        <v>60.402</v>
      </c>
      <c r="J83" s="64" t="n">
        <v>54.749</v>
      </c>
      <c r="L83" s="64">
        <f>TRUNC((_xlfn.NORM.INV((RAND()),$K$7,$K$8)),0)</f>
        <v/>
      </c>
      <c r="M83" s="64" t="n">
        <v>87</v>
      </c>
      <c r="N83" s="5" t="n">
        <v>32</v>
      </c>
      <c r="O83" s="5" t="n">
        <v>30</v>
      </c>
      <c r="P83" s="5" t="n">
        <v>29</v>
      </c>
      <c r="R83" s="2">
        <f>IF(N83&gt;Demand!AU100,0,(IF(((2*(Retailers!AJ82+Distributors_Cap!$P$47)-Retailers_Cap!$BB$7)*(Demand!AU100-Retailers_Cap!N83))&lt;0,0,((IF(BB83&gt;2*(Retailers!AJ82+Distributors_Cap!$P$47),0,(IF(BG83=0,ROUNDUP((2*(Retailers!AJ82+Distributors_Cap!$P$47)-BB83)^0.5,0),ROUNDUP((2*(Retailers!AJ82+Distributors_Cap!$P$47)-BB83)^0.5,0)))))))))</f>
        <v/>
      </c>
      <c r="S83" s="2">
        <f>IF(O83&gt;Demand!AV100,0,(IF(((2*(Retailers!AK82+Distributors_Cap!$P$47)-Retailers_Cap!$BB$7)*(Demand!AV100-Retailers_Cap!O83))&lt;0,0,((IF(BC83&gt;2*(Retailers!AK82+Distributors_Cap!$P$47),0,(IF(BH83=0,ROUNDUP((2*(Retailers!AK82+Distributors_Cap!$P$47)-BC83)^0.5,0),ROUNDUP((2*(Retailers!AK82+Distributors_Cap!$P$47)-BC83)^0.5,0)))))))))</f>
        <v/>
      </c>
      <c r="T83" s="2">
        <f>IF(P83&gt;Demand!AW100,0,(IF(((2*(Retailers!AL82+Distributors_Cap!$P$47)-Retailers_Cap!$BB$7)*(Demand!AW100-Retailers_Cap!P83))&lt;0,0,((IF(BD83&gt;2*(Retailers!AL82+Distributors_Cap!$P$47),0,(IF(BI83=0,ROUNDUP((2*(Retailers!AL82+Distributors_Cap!$P$47)-BD83)^0.5,0),ROUNDUP((2*(Retailers!AL82+Distributors_Cap!$P$47)-BD83)^0.5,0)))))))))</f>
        <v/>
      </c>
      <c r="W83" s="64" t="n">
        <v>87</v>
      </c>
      <c r="X83" s="9" t="n">
        <v>0</v>
      </c>
      <c r="Y83" s="9" t="n">
        <v>13</v>
      </c>
      <c r="Z83" s="9" t="n">
        <v>13</v>
      </c>
      <c r="AB83" s="2">
        <f>ROUNDDOWN(LOG((X83+1),2),0)</f>
        <v/>
      </c>
      <c r="AC83" s="2">
        <f>ROUNDDOWN(LOG((Y83+1),2),0)</f>
        <v/>
      </c>
      <c r="AD83" s="2">
        <f>ROUNDDOWN(LOG((Z83+1),2),0)</f>
        <v/>
      </c>
      <c r="AG83" s="64" t="n">
        <v>87</v>
      </c>
      <c r="AH83" s="9" t="n">
        <v>0</v>
      </c>
      <c r="AI83" s="9" t="n">
        <v>3</v>
      </c>
      <c r="AJ83" s="9" t="n">
        <v>3</v>
      </c>
      <c r="AQ83" s="64" t="n">
        <v>87</v>
      </c>
      <c r="AR83" s="64" t="n">
        <v>49.193</v>
      </c>
      <c r="AS83" s="64" t="n">
        <v>60.402</v>
      </c>
      <c r="AT83" s="64" t="n">
        <v>54.749</v>
      </c>
      <c r="AV83" s="64" t="n">
        <v>87</v>
      </c>
      <c r="AW83" s="64">
        <f>Beginning_stock!AT111</f>
        <v/>
      </c>
      <c r="AX83" s="64">
        <f>Beginning_stock!AU111</f>
        <v/>
      </c>
      <c r="AY83" s="64">
        <f>Beginning_stock!AV111</f>
        <v/>
      </c>
      <c r="BA83" s="64" t="n">
        <v>87</v>
      </c>
      <c r="BB83" s="64">
        <f>IF(Demand!AU100=Retailers_Cap!N83,"ret=0",(AW83/(Demand!AU100-Retailers_Cap!N83)))</f>
        <v/>
      </c>
      <c r="BC83" s="64">
        <f>IF(Demand!AV100=Retailers_Cap!O83,"ret=0",(AX83/(Demand!AV100-Retailers_Cap!O83)))</f>
        <v/>
      </c>
      <c r="BD83" s="64">
        <f>IF(Demand!AW100=Retailers_Cap!P83,"ret=0",(AY83/(Demand!AW100-Retailers_Cap!P83)))</f>
        <v/>
      </c>
      <c r="BF83" s="64" t="n">
        <v>87</v>
      </c>
      <c r="BG83" s="2">
        <f>IF(Demand!AU100&lt;=Retailers_Cap!N83,"ret=0",(IF(BB83&lt;=AR83+Distributors_Cap!$P$47,1,0)))</f>
        <v/>
      </c>
      <c r="BH83" s="2">
        <f>IF(Demand!AV100&lt;=Retailers_Cap!O83,"ret=0",(IF(BC83&lt;=AS83+Distributors_Cap!$P$47,1,0)))</f>
        <v/>
      </c>
      <c r="BI83" s="2">
        <f>IF(Demand!AW100&lt;=Retailers_Cap!P83,"ret=0",(IF(BD83&lt;=AT83+Distributors_Cap!$P$47,1,0)))</f>
        <v/>
      </c>
      <c r="BK83" s="64" t="n">
        <v>87</v>
      </c>
      <c r="BL83" s="64">
        <f>Retailers!BH82</f>
        <v/>
      </c>
      <c r="BM83" s="64">
        <f>Retailers!BI82</f>
        <v/>
      </c>
      <c r="BN83" s="64">
        <f>Retailers!BJ82</f>
        <v/>
      </c>
      <c r="BP83" s="64" t="n">
        <v>87</v>
      </c>
      <c r="BQ83" s="64">
        <f>#REF!</f>
        <v/>
      </c>
      <c r="BR83" s="64">
        <f>#REF!</f>
        <v/>
      </c>
      <c r="BS83" s="64">
        <f>#REF!</f>
        <v/>
      </c>
      <c r="BU83" s="64" t="n">
        <v>87</v>
      </c>
      <c r="BV83" s="64">
        <f>Retailers!AS82</f>
        <v/>
      </c>
      <c r="BW83" s="64">
        <f>Retailers!AT82</f>
        <v/>
      </c>
      <c r="BX83" s="64">
        <f>Retailers!AU82</f>
        <v/>
      </c>
      <c r="BZ83" s="64" t="n">
        <v>87</v>
      </c>
      <c r="CA83" s="64">
        <f>Results!#REF!</f>
        <v/>
      </c>
      <c r="CB83" s="64">
        <f>Results!#REF!</f>
        <v/>
      </c>
      <c r="CC83" s="64">
        <f>Results!#REF!</f>
        <v/>
      </c>
      <c r="CE83" s="64" t="n">
        <v>87</v>
      </c>
      <c r="CF83" s="64">
        <f>Retailers!BN82</f>
        <v/>
      </c>
      <c r="CG83" s="64">
        <f>Retailers!BO82</f>
        <v/>
      </c>
      <c r="CH83" s="64">
        <f>Retailers!BP82</f>
        <v/>
      </c>
      <c r="CJ83" s="64" t="n">
        <v>87</v>
      </c>
      <c r="CK83" s="64">
        <f>IF(BB83="ret=0",0,IF(BB83&gt;0,AR83+Distributors_Cap!$P$47-BB83,0))</f>
        <v/>
      </c>
      <c r="CL83" s="64">
        <f>IF(BC83="ret=0",0,IF(BC83&gt;0,AS83+Distributors_Cap!$P$47-BC83,0))</f>
        <v/>
      </c>
      <c r="CM83" s="64">
        <f>IF(BD83="ret=0",0,IF(BD83&gt;0,AT83+Distributors_Cap!$P$47-BD83,0))</f>
        <v/>
      </c>
    </row>
    <row r="84">
      <c r="G84" s="64" t="n">
        <v>88</v>
      </c>
      <c r="H84" s="64" t="n">
        <v>63.535</v>
      </c>
      <c r="I84" s="64" t="n">
        <v>56.853</v>
      </c>
      <c r="J84" s="64" t="n">
        <v>54.955</v>
      </c>
      <c r="L84" s="64">
        <f>TRUNC((_xlfn.NORM.INV((RAND()),$K$7,$K$8)),0)</f>
        <v/>
      </c>
      <c r="M84" s="64" t="n">
        <v>88</v>
      </c>
      <c r="N84" s="5" t="n">
        <v>26</v>
      </c>
      <c r="O84" s="5" t="n">
        <v>32</v>
      </c>
      <c r="P84" s="5" t="n">
        <v>36</v>
      </c>
      <c r="R84" s="2">
        <f>IF(N84&gt;Demand!AU101,0,(IF(((2*(Retailers!AJ83+Distributors_Cap!$P$47)-Retailers_Cap!$BB$7)*(Demand!AU101-Retailers_Cap!N84))&lt;0,0,((IF(BB84&gt;2*(Retailers!AJ83+Distributors_Cap!$P$47),0,(IF(BG84=0,ROUNDUP((2*(Retailers!AJ83+Distributors_Cap!$P$47)-BB84)^0.5,0),ROUNDUP((2*(Retailers!AJ83+Distributors_Cap!$P$47)-BB84)^0.5,0)))))))))</f>
        <v/>
      </c>
      <c r="S84" s="2">
        <f>IF(O84&gt;Demand!AV101,0,(IF(((2*(Retailers!AK83+Distributors_Cap!$P$47)-Retailers_Cap!$BB$7)*(Demand!AV101-Retailers_Cap!O84))&lt;0,0,((IF(BC84&gt;2*(Retailers!AK83+Distributors_Cap!$P$47),0,(IF(BH84=0,ROUNDUP((2*(Retailers!AK83+Distributors_Cap!$P$47)-BC84)^0.5,0),ROUNDUP((2*(Retailers!AK83+Distributors_Cap!$P$47)-BC84)^0.5,0)))))))))</f>
        <v/>
      </c>
      <c r="T84" s="2">
        <f>IF(P84&gt;Demand!AW101,0,(IF(((2*(Retailers!AL83+Distributors_Cap!$P$47)-Retailers_Cap!$BB$7)*(Demand!AW101-Retailers_Cap!P84))&lt;0,0,((IF(BD84&gt;2*(Retailers!AL83+Distributors_Cap!$P$47),0,(IF(BI84=0,ROUNDUP((2*(Retailers!AL83+Distributors_Cap!$P$47)-BD84)^0.5,0),ROUNDUP((2*(Retailers!AL83+Distributors_Cap!$P$47)-BD84)^0.5,0)))))))))</f>
        <v/>
      </c>
      <c r="W84" s="64" t="n">
        <v>88</v>
      </c>
      <c r="X84" s="9" t="n">
        <v>0</v>
      </c>
      <c r="Y84" s="9" t="n">
        <v>0</v>
      </c>
      <c r="Z84" s="9" t="n">
        <v>0</v>
      </c>
      <c r="AB84" s="2">
        <f>ROUNDDOWN(LOG((X84+1),2),0)</f>
        <v/>
      </c>
      <c r="AC84" s="2">
        <f>ROUNDDOWN(LOG((Y84+1),2),0)</f>
        <v/>
      </c>
      <c r="AD84" s="2">
        <f>ROUNDDOWN(LOG((Z84+1),2),0)</f>
        <v/>
      </c>
      <c r="AG84" s="64" t="n">
        <v>88</v>
      </c>
      <c r="AH84" s="9" t="n">
        <v>0</v>
      </c>
      <c r="AI84" s="9" t="n">
        <v>0</v>
      </c>
      <c r="AJ84" s="9" t="n">
        <v>0</v>
      </c>
      <c r="AQ84" s="64" t="n">
        <v>88</v>
      </c>
      <c r="AR84" s="64" t="n">
        <v>63.535</v>
      </c>
      <c r="AS84" s="64" t="n">
        <v>56.853</v>
      </c>
      <c r="AT84" s="64" t="n">
        <v>54.955</v>
      </c>
      <c r="AV84" s="64" t="n">
        <v>88</v>
      </c>
      <c r="AW84" s="64">
        <f>Beginning_stock!AT112</f>
        <v/>
      </c>
      <c r="AX84" s="64">
        <f>Beginning_stock!AU112</f>
        <v/>
      </c>
      <c r="AY84" s="64">
        <f>Beginning_stock!AV112</f>
        <v/>
      </c>
      <c r="BA84" s="64" t="n">
        <v>88</v>
      </c>
      <c r="BB84" s="64">
        <f>IF(Demand!AU101=Retailers_Cap!N84,"ret=0",(AW84/(Demand!AU101-Retailers_Cap!N84)))</f>
        <v/>
      </c>
      <c r="BC84" s="64">
        <f>IF(Demand!AV101=Retailers_Cap!O84,"ret=0",(AX84/(Demand!AV101-Retailers_Cap!O84)))</f>
        <v/>
      </c>
      <c r="BD84" s="64">
        <f>IF(Demand!AW101=Retailers_Cap!P84,"ret=0",(AY84/(Demand!AW101-Retailers_Cap!P84)))</f>
        <v/>
      </c>
      <c r="BF84" s="64" t="n">
        <v>88</v>
      </c>
      <c r="BG84" s="2">
        <f>IF(Demand!AU101&lt;=Retailers_Cap!N84,"ret=0",(IF(BB84&lt;=AR84+Distributors_Cap!$P$47,1,0)))</f>
        <v/>
      </c>
      <c r="BH84" s="2">
        <f>IF(Demand!AV101&lt;=Retailers_Cap!O84,"ret=0",(IF(BC84&lt;=AS84+Distributors_Cap!$P$47,1,0)))</f>
        <v/>
      </c>
      <c r="BI84" s="2">
        <f>IF(Demand!AW101&lt;=Retailers_Cap!P84,"ret=0",(IF(BD84&lt;=AT84+Distributors_Cap!$P$47,1,0)))</f>
        <v/>
      </c>
      <c r="BK84" s="64" t="n">
        <v>88</v>
      </c>
      <c r="BL84" s="64">
        <f>Retailers!BH83</f>
        <v/>
      </c>
      <c r="BM84" s="64">
        <f>Retailers!BI83</f>
        <v/>
      </c>
      <c r="BN84" s="64">
        <f>Retailers!BJ83</f>
        <v/>
      </c>
      <c r="BP84" s="64" t="n">
        <v>88</v>
      </c>
      <c r="BQ84" s="64">
        <f>#REF!</f>
        <v/>
      </c>
      <c r="BR84" s="64">
        <f>#REF!</f>
        <v/>
      </c>
      <c r="BS84" s="64">
        <f>#REF!</f>
        <v/>
      </c>
      <c r="BU84" s="64" t="n">
        <v>88</v>
      </c>
      <c r="BV84" s="64">
        <f>Retailers!AS83</f>
        <v/>
      </c>
      <c r="BW84" s="64">
        <f>Retailers!AT83</f>
        <v/>
      </c>
      <c r="BX84" s="64">
        <f>Retailers!AU83</f>
        <v/>
      </c>
      <c r="BZ84" s="64" t="n">
        <v>88</v>
      </c>
      <c r="CA84" s="64">
        <f>Results!#REF!</f>
        <v/>
      </c>
      <c r="CB84" s="64">
        <f>Results!#REF!</f>
        <v/>
      </c>
      <c r="CC84" s="64">
        <f>Results!#REF!</f>
        <v/>
      </c>
      <c r="CE84" s="64" t="n">
        <v>88</v>
      </c>
      <c r="CF84" s="64">
        <f>Retailers!BN83</f>
        <v/>
      </c>
      <c r="CG84" s="64">
        <f>Retailers!BO83</f>
        <v/>
      </c>
      <c r="CH84" s="64">
        <f>Retailers!BP83</f>
        <v/>
      </c>
      <c r="CJ84" s="64" t="n">
        <v>88</v>
      </c>
      <c r="CK84" s="64">
        <f>IF(BB84="ret=0",0,IF(BB84&gt;0,AR84+Distributors_Cap!$P$47-BB84,0))</f>
        <v/>
      </c>
      <c r="CL84" s="64">
        <f>IF(BC84="ret=0",0,IF(BC84&gt;0,AS84+Distributors_Cap!$P$47-BC84,0))</f>
        <v/>
      </c>
      <c r="CM84" s="64">
        <f>IF(BD84="ret=0",0,IF(BD84&gt;0,AT84+Distributors_Cap!$P$47-BD84,0))</f>
        <v/>
      </c>
    </row>
    <row r="85">
      <c r="G85" s="64" t="n">
        <v>89</v>
      </c>
      <c r="H85" s="64" t="n">
        <v>65.476</v>
      </c>
      <c r="I85" s="64" t="n">
        <v>46.921</v>
      </c>
      <c r="J85" s="64" t="n">
        <v>47.585</v>
      </c>
      <c r="L85" s="64">
        <f>TRUNC((_xlfn.NORM.INV((RAND()),$K$7,$K$8)),0)</f>
        <v/>
      </c>
      <c r="M85" s="64" t="n">
        <v>89</v>
      </c>
      <c r="N85" s="5" t="n">
        <v>26</v>
      </c>
      <c r="O85" s="5" t="n">
        <v>17</v>
      </c>
      <c r="P85" s="5" t="n">
        <v>35</v>
      </c>
      <c r="R85" s="2">
        <f>IF(N85&gt;Demand!AU102,0,(IF(((2*(Retailers!AJ84+Distributors_Cap!$P$47)-Retailers_Cap!$BB$7)*(Demand!AU102-Retailers_Cap!N85))&lt;0,0,((IF(BB85&gt;2*(Retailers!AJ84+Distributors_Cap!$P$47),0,(IF(BG85=0,ROUNDUP((2*(Retailers!AJ84+Distributors_Cap!$P$47)-BB85)^0.5,0),ROUNDUP((2*(Retailers!AJ84+Distributors_Cap!$P$47)-BB85)^0.5,0)))))))))</f>
        <v/>
      </c>
      <c r="S85" s="2">
        <f>IF(O85&gt;Demand!AV102,0,(IF(((2*(Retailers!AK84+Distributors_Cap!$P$47)-Retailers_Cap!$BB$7)*(Demand!AV102-Retailers_Cap!O85))&lt;0,0,((IF(BC85&gt;2*(Retailers!AK84+Distributors_Cap!$P$47),0,(IF(BH85=0,ROUNDUP((2*(Retailers!AK84+Distributors_Cap!$P$47)-BC85)^0.5,0),ROUNDUP((2*(Retailers!AK84+Distributors_Cap!$P$47)-BC85)^0.5,0)))))))))</f>
        <v/>
      </c>
      <c r="T85" s="2">
        <f>IF(P85&gt;Demand!AW102,0,(IF(((2*(Retailers!AL84+Distributors_Cap!$P$47)-Retailers_Cap!$BB$7)*(Demand!AW102-Retailers_Cap!P85))&lt;0,0,((IF(BD85&gt;2*(Retailers!AL84+Distributors_Cap!$P$47),0,(IF(BI85=0,ROUNDUP((2*(Retailers!AL84+Distributors_Cap!$P$47)-BD85)^0.5,0),ROUNDUP((2*(Retailers!AL84+Distributors_Cap!$P$47)-BD85)^0.5,0)))))))))</f>
        <v/>
      </c>
      <c r="W85" s="64" t="n">
        <v>89</v>
      </c>
      <c r="X85" s="9" t="n">
        <v>14</v>
      </c>
      <c r="Y85" s="9" t="n">
        <v>0</v>
      </c>
      <c r="Z85" s="9" t="n">
        <v>0</v>
      </c>
      <c r="AB85" s="2">
        <f>ROUNDDOWN(LOG((X85+1),2),0)</f>
        <v/>
      </c>
      <c r="AC85" s="2">
        <f>ROUNDDOWN(LOG((Y85+1),2),0)</f>
        <v/>
      </c>
      <c r="AD85" s="2">
        <f>ROUNDDOWN(LOG((Z85+1),2),0)</f>
        <v/>
      </c>
      <c r="AG85" s="64" t="n">
        <v>89</v>
      </c>
      <c r="AH85" s="9" t="n">
        <v>3</v>
      </c>
      <c r="AI85" s="9" t="n">
        <v>0</v>
      </c>
      <c r="AJ85" s="9" t="n">
        <v>0</v>
      </c>
      <c r="AQ85" s="64" t="n">
        <v>89</v>
      </c>
      <c r="AR85" s="64" t="n">
        <v>65.476</v>
      </c>
      <c r="AS85" s="64" t="n">
        <v>46.921</v>
      </c>
      <c r="AT85" s="64" t="n">
        <v>47.585</v>
      </c>
      <c r="AV85" s="64" t="n">
        <v>89</v>
      </c>
      <c r="AW85" s="64">
        <f>Beginning_stock!AT113</f>
        <v/>
      </c>
      <c r="AX85" s="64">
        <f>Beginning_stock!AU113</f>
        <v/>
      </c>
      <c r="AY85" s="64">
        <f>Beginning_stock!AV113</f>
        <v/>
      </c>
      <c r="BA85" s="64" t="n">
        <v>89</v>
      </c>
      <c r="BB85" s="64">
        <f>IF(Demand!AU102=Retailers_Cap!N85,"ret=0",(AW85/(Demand!AU102-Retailers_Cap!N85)))</f>
        <v/>
      </c>
      <c r="BC85" s="64">
        <f>IF(Demand!AV102=Retailers_Cap!O85,"ret=0",(AX85/(Demand!AV102-Retailers_Cap!O85)))</f>
        <v/>
      </c>
      <c r="BD85" s="64">
        <f>IF(Demand!AW102=Retailers_Cap!P85,"ret=0",(AY85/(Demand!AW102-Retailers_Cap!P85)))</f>
        <v/>
      </c>
      <c r="BF85" s="64" t="n">
        <v>89</v>
      </c>
      <c r="BG85" s="2">
        <f>IF(Demand!AU102&lt;=Retailers_Cap!N85,"ret=0",(IF(BB85&lt;=AR85+Distributors_Cap!$P$47,1,0)))</f>
        <v/>
      </c>
      <c r="BH85" s="2">
        <f>IF(Demand!AV102&lt;=Retailers_Cap!O85,"ret=0",(IF(BC85&lt;=AS85+Distributors_Cap!$P$47,1,0)))</f>
        <v/>
      </c>
      <c r="BI85" s="2">
        <f>IF(Demand!AW102&lt;=Retailers_Cap!P85,"ret=0",(IF(BD85&lt;=AT85+Distributors_Cap!$P$47,1,0)))</f>
        <v/>
      </c>
      <c r="BK85" s="64" t="n">
        <v>89</v>
      </c>
      <c r="BL85" s="64">
        <f>Retailers!BH84</f>
        <v/>
      </c>
      <c r="BM85" s="64">
        <f>Retailers!BI84</f>
        <v/>
      </c>
      <c r="BN85" s="64">
        <f>Retailers!BJ84</f>
        <v/>
      </c>
      <c r="BP85" s="64" t="n">
        <v>89</v>
      </c>
      <c r="BQ85" s="64">
        <f>#REF!</f>
        <v/>
      </c>
      <c r="BR85" s="64">
        <f>#REF!</f>
        <v/>
      </c>
      <c r="BS85" s="64">
        <f>#REF!</f>
        <v/>
      </c>
      <c r="BU85" s="64" t="n">
        <v>89</v>
      </c>
      <c r="BV85" s="64">
        <f>Retailers!AS84</f>
        <v/>
      </c>
      <c r="BW85" s="64">
        <f>Retailers!AT84</f>
        <v/>
      </c>
      <c r="BX85" s="64">
        <f>Retailers!AU84</f>
        <v/>
      </c>
      <c r="BZ85" s="64" t="n">
        <v>89</v>
      </c>
      <c r="CA85" s="64">
        <f>Results!#REF!</f>
        <v/>
      </c>
      <c r="CB85" s="64">
        <f>Results!#REF!</f>
        <v/>
      </c>
      <c r="CC85" s="64">
        <f>Results!#REF!</f>
        <v/>
      </c>
      <c r="CE85" s="64" t="n">
        <v>89</v>
      </c>
      <c r="CF85" s="64">
        <f>Retailers!BN84</f>
        <v/>
      </c>
      <c r="CG85" s="64">
        <f>Retailers!BO84</f>
        <v/>
      </c>
      <c r="CH85" s="64">
        <f>Retailers!BP84</f>
        <v/>
      </c>
      <c r="CJ85" s="64" t="n">
        <v>89</v>
      </c>
      <c r="CK85" s="64">
        <f>IF(BB85="ret=0",0,IF(BB85&gt;0,AR85+Distributors_Cap!$P$47-BB85,0))</f>
        <v/>
      </c>
      <c r="CL85" s="64">
        <f>IF(BC85="ret=0",0,IF(BC85&gt;0,AS85+Distributors_Cap!$P$47-BC85,0))</f>
        <v/>
      </c>
      <c r="CM85" s="64">
        <f>IF(BD85="ret=0",0,IF(BD85&gt;0,AT85+Distributors_Cap!$P$47-BD85,0))</f>
        <v/>
      </c>
    </row>
    <row r="86">
      <c r="G86" s="64" t="n">
        <v>90</v>
      </c>
      <c r="H86" s="64" t="n">
        <v>43.388</v>
      </c>
      <c r="I86" s="64" t="n">
        <v>75.02800000000001</v>
      </c>
      <c r="J86" s="64" t="n">
        <v>62.04</v>
      </c>
      <c r="L86" s="64">
        <f>TRUNC((_xlfn.NORM.INV((RAND()),$K$7,$K$8)),0)</f>
        <v/>
      </c>
      <c r="M86" s="64" t="n">
        <v>90</v>
      </c>
      <c r="N86" s="5" t="n">
        <v>22</v>
      </c>
      <c r="O86" s="5" t="n">
        <v>31</v>
      </c>
      <c r="P86" s="5" t="n">
        <v>32</v>
      </c>
      <c r="R86" s="2">
        <f>IF(N86&gt;Demand!AU103,0,(IF(((2*(Retailers!AJ85+Distributors_Cap!$P$47)-Retailers_Cap!$BB$7)*(Demand!AU103-Retailers_Cap!N86))&lt;0,0,((IF(BB86&gt;2*(Retailers!AJ85+Distributors_Cap!$P$47),0,(IF(BG86=0,ROUNDUP((2*(Retailers!AJ85+Distributors_Cap!$P$47)-BB86)^0.5,0),ROUNDUP((2*(Retailers!AJ85+Distributors_Cap!$P$47)-BB86)^0.5,0)))))))))</f>
        <v/>
      </c>
      <c r="S86" s="2">
        <f>IF(O86&gt;Demand!AV103,0,(IF(((2*(Retailers!AK85+Distributors_Cap!$P$47)-Retailers_Cap!$BB$7)*(Demand!AV103-Retailers_Cap!O86))&lt;0,0,((IF(BC86&gt;2*(Retailers!AK85+Distributors_Cap!$P$47),0,(IF(BH86=0,ROUNDUP((2*(Retailers!AK85+Distributors_Cap!$P$47)-BC86)^0.5,0),ROUNDUP((2*(Retailers!AK85+Distributors_Cap!$P$47)-BC86)^0.5,0)))))))))</f>
        <v/>
      </c>
      <c r="T86" s="2">
        <f>IF(P86&gt;Demand!AW103,0,(IF(((2*(Retailers!AL85+Distributors_Cap!$P$47)-Retailers_Cap!$BB$7)*(Demand!AW103-Retailers_Cap!P86))&lt;0,0,((IF(BD86&gt;2*(Retailers!AL85+Distributors_Cap!$P$47),0,(IF(BI86=0,ROUNDUP((2*(Retailers!AL85+Distributors_Cap!$P$47)-BD86)^0.5,0),ROUNDUP((2*(Retailers!AL85+Distributors_Cap!$P$47)-BD86)^0.5,0)))))))))</f>
        <v/>
      </c>
      <c r="W86" s="64" t="n">
        <v>90</v>
      </c>
      <c r="X86" s="9" t="n">
        <v>0</v>
      </c>
      <c r="Y86" s="9" t="n">
        <v>0</v>
      </c>
      <c r="Z86" s="9" t="n">
        <v>0</v>
      </c>
      <c r="AB86" s="2">
        <f>ROUNDDOWN(LOG((X86+1),2),0)</f>
        <v/>
      </c>
      <c r="AC86" s="2">
        <f>ROUNDDOWN(LOG((Y86+1),2),0)</f>
        <v/>
      </c>
      <c r="AD86" s="2">
        <f>ROUNDDOWN(LOG((Z86+1),2),0)</f>
        <v/>
      </c>
      <c r="AG86" s="64" t="n">
        <v>90</v>
      </c>
      <c r="AH86" s="9" t="n">
        <v>0</v>
      </c>
      <c r="AI86" s="9" t="n">
        <v>0</v>
      </c>
      <c r="AJ86" s="9" t="n">
        <v>0</v>
      </c>
      <c r="AQ86" s="64" t="n">
        <v>90</v>
      </c>
      <c r="AR86" s="64" t="n">
        <v>43.388</v>
      </c>
      <c r="AS86" s="64" t="n">
        <v>75.02800000000001</v>
      </c>
      <c r="AT86" s="64" t="n">
        <v>62.04</v>
      </c>
      <c r="AV86" s="64" t="n">
        <v>90</v>
      </c>
      <c r="AW86" s="64">
        <f>Beginning_stock!AT114</f>
        <v/>
      </c>
      <c r="AX86" s="64">
        <f>Beginning_stock!AU114</f>
        <v/>
      </c>
      <c r="AY86" s="64">
        <f>Beginning_stock!AV114</f>
        <v/>
      </c>
      <c r="BA86" s="64" t="n">
        <v>90</v>
      </c>
      <c r="BB86" s="64">
        <f>IF(Demand!AU103=Retailers_Cap!N86,"ret=0",(AW86/(Demand!AU103-Retailers_Cap!N86)))</f>
        <v/>
      </c>
      <c r="BC86" s="64">
        <f>IF(Demand!AV103=Retailers_Cap!O86,"ret=0",(AX86/(Demand!AV103-Retailers_Cap!O86)))</f>
        <v/>
      </c>
      <c r="BD86" s="64">
        <f>IF(Demand!AW103=Retailers_Cap!P86,"ret=0",(AY86/(Demand!AW103-Retailers_Cap!P86)))</f>
        <v/>
      </c>
      <c r="BF86" s="64" t="n">
        <v>90</v>
      </c>
      <c r="BG86" s="2">
        <f>IF(Demand!AU103&lt;=Retailers_Cap!N86,"ret=0",(IF(BB86&lt;=AR86+Distributors_Cap!$P$47,1,0)))</f>
        <v/>
      </c>
      <c r="BH86" s="2">
        <f>IF(Demand!AV103&lt;=Retailers_Cap!O86,"ret=0",(IF(BC86&lt;=AS86+Distributors_Cap!$P$47,1,0)))</f>
        <v/>
      </c>
      <c r="BI86" s="2">
        <f>IF(Demand!AW103&lt;=Retailers_Cap!P86,"ret=0",(IF(BD86&lt;=AT86+Distributors_Cap!$P$47,1,0)))</f>
        <v/>
      </c>
      <c r="BK86" s="64" t="n">
        <v>90</v>
      </c>
      <c r="BL86" s="64">
        <f>Retailers!BH85</f>
        <v/>
      </c>
      <c r="BM86" s="64">
        <f>Retailers!BI85</f>
        <v/>
      </c>
      <c r="BN86" s="64">
        <f>Retailers!BJ85</f>
        <v/>
      </c>
      <c r="BP86" s="64" t="n">
        <v>90</v>
      </c>
      <c r="BQ86" s="64">
        <f>#REF!</f>
        <v/>
      </c>
      <c r="BR86" s="64">
        <f>#REF!</f>
        <v/>
      </c>
      <c r="BS86" s="64">
        <f>#REF!</f>
        <v/>
      </c>
      <c r="BU86" s="64" t="n">
        <v>90</v>
      </c>
      <c r="BV86" s="64">
        <f>Retailers!AS85</f>
        <v/>
      </c>
      <c r="BW86" s="64">
        <f>Retailers!AT85</f>
        <v/>
      </c>
      <c r="BX86" s="64">
        <f>Retailers!AU85</f>
        <v/>
      </c>
      <c r="BZ86" s="64" t="n">
        <v>90</v>
      </c>
      <c r="CA86" s="64">
        <f>Results!#REF!</f>
        <v/>
      </c>
      <c r="CB86" s="64">
        <f>Results!#REF!</f>
        <v/>
      </c>
      <c r="CC86" s="64">
        <f>Results!#REF!</f>
        <v/>
      </c>
      <c r="CE86" s="64" t="n">
        <v>90</v>
      </c>
      <c r="CF86" s="64">
        <f>Retailers!BN85</f>
        <v/>
      </c>
      <c r="CG86" s="64">
        <f>Retailers!BO85</f>
        <v/>
      </c>
      <c r="CH86" s="64">
        <f>Retailers!BP85</f>
        <v/>
      </c>
      <c r="CJ86" s="64" t="n">
        <v>90</v>
      </c>
      <c r="CK86" s="64">
        <f>IF(BB86="ret=0",0,IF(BB86&gt;0,AR86+Distributors_Cap!$P$47-BB86,0))</f>
        <v/>
      </c>
      <c r="CL86" s="64">
        <f>IF(BC86="ret=0",0,IF(BC86&gt;0,AS86+Distributors_Cap!$P$47-BC86,0))</f>
        <v/>
      </c>
      <c r="CM86" s="64">
        <f>IF(BD86="ret=0",0,IF(BD86&gt;0,AT86+Distributors_Cap!$P$47-BD86,0))</f>
        <v/>
      </c>
    </row>
    <row r="87">
      <c r="G87" s="64" t="n">
        <v>91</v>
      </c>
      <c r="H87" s="64" t="n">
        <v>68.217</v>
      </c>
      <c r="I87" s="64" t="n">
        <v>59.264</v>
      </c>
      <c r="J87" s="64" t="n">
        <v>71.79300000000001</v>
      </c>
      <c r="L87" s="64">
        <f>TRUNC((_xlfn.NORM.INV((RAND()),$K$7,$K$8)),0)</f>
        <v/>
      </c>
      <c r="M87" s="64" t="n">
        <v>91</v>
      </c>
      <c r="N87" s="5" t="n">
        <v>33</v>
      </c>
      <c r="O87" s="5" t="n">
        <v>27</v>
      </c>
      <c r="P87" s="5" t="n">
        <v>40</v>
      </c>
      <c r="R87" s="2">
        <f>IF(N87&gt;Demand!AU104,0,(IF(((2*(Retailers!AJ86+Distributors_Cap!$P$47)-Retailers_Cap!$BB$7)*(Demand!AU104-Retailers_Cap!N87))&lt;0,0,((IF(BB87&gt;2*(Retailers!AJ86+Distributors_Cap!$P$47),0,(IF(BG87=0,ROUNDUP((2*(Retailers!AJ86+Distributors_Cap!$P$47)-BB87)^0.5,0),ROUNDUP((2*(Retailers!AJ86+Distributors_Cap!$P$47)-BB87)^0.5,0)))))))))</f>
        <v/>
      </c>
      <c r="S87" s="2">
        <f>IF(O87&gt;Demand!AV104,0,(IF(((2*(Retailers!AK86+Distributors_Cap!$P$47)-Retailers_Cap!$BB$7)*(Demand!AV104-Retailers_Cap!O87))&lt;0,0,((IF(BC87&gt;2*(Retailers!AK86+Distributors_Cap!$P$47),0,(IF(BH87=0,ROUNDUP((2*(Retailers!AK86+Distributors_Cap!$P$47)-BC87)^0.5,0),ROUNDUP((2*(Retailers!AK86+Distributors_Cap!$P$47)-BC87)^0.5,0)))))))))</f>
        <v/>
      </c>
      <c r="T87" s="2">
        <f>IF(P87&gt;Demand!AW104,0,(IF(((2*(Retailers!AL86+Distributors_Cap!$P$47)-Retailers_Cap!$BB$7)*(Demand!AW104-Retailers_Cap!P87))&lt;0,0,((IF(BD87&gt;2*(Retailers!AL86+Distributors_Cap!$P$47),0,(IF(BI87=0,ROUNDUP((2*(Retailers!AL86+Distributors_Cap!$P$47)-BD87)^0.5,0),ROUNDUP((2*(Retailers!AL86+Distributors_Cap!$P$47)-BD87)^0.5,0)))))))))</f>
        <v/>
      </c>
      <c r="W87" s="64" t="n">
        <v>91</v>
      </c>
      <c r="X87" s="9" t="n">
        <v>0</v>
      </c>
      <c r="Y87" s="9" t="n">
        <v>0</v>
      </c>
      <c r="Z87" s="9" t="n">
        <v>0</v>
      </c>
      <c r="AB87" s="2">
        <f>ROUNDDOWN(LOG((X87+1),2),0)</f>
        <v/>
      </c>
      <c r="AC87" s="2">
        <f>ROUNDDOWN(LOG((Y87+1),2),0)</f>
        <v/>
      </c>
      <c r="AD87" s="2">
        <f>ROUNDDOWN(LOG((Z87+1),2),0)</f>
        <v/>
      </c>
      <c r="AG87" s="64" t="n">
        <v>91</v>
      </c>
      <c r="AH87" s="9" t="n">
        <v>0</v>
      </c>
      <c r="AI87" s="9" t="n">
        <v>0</v>
      </c>
      <c r="AJ87" s="9" t="n">
        <v>0</v>
      </c>
      <c r="AQ87" s="64" t="n">
        <v>91</v>
      </c>
      <c r="AR87" s="64" t="n">
        <v>68.217</v>
      </c>
      <c r="AS87" s="64" t="n">
        <v>59.264</v>
      </c>
      <c r="AT87" s="64" t="n">
        <v>71.79300000000001</v>
      </c>
      <c r="AV87" s="64" t="n">
        <v>91</v>
      </c>
      <c r="AW87" s="64">
        <f>Beginning_stock!AT115</f>
        <v/>
      </c>
      <c r="AX87" s="64">
        <f>Beginning_stock!AU115</f>
        <v/>
      </c>
      <c r="AY87" s="64">
        <f>Beginning_stock!AV115</f>
        <v/>
      </c>
      <c r="BA87" s="64" t="n">
        <v>91</v>
      </c>
      <c r="BB87" s="64">
        <f>IF(Demand!AU104=Retailers_Cap!N87,"ret=0",(AW87/(Demand!AU104-Retailers_Cap!N87)))</f>
        <v/>
      </c>
      <c r="BC87" s="64">
        <f>IF(Demand!AV104=Retailers_Cap!O87,"ret=0",(AX87/(Demand!AV104-Retailers_Cap!O87)))</f>
        <v/>
      </c>
      <c r="BD87" s="64">
        <f>IF(Demand!AW104=Retailers_Cap!P87,"ret=0",(AY87/(Demand!AW104-Retailers_Cap!P87)))</f>
        <v/>
      </c>
      <c r="BF87" s="64" t="n">
        <v>91</v>
      </c>
      <c r="BG87" s="2">
        <f>IF(Demand!AU104&lt;=Retailers_Cap!N87,"ret=0",(IF(BB87&lt;=AR87+Distributors_Cap!$P$47,1,0)))</f>
        <v/>
      </c>
      <c r="BH87" s="2">
        <f>IF(Demand!AV104&lt;=Retailers_Cap!O87,"ret=0",(IF(BC87&lt;=AS87+Distributors_Cap!$P$47,1,0)))</f>
        <v/>
      </c>
      <c r="BI87" s="2">
        <f>IF(Demand!AW104&lt;=Retailers_Cap!P87,"ret=0",(IF(BD87&lt;=AT87+Distributors_Cap!$P$47,1,0)))</f>
        <v/>
      </c>
      <c r="BK87" s="64" t="n">
        <v>91</v>
      </c>
      <c r="BL87" s="64">
        <f>Retailers!BH86</f>
        <v/>
      </c>
      <c r="BM87" s="64">
        <f>Retailers!BI86</f>
        <v/>
      </c>
      <c r="BN87" s="64">
        <f>Retailers!BJ86</f>
        <v/>
      </c>
      <c r="BP87" s="64" t="n">
        <v>91</v>
      </c>
      <c r="BQ87" s="64">
        <f>#REF!</f>
        <v/>
      </c>
      <c r="BR87" s="64">
        <f>#REF!</f>
        <v/>
      </c>
      <c r="BS87" s="64">
        <f>#REF!</f>
        <v/>
      </c>
      <c r="BU87" s="64" t="n">
        <v>91</v>
      </c>
      <c r="BV87" s="64">
        <f>Retailers!AS86</f>
        <v/>
      </c>
      <c r="BW87" s="64">
        <f>Retailers!AT86</f>
        <v/>
      </c>
      <c r="BX87" s="64">
        <f>Retailers!AU86</f>
        <v/>
      </c>
      <c r="BZ87" s="64" t="n">
        <v>91</v>
      </c>
      <c r="CA87" s="64">
        <f>Results!#REF!</f>
        <v/>
      </c>
      <c r="CB87" s="64">
        <f>Results!#REF!</f>
        <v/>
      </c>
      <c r="CC87" s="64">
        <f>Results!#REF!</f>
        <v/>
      </c>
      <c r="CE87" s="64" t="n">
        <v>91</v>
      </c>
      <c r="CF87" s="64">
        <f>Retailers!BN86</f>
        <v/>
      </c>
      <c r="CG87" s="64">
        <f>Retailers!BO86</f>
        <v/>
      </c>
      <c r="CH87" s="64">
        <f>Retailers!BP86</f>
        <v/>
      </c>
      <c r="CJ87" s="64" t="n">
        <v>91</v>
      </c>
      <c r="CK87" s="64">
        <f>IF(BB87="ret=0",0,IF(BB87&gt;0,AR87+Distributors_Cap!$P$47-BB87,0))</f>
        <v/>
      </c>
      <c r="CL87" s="64">
        <f>IF(BC87="ret=0",0,IF(BC87&gt;0,AS87+Distributors_Cap!$P$47-BC87,0))</f>
        <v/>
      </c>
      <c r="CM87" s="64">
        <f>IF(BD87="ret=0",0,IF(BD87&gt;0,AT87+Distributors_Cap!$P$47-BD87,0))</f>
        <v/>
      </c>
    </row>
    <row r="88">
      <c r="G88" s="64" t="n">
        <v>92</v>
      </c>
      <c r="H88" s="64" t="n">
        <v>51.088</v>
      </c>
      <c r="I88" s="64" t="n">
        <v>58.817</v>
      </c>
      <c r="J88" s="64" t="n">
        <v>68.974</v>
      </c>
      <c r="L88" s="64">
        <f>TRUNC((_xlfn.NORM.INV((RAND()),$K$7,$K$8)),0)</f>
        <v/>
      </c>
      <c r="M88" s="64" t="n">
        <v>92</v>
      </c>
      <c r="N88" s="5" t="n">
        <v>16</v>
      </c>
      <c r="O88" s="5" t="n">
        <v>37</v>
      </c>
      <c r="P88" s="5" t="n">
        <v>41</v>
      </c>
      <c r="R88" s="2">
        <f>IF(N88&gt;Demand!AU105,0,(IF(((2*(Retailers!AJ87+Distributors_Cap!$P$47)-Retailers_Cap!$BB$7)*(Demand!AU105-Retailers_Cap!N88))&lt;0,0,((IF(BB88&gt;2*(Retailers!AJ87+Distributors_Cap!$P$47),0,(IF(BG88=0,ROUNDUP((2*(Retailers!AJ87+Distributors_Cap!$P$47)-BB88)^0.5,0),ROUNDUP((2*(Retailers!AJ87+Distributors_Cap!$P$47)-BB88)^0.5,0)))))))))</f>
        <v/>
      </c>
      <c r="S88" s="2">
        <f>IF(O88&gt;Demand!AV105,0,(IF(((2*(Retailers!AK87+Distributors_Cap!$P$47)-Retailers_Cap!$BB$7)*(Demand!AV105-Retailers_Cap!O88))&lt;0,0,((IF(BC88&gt;2*(Retailers!AK87+Distributors_Cap!$P$47),0,(IF(BH88=0,ROUNDUP((2*(Retailers!AK87+Distributors_Cap!$P$47)-BC88)^0.5,0),ROUNDUP((2*(Retailers!AK87+Distributors_Cap!$P$47)-BC88)^0.5,0)))))))))</f>
        <v/>
      </c>
      <c r="T88" s="2">
        <f>IF(P88&gt;Demand!AW105,0,(IF(((2*(Retailers!AL87+Distributors_Cap!$P$47)-Retailers_Cap!$BB$7)*(Demand!AW105-Retailers_Cap!P88))&lt;0,0,((IF(BD88&gt;2*(Retailers!AL87+Distributors_Cap!$P$47),0,(IF(BI88=0,ROUNDUP((2*(Retailers!AL87+Distributors_Cap!$P$47)-BD88)^0.5,0),ROUNDUP((2*(Retailers!AL87+Distributors_Cap!$P$47)-BD88)^0.5,0)))))))))</f>
        <v/>
      </c>
      <c r="W88" s="64" t="n">
        <v>92</v>
      </c>
      <c r="X88" s="9" t="n">
        <v>13</v>
      </c>
      <c r="Y88" s="9" t="n">
        <v>0</v>
      </c>
      <c r="Z88" s="9" t="n">
        <v>0</v>
      </c>
      <c r="AB88" s="2">
        <f>ROUNDDOWN(LOG((X88+1),2),0)</f>
        <v/>
      </c>
      <c r="AC88" s="2">
        <f>ROUNDDOWN(LOG((Y88+1),2),0)</f>
        <v/>
      </c>
      <c r="AD88" s="2">
        <f>ROUNDDOWN(LOG((Z88+1),2),0)</f>
        <v/>
      </c>
      <c r="AG88" s="64" t="n">
        <v>92</v>
      </c>
      <c r="AH88" s="9" t="n">
        <v>3</v>
      </c>
      <c r="AI88" s="9" t="n">
        <v>0</v>
      </c>
      <c r="AJ88" s="9" t="n">
        <v>0</v>
      </c>
      <c r="AQ88" s="64" t="n">
        <v>92</v>
      </c>
      <c r="AR88" s="64" t="n">
        <v>51.088</v>
      </c>
      <c r="AS88" s="64" t="n">
        <v>58.817</v>
      </c>
      <c r="AT88" s="64" t="n">
        <v>68.974</v>
      </c>
      <c r="AV88" s="64" t="n">
        <v>92</v>
      </c>
      <c r="AW88" s="64">
        <f>Beginning_stock!AT116</f>
        <v/>
      </c>
      <c r="AX88" s="64">
        <f>Beginning_stock!AU116</f>
        <v/>
      </c>
      <c r="AY88" s="64">
        <f>Beginning_stock!AV116</f>
        <v/>
      </c>
      <c r="BA88" s="64" t="n">
        <v>92</v>
      </c>
      <c r="BB88" s="64">
        <f>IF(Demand!AU105=Retailers_Cap!N88,"ret=0",(AW88/(Demand!AU105-Retailers_Cap!N88)))</f>
        <v/>
      </c>
      <c r="BC88" s="64">
        <f>IF(Demand!AV105=Retailers_Cap!O88,"ret=0",(AX88/(Demand!AV105-Retailers_Cap!O88)))</f>
        <v/>
      </c>
      <c r="BD88" s="64">
        <f>IF(Demand!AW105=Retailers_Cap!P88,"ret=0",(AY88/(Demand!AW105-Retailers_Cap!P88)))</f>
        <v/>
      </c>
      <c r="BF88" s="64" t="n">
        <v>92</v>
      </c>
      <c r="BG88" s="2">
        <f>IF(Demand!AU105&lt;=Retailers_Cap!N88,"ret=0",(IF(BB88&lt;=AR88+Distributors_Cap!$P$47,1,0)))</f>
        <v/>
      </c>
      <c r="BH88" s="2">
        <f>IF(Demand!AV105&lt;=Retailers_Cap!O88,"ret=0",(IF(BC88&lt;=AS88+Distributors_Cap!$P$47,1,0)))</f>
        <v/>
      </c>
      <c r="BI88" s="2">
        <f>IF(Demand!AW105&lt;=Retailers_Cap!P88,"ret=0",(IF(BD88&lt;=AT88+Distributors_Cap!$P$47,1,0)))</f>
        <v/>
      </c>
      <c r="BK88" s="64" t="n">
        <v>92</v>
      </c>
      <c r="BL88" s="64">
        <f>Retailers!BH87</f>
        <v/>
      </c>
      <c r="BM88" s="64">
        <f>Retailers!BI87</f>
        <v/>
      </c>
      <c r="BN88" s="64">
        <f>Retailers!BJ87</f>
        <v/>
      </c>
      <c r="BP88" s="64" t="n">
        <v>92</v>
      </c>
      <c r="BQ88" s="64">
        <f>#REF!</f>
        <v/>
      </c>
      <c r="BR88" s="64">
        <f>#REF!</f>
        <v/>
      </c>
      <c r="BS88" s="64">
        <f>#REF!</f>
        <v/>
      </c>
      <c r="BU88" s="64" t="n">
        <v>92</v>
      </c>
      <c r="BV88" s="64">
        <f>Retailers!AS87</f>
        <v/>
      </c>
      <c r="BW88" s="64">
        <f>Retailers!AT87</f>
        <v/>
      </c>
      <c r="BX88" s="64">
        <f>Retailers!AU87</f>
        <v/>
      </c>
      <c r="BZ88" s="64" t="n">
        <v>92</v>
      </c>
      <c r="CA88" s="64">
        <f>Results!#REF!</f>
        <v/>
      </c>
      <c r="CB88" s="64">
        <f>Results!#REF!</f>
        <v/>
      </c>
      <c r="CC88" s="64">
        <f>Results!#REF!</f>
        <v/>
      </c>
      <c r="CE88" s="64" t="n">
        <v>92</v>
      </c>
      <c r="CF88" s="64">
        <f>Retailers!BN87</f>
        <v/>
      </c>
      <c r="CG88" s="64">
        <f>Retailers!BO87</f>
        <v/>
      </c>
      <c r="CH88" s="64">
        <f>Retailers!BP87</f>
        <v/>
      </c>
      <c r="CJ88" s="64" t="n">
        <v>92</v>
      </c>
      <c r="CK88" s="64">
        <f>IF(BB88="ret=0",0,IF(BB88&gt;0,AR88+Distributors_Cap!$P$47-BB88,0))</f>
        <v/>
      </c>
      <c r="CL88" s="64">
        <f>IF(BC88="ret=0",0,IF(BC88&gt;0,AS88+Distributors_Cap!$P$47-BC88,0))</f>
        <v/>
      </c>
      <c r="CM88" s="64">
        <f>IF(BD88="ret=0",0,IF(BD88&gt;0,AT88+Distributors_Cap!$P$47-BD88,0))</f>
        <v/>
      </c>
    </row>
    <row r="89">
      <c r="G89" s="64" t="n">
        <v>93</v>
      </c>
      <c r="H89" s="64" t="n">
        <v>63.733</v>
      </c>
      <c r="I89" s="64" t="n">
        <v>56.199</v>
      </c>
      <c r="J89" s="64" t="n">
        <v>54.766</v>
      </c>
      <c r="L89" s="64">
        <f>TRUNC((_xlfn.NORM.INV((RAND()),$K$7,$K$8)),0)</f>
        <v/>
      </c>
      <c r="M89" s="64" t="n">
        <v>93</v>
      </c>
      <c r="N89" s="5" t="n">
        <v>13</v>
      </c>
      <c r="O89" s="5" t="n">
        <v>33</v>
      </c>
      <c r="P89" s="5" t="n">
        <v>32</v>
      </c>
      <c r="R89" s="2">
        <f>IF(N89&gt;Demand!AU106,0,(IF(((2*(Retailers!AJ88+Distributors_Cap!$P$47)-Retailers_Cap!$BB$7)*(Demand!AU106-Retailers_Cap!N89))&lt;0,0,((IF(BB89&gt;2*(Retailers!AJ88+Distributors_Cap!$P$47),0,(IF(BG89=0,ROUNDUP((2*(Retailers!AJ88+Distributors_Cap!$P$47)-BB89)^0.5,0),ROUNDUP((2*(Retailers!AJ88+Distributors_Cap!$P$47)-BB89)^0.5,0)))))))))</f>
        <v/>
      </c>
      <c r="S89" s="2">
        <f>IF(O89&gt;Demand!AV106,0,(IF(((2*(Retailers!AK88+Distributors_Cap!$P$47)-Retailers_Cap!$BB$7)*(Demand!AV106-Retailers_Cap!O89))&lt;0,0,((IF(BC89&gt;2*(Retailers!AK88+Distributors_Cap!$P$47),0,(IF(BH89=0,ROUNDUP((2*(Retailers!AK88+Distributors_Cap!$P$47)-BC89)^0.5,0),ROUNDUP((2*(Retailers!AK88+Distributors_Cap!$P$47)-BC89)^0.5,0)))))))))</f>
        <v/>
      </c>
      <c r="T89" s="2">
        <f>IF(P89&gt;Demand!AW106,0,(IF(((2*(Retailers!AL88+Distributors_Cap!$P$47)-Retailers_Cap!$BB$7)*(Demand!AW106-Retailers_Cap!P89))&lt;0,0,((IF(BD89&gt;2*(Retailers!AL88+Distributors_Cap!$P$47),0,(IF(BI89=0,ROUNDUP((2*(Retailers!AL88+Distributors_Cap!$P$47)-BD89)^0.5,0),ROUNDUP((2*(Retailers!AL88+Distributors_Cap!$P$47)-BD89)^0.5,0)))))))))</f>
        <v/>
      </c>
      <c r="W89" s="64" t="n">
        <v>93</v>
      </c>
      <c r="X89" s="9" t="n">
        <v>13</v>
      </c>
      <c r="Y89" s="9" t="n">
        <v>0</v>
      </c>
      <c r="Z89" s="9" t="n">
        <v>0</v>
      </c>
      <c r="AB89" s="2">
        <f>ROUNDDOWN(LOG((X89+1),2),0)</f>
        <v/>
      </c>
      <c r="AC89" s="2">
        <f>ROUNDDOWN(LOG((Y89+1),2),0)</f>
        <v/>
      </c>
      <c r="AD89" s="2">
        <f>ROUNDDOWN(LOG((Z89+1),2),0)</f>
        <v/>
      </c>
      <c r="AG89" s="64" t="n">
        <v>93</v>
      </c>
      <c r="AH89" s="9" t="n">
        <v>3</v>
      </c>
      <c r="AI89" s="9" t="n">
        <v>0</v>
      </c>
      <c r="AJ89" s="9" t="n">
        <v>0</v>
      </c>
      <c r="AQ89" s="64" t="n">
        <v>93</v>
      </c>
      <c r="AR89" s="64" t="n">
        <v>63.733</v>
      </c>
      <c r="AS89" s="64" t="n">
        <v>56.199</v>
      </c>
      <c r="AT89" s="64" t="n">
        <v>54.766</v>
      </c>
      <c r="AV89" s="64" t="n">
        <v>93</v>
      </c>
      <c r="AW89" s="64">
        <f>Beginning_stock!AT117</f>
        <v/>
      </c>
      <c r="AX89" s="64">
        <f>Beginning_stock!AU117</f>
        <v/>
      </c>
      <c r="AY89" s="64">
        <f>Beginning_stock!AV117</f>
        <v/>
      </c>
      <c r="BA89" s="64" t="n">
        <v>93</v>
      </c>
      <c r="BB89" s="64">
        <f>IF(Demand!AU106=Retailers_Cap!N89,"ret=0",(AW89/(Demand!AU106-Retailers_Cap!N89)))</f>
        <v/>
      </c>
      <c r="BC89" s="64">
        <f>IF(Demand!AV106=Retailers_Cap!O89,"ret=0",(AX89/(Demand!AV106-Retailers_Cap!O89)))</f>
        <v/>
      </c>
      <c r="BD89" s="64">
        <f>IF(Demand!AW106=Retailers_Cap!P89,"ret=0",(AY89/(Demand!AW106-Retailers_Cap!P89)))</f>
        <v/>
      </c>
      <c r="BF89" s="64" t="n">
        <v>93</v>
      </c>
      <c r="BG89" s="2">
        <f>IF(Demand!AU106&lt;=Retailers_Cap!N89,"ret=0",(IF(BB89&lt;=AR89+Distributors_Cap!$P$47,1,0)))</f>
        <v/>
      </c>
      <c r="BH89" s="2">
        <f>IF(Demand!AV106&lt;=Retailers_Cap!O89,"ret=0",(IF(BC89&lt;=AS89+Distributors_Cap!$P$47,1,0)))</f>
        <v/>
      </c>
      <c r="BI89" s="2">
        <f>IF(Demand!AW106&lt;=Retailers_Cap!P89,"ret=0",(IF(BD89&lt;=AT89+Distributors_Cap!$P$47,1,0)))</f>
        <v/>
      </c>
      <c r="BK89" s="64" t="n">
        <v>93</v>
      </c>
      <c r="BL89" s="64">
        <f>Retailers!BH88</f>
        <v/>
      </c>
      <c r="BM89" s="64">
        <f>Retailers!BI88</f>
        <v/>
      </c>
      <c r="BN89" s="64">
        <f>Retailers!BJ88</f>
        <v/>
      </c>
      <c r="BP89" s="64" t="n">
        <v>93</v>
      </c>
      <c r="BQ89" s="64">
        <f>#REF!</f>
        <v/>
      </c>
      <c r="BR89" s="64">
        <f>#REF!</f>
        <v/>
      </c>
      <c r="BS89" s="64">
        <f>#REF!</f>
        <v/>
      </c>
      <c r="BU89" s="64" t="n">
        <v>93</v>
      </c>
      <c r="BV89" s="64">
        <f>Retailers!AS88</f>
        <v/>
      </c>
      <c r="BW89" s="64">
        <f>Retailers!AT88</f>
        <v/>
      </c>
      <c r="BX89" s="64">
        <f>Retailers!AU88</f>
        <v/>
      </c>
      <c r="BZ89" s="64" t="n">
        <v>93</v>
      </c>
      <c r="CA89" s="64">
        <f>Results!#REF!</f>
        <v/>
      </c>
      <c r="CB89" s="64">
        <f>Results!#REF!</f>
        <v/>
      </c>
      <c r="CC89" s="64">
        <f>Results!#REF!</f>
        <v/>
      </c>
      <c r="CE89" s="64" t="n">
        <v>93</v>
      </c>
      <c r="CF89" s="64">
        <f>Retailers!BN88</f>
        <v/>
      </c>
      <c r="CG89" s="64">
        <f>Retailers!BO88</f>
        <v/>
      </c>
      <c r="CH89" s="64">
        <f>Retailers!BP88</f>
        <v/>
      </c>
      <c r="CJ89" s="64" t="n">
        <v>93</v>
      </c>
      <c r="CK89" s="64">
        <f>IF(BB89="ret=0",0,IF(BB89&gt;0,AR89+Distributors_Cap!$P$47-BB89,0))</f>
        <v/>
      </c>
      <c r="CL89" s="64">
        <f>IF(BC89="ret=0",0,IF(BC89&gt;0,AS89+Distributors_Cap!$P$47-BC89,0))</f>
        <v/>
      </c>
      <c r="CM89" s="64">
        <f>IF(BD89="ret=0",0,IF(BD89&gt;0,AT89+Distributors_Cap!$P$47-BD89,0))</f>
        <v/>
      </c>
    </row>
    <row r="90">
      <c r="G90" s="64" t="n">
        <v>94</v>
      </c>
      <c r="H90" s="64" t="n">
        <v>54.094</v>
      </c>
      <c r="I90" s="64" t="n">
        <v>44.299</v>
      </c>
      <c r="J90" s="64" t="n">
        <v>66.834</v>
      </c>
      <c r="L90" s="64">
        <f>TRUNC((_xlfn.NORM.INV((RAND()),$K$7,$K$8)),0)</f>
        <v/>
      </c>
      <c r="M90" s="64" t="n">
        <v>94</v>
      </c>
      <c r="N90" s="5" t="n">
        <v>25</v>
      </c>
      <c r="O90" s="5" t="n">
        <v>32</v>
      </c>
      <c r="P90" s="5" t="n">
        <v>19</v>
      </c>
      <c r="R90" s="2">
        <f>IF(N90&gt;Demand!AU107,0,(IF(((2*(Retailers!AJ89+Distributors_Cap!$P$47)-Retailers_Cap!$BB$7)*(Demand!AU107-Retailers_Cap!N90))&lt;0,0,((IF(BB90&gt;2*(Retailers!AJ89+Distributors_Cap!$P$47),0,(IF(BG90=0,ROUNDUP((2*(Retailers!AJ89+Distributors_Cap!$P$47)-BB90)^0.5,0),ROUNDUP((2*(Retailers!AJ89+Distributors_Cap!$P$47)-BB90)^0.5,0)))))))))</f>
        <v/>
      </c>
      <c r="S90" s="2">
        <f>IF(O90&gt;Demand!AV107,0,(IF(((2*(Retailers!AK89+Distributors_Cap!$P$47)-Retailers_Cap!$BB$7)*(Demand!AV107-Retailers_Cap!O90))&lt;0,0,((IF(BC90&gt;2*(Retailers!AK89+Distributors_Cap!$P$47),0,(IF(BH90=0,ROUNDUP((2*(Retailers!AK89+Distributors_Cap!$P$47)-BC90)^0.5,0),ROUNDUP((2*(Retailers!AK89+Distributors_Cap!$P$47)-BC90)^0.5,0)))))))))</f>
        <v/>
      </c>
      <c r="T90" s="2">
        <f>IF(P90&gt;Demand!AW107,0,(IF(((2*(Retailers!AL89+Distributors_Cap!$P$47)-Retailers_Cap!$BB$7)*(Demand!AW107-Retailers_Cap!P90))&lt;0,0,((IF(BD90&gt;2*(Retailers!AL89+Distributors_Cap!$P$47),0,(IF(BI90=0,ROUNDUP((2*(Retailers!AL89+Distributors_Cap!$P$47)-BD90)^0.5,0),ROUNDUP((2*(Retailers!AL89+Distributors_Cap!$P$47)-BD90)^0.5,0)))))))))</f>
        <v/>
      </c>
      <c r="W90" s="64" t="n">
        <v>94</v>
      </c>
      <c r="X90" s="9" t="n">
        <v>0</v>
      </c>
      <c r="Y90" s="9" t="n">
        <v>9</v>
      </c>
      <c r="Z90" s="9" t="n">
        <v>13</v>
      </c>
      <c r="AB90" s="2">
        <f>ROUNDDOWN(LOG((X90+1),2),0)</f>
        <v/>
      </c>
      <c r="AC90" s="2">
        <f>ROUNDDOWN(LOG((Y90+1),2),0)</f>
        <v/>
      </c>
      <c r="AD90" s="2">
        <f>ROUNDDOWN(LOG((Z90+1),2),0)</f>
        <v/>
      </c>
      <c r="AG90" s="64" t="n">
        <v>94</v>
      </c>
      <c r="AH90" s="9" t="n">
        <v>0</v>
      </c>
      <c r="AI90" s="9" t="n">
        <v>3</v>
      </c>
      <c r="AJ90" s="9" t="n">
        <v>3</v>
      </c>
      <c r="AQ90" s="64" t="n">
        <v>94</v>
      </c>
      <c r="AR90" s="64" t="n">
        <v>54.094</v>
      </c>
      <c r="AS90" s="64" t="n">
        <v>44.299</v>
      </c>
      <c r="AT90" s="64" t="n">
        <v>66.834</v>
      </c>
      <c r="AV90" s="64" t="n">
        <v>94</v>
      </c>
      <c r="AW90" s="64">
        <f>Beginning_stock!AT118</f>
        <v/>
      </c>
      <c r="AX90" s="64">
        <f>Beginning_stock!AU118</f>
        <v/>
      </c>
      <c r="AY90" s="64">
        <f>Beginning_stock!AV118</f>
        <v/>
      </c>
      <c r="BA90" s="64" t="n">
        <v>94</v>
      </c>
      <c r="BB90" s="64">
        <f>IF(Demand!AU107=Retailers_Cap!N90,"ret=0",(AW90/(Demand!AU107-Retailers_Cap!N90)))</f>
        <v/>
      </c>
      <c r="BC90" s="64">
        <f>IF(Demand!AV107=Retailers_Cap!O90,"ret=0",(AX90/(Demand!AV107-Retailers_Cap!O90)))</f>
        <v/>
      </c>
      <c r="BD90" s="64">
        <f>IF(Demand!AW107=Retailers_Cap!P90,"ret=0",(AY90/(Demand!AW107-Retailers_Cap!P90)))</f>
        <v/>
      </c>
      <c r="BF90" s="64" t="n">
        <v>94</v>
      </c>
      <c r="BG90" s="2">
        <f>IF(Demand!AU107&lt;=Retailers_Cap!N90,"ret=0",(IF(BB90&lt;=AR90+Distributors_Cap!$P$47,1,0)))</f>
        <v/>
      </c>
      <c r="BH90" s="2">
        <f>IF(Demand!AV107&lt;=Retailers_Cap!O90,"ret=0",(IF(BC90&lt;=AS90+Distributors_Cap!$P$47,1,0)))</f>
        <v/>
      </c>
      <c r="BI90" s="2">
        <f>IF(Demand!AW107&lt;=Retailers_Cap!P90,"ret=0",(IF(BD90&lt;=AT90+Distributors_Cap!$P$47,1,0)))</f>
        <v/>
      </c>
      <c r="BK90" s="64" t="n">
        <v>94</v>
      </c>
      <c r="BL90" s="64">
        <f>Retailers!BH89</f>
        <v/>
      </c>
      <c r="BM90" s="64">
        <f>Retailers!BI89</f>
        <v/>
      </c>
      <c r="BN90" s="64">
        <f>Retailers!BJ89</f>
        <v/>
      </c>
      <c r="BP90" s="64" t="n">
        <v>94</v>
      </c>
      <c r="BQ90" s="64">
        <f>#REF!</f>
        <v/>
      </c>
      <c r="BR90" s="64">
        <f>#REF!</f>
        <v/>
      </c>
      <c r="BS90" s="64">
        <f>#REF!</f>
        <v/>
      </c>
      <c r="BU90" s="64" t="n">
        <v>94</v>
      </c>
      <c r="BV90" s="64">
        <f>Retailers!AS89</f>
        <v/>
      </c>
      <c r="BW90" s="64">
        <f>Retailers!AT89</f>
        <v/>
      </c>
      <c r="BX90" s="64">
        <f>Retailers!AU89</f>
        <v/>
      </c>
      <c r="BZ90" s="64" t="n">
        <v>94</v>
      </c>
      <c r="CA90" s="64">
        <f>Results!#REF!</f>
        <v/>
      </c>
      <c r="CB90" s="64">
        <f>Results!#REF!</f>
        <v/>
      </c>
      <c r="CC90" s="64">
        <f>Results!#REF!</f>
        <v/>
      </c>
      <c r="CE90" s="64" t="n">
        <v>94</v>
      </c>
      <c r="CF90" s="64">
        <f>Retailers!BN89</f>
        <v/>
      </c>
      <c r="CG90" s="64">
        <f>Retailers!BO89</f>
        <v/>
      </c>
      <c r="CH90" s="64">
        <f>Retailers!BP89</f>
        <v/>
      </c>
      <c r="CJ90" s="64" t="n">
        <v>94</v>
      </c>
      <c r="CK90" s="64">
        <f>IF(BB90="ret=0",0,IF(BB90&gt;0,AR90+Distributors_Cap!$P$47-BB90,0))</f>
        <v/>
      </c>
      <c r="CL90" s="64">
        <f>IF(BC90="ret=0",0,IF(BC90&gt;0,AS90+Distributors_Cap!$P$47-BC90,0))</f>
        <v/>
      </c>
      <c r="CM90" s="64">
        <f>IF(BD90="ret=0",0,IF(BD90&gt;0,AT90+Distributors_Cap!$P$47-BD90,0))</f>
        <v/>
      </c>
    </row>
    <row r="91">
      <c r="G91" s="64" t="n">
        <v>95</v>
      </c>
      <c r="H91" s="64" t="n">
        <v>65.167</v>
      </c>
      <c r="I91" s="64" t="n">
        <v>53.927</v>
      </c>
      <c r="J91" s="64" t="n">
        <v>50.366</v>
      </c>
      <c r="L91" s="64">
        <f>TRUNC((_xlfn.NORM.INV((RAND()),$K$7,$K$8)),0)</f>
        <v/>
      </c>
      <c r="M91" s="64" t="n">
        <v>95</v>
      </c>
      <c r="N91" s="5" t="n">
        <v>18</v>
      </c>
      <c r="O91" s="5" t="n">
        <v>29</v>
      </c>
      <c r="P91" s="5" t="n">
        <v>19</v>
      </c>
      <c r="R91" s="2">
        <f>IF(N91&gt;Demand!AU108,0,(IF(((2*(Retailers!AJ90+Distributors_Cap!$P$47)-Retailers_Cap!$BB$7)*(Demand!AU108-Retailers_Cap!N91))&lt;0,0,((IF(BB91&gt;2*(Retailers!AJ90+Distributors_Cap!$P$47),0,(IF(BG91=0,ROUNDUP((2*(Retailers!AJ90+Distributors_Cap!$P$47)-BB91)^0.5,0),ROUNDUP((2*(Retailers!AJ90+Distributors_Cap!$P$47)-BB91)^0.5,0)))))))))</f>
        <v/>
      </c>
      <c r="S91" s="2">
        <f>IF(O91&gt;Demand!AV108,0,(IF(((2*(Retailers!AK90+Distributors_Cap!$P$47)-Retailers_Cap!$BB$7)*(Demand!AV108-Retailers_Cap!O91))&lt;0,0,((IF(BC91&gt;2*(Retailers!AK90+Distributors_Cap!$P$47),0,(IF(BH91=0,ROUNDUP((2*(Retailers!AK90+Distributors_Cap!$P$47)-BC91)^0.5,0),ROUNDUP((2*(Retailers!AK90+Distributors_Cap!$P$47)-BC91)^0.5,0)))))))))</f>
        <v/>
      </c>
      <c r="T91" s="2">
        <f>IF(P91&gt;Demand!AW108,0,(IF(((2*(Retailers!AL90+Distributors_Cap!$P$47)-Retailers_Cap!$BB$7)*(Demand!AW108-Retailers_Cap!P91))&lt;0,0,((IF(BD91&gt;2*(Retailers!AL90+Distributors_Cap!$P$47),0,(IF(BI91=0,ROUNDUP((2*(Retailers!AL90+Distributors_Cap!$P$47)-BD91)^0.5,0),ROUNDUP((2*(Retailers!AL90+Distributors_Cap!$P$47)-BD91)^0.5,0)))))))))</f>
        <v/>
      </c>
      <c r="W91" s="64" t="n">
        <v>95</v>
      </c>
      <c r="X91" s="9" t="n">
        <v>0</v>
      </c>
      <c r="Y91" s="9" t="n">
        <v>12</v>
      </c>
      <c r="Z91" s="9" t="n">
        <v>12</v>
      </c>
      <c r="AB91" s="2">
        <f>ROUNDDOWN(LOG((X91+1),2),0)</f>
        <v/>
      </c>
      <c r="AC91" s="2">
        <f>ROUNDDOWN(LOG((Y91+1),2),0)</f>
        <v/>
      </c>
      <c r="AD91" s="2">
        <f>ROUNDDOWN(LOG((Z91+1),2),0)</f>
        <v/>
      </c>
      <c r="AG91" s="64" t="n">
        <v>95</v>
      </c>
      <c r="AH91" s="9" t="n">
        <v>0</v>
      </c>
      <c r="AI91" s="9" t="n">
        <v>3</v>
      </c>
      <c r="AJ91" s="9" t="n">
        <v>3</v>
      </c>
      <c r="AQ91" s="64" t="n">
        <v>95</v>
      </c>
      <c r="AR91" s="64" t="n">
        <v>65.167</v>
      </c>
      <c r="AS91" s="64" t="n">
        <v>53.927</v>
      </c>
      <c r="AT91" s="64" t="n">
        <v>50.366</v>
      </c>
      <c r="AV91" s="64" t="n">
        <v>95</v>
      </c>
      <c r="AW91" s="64">
        <f>Beginning_stock!AT119</f>
        <v/>
      </c>
      <c r="AX91" s="64">
        <f>Beginning_stock!AU119</f>
        <v/>
      </c>
      <c r="AY91" s="64">
        <f>Beginning_stock!AV119</f>
        <v/>
      </c>
      <c r="BA91" s="64" t="n">
        <v>95</v>
      </c>
      <c r="BB91" s="64">
        <f>IF(Demand!AU108=Retailers_Cap!N91,"ret=0",(AW91/(Demand!AU108-Retailers_Cap!N91)))</f>
        <v/>
      </c>
      <c r="BC91" s="64">
        <f>IF(Demand!AV108=Retailers_Cap!O91,"ret=0",(AX91/(Demand!AV108-Retailers_Cap!O91)))</f>
        <v/>
      </c>
      <c r="BD91" s="64">
        <f>IF(Demand!AW108=Retailers_Cap!P91,"ret=0",(AY91/(Demand!AW108-Retailers_Cap!P91)))</f>
        <v/>
      </c>
      <c r="BF91" s="64" t="n">
        <v>95</v>
      </c>
      <c r="BG91" s="2">
        <f>IF(Demand!AU108&lt;=Retailers_Cap!N91,"ret=0",(IF(BB91&lt;=AR91+Distributors_Cap!$P$47,1,0)))</f>
        <v/>
      </c>
      <c r="BH91" s="2">
        <f>IF(Demand!AV108&lt;=Retailers_Cap!O91,"ret=0",(IF(BC91&lt;=AS91+Distributors_Cap!$P$47,1,0)))</f>
        <v/>
      </c>
      <c r="BI91" s="2">
        <f>IF(Demand!AW108&lt;=Retailers_Cap!P91,"ret=0",(IF(BD91&lt;=AT91+Distributors_Cap!$P$47,1,0)))</f>
        <v/>
      </c>
      <c r="BK91" s="64" t="n">
        <v>95</v>
      </c>
      <c r="BL91" s="64">
        <f>Retailers!BH90</f>
        <v/>
      </c>
      <c r="BM91" s="64">
        <f>Retailers!BI90</f>
        <v/>
      </c>
      <c r="BN91" s="64">
        <f>Retailers!BJ90</f>
        <v/>
      </c>
      <c r="BP91" s="64" t="n">
        <v>95</v>
      </c>
      <c r="BQ91" s="64">
        <f>#REF!</f>
        <v/>
      </c>
      <c r="BR91" s="64">
        <f>#REF!</f>
        <v/>
      </c>
      <c r="BS91" s="64">
        <f>#REF!</f>
        <v/>
      </c>
      <c r="BU91" s="64" t="n">
        <v>95</v>
      </c>
      <c r="BV91" s="64">
        <f>Retailers!AS90</f>
        <v/>
      </c>
      <c r="BW91" s="64">
        <f>Retailers!AT90</f>
        <v/>
      </c>
      <c r="BX91" s="64">
        <f>Retailers!AU90</f>
        <v/>
      </c>
      <c r="BZ91" s="64" t="n">
        <v>95</v>
      </c>
      <c r="CA91" s="64">
        <f>Results!#REF!</f>
        <v/>
      </c>
      <c r="CB91" s="64">
        <f>Results!#REF!</f>
        <v/>
      </c>
      <c r="CC91" s="64">
        <f>Results!#REF!</f>
        <v/>
      </c>
      <c r="CE91" s="64" t="n">
        <v>95</v>
      </c>
      <c r="CF91" s="64">
        <f>Retailers!BN90</f>
        <v/>
      </c>
      <c r="CG91" s="64">
        <f>Retailers!BO90</f>
        <v/>
      </c>
      <c r="CH91" s="64">
        <f>Retailers!BP90</f>
        <v/>
      </c>
      <c r="CJ91" s="64" t="n">
        <v>95</v>
      </c>
      <c r="CK91" s="64">
        <f>IF(BB91="ret=0",0,IF(BB91&gt;0,AR91+Distributors_Cap!$P$47-BB91,0))</f>
        <v/>
      </c>
      <c r="CL91" s="64">
        <f>IF(BC91="ret=0",0,IF(BC91&gt;0,AS91+Distributors_Cap!$P$47-BC91,0))</f>
        <v/>
      </c>
      <c r="CM91" s="64">
        <f>IF(BD91="ret=0",0,IF(BD91&gt;0,AT91+Distributors_Cap!$P$47-BD91,0))</f>
        <v/>
      </c>
    </row>
    <row r="92">
      <c r="G92" s="64" t="n">
        <v>96</v>
      </c>
      <c r="H92" s="64" t="n">
        <v>45.181</v>
      </c>
      <c r="I92" s="64" t="n">
        <v>83.289</v>
      </c>
      <c r="J92" s="64" t="n">
        <v>55.479</v>
      </c>
      <c r="L92" s="64">
        <f>TRUNC((_xlfn.NORM.INV((RAND()),$K$7,$K$8)),0)</f>
        <v/>
      </c>
      <c r="M92" s="64" t="n">
        <v>96</v>
      </c>
      <c r="N92" s="5" t="n">
        <v>40</v>
      </c>
      <c r="O92" s="5" t="n">
        <v>22</v>
      </c>
      <c r="P92" s="5" t="n">
        <v>32</v>
      </c>
      <c r="R92" s="2">
        <f>IF(N92&gt;Demand!AU109,0,(IF(((2*(Retailers!AJ91+Distributors_Cap!$P$47)-Retailers_Cap!$BB$7)*(Demand!AU109-Retailers_Cap!N92))&lt;0,0,((IF(BB92&gt;2*(Retailers!AJ91+Distributors_Cap!$P$47),0,(IF(BG92=0,ROUNDUP((2*(Retailers!AJ91+Distributors_Cap!$P$47)-BB92)^0.5,0),ROUNDUP((2*(Retailers!AJ91+Distributors_Cap!$P$47)-BB92)^0.5,0)))))))))</f>
        <v/>
      </c>
      <c r="S92" s="2">
        <f>IF(O92&gt;Demand!AV109,0,(IF(((2*(Retailers!AK91+Distributors_Cap!$P$47)-Retailers_Cap!$BB$7)*(Demand!AV109-Retailers_Cap!O92))&lt;0,0,((IF(BC92&gt;2*(Retailers!AK91+Distributors_Cap!$P$47),0,(IF(BH92=0,ROUNDUP((2*(Retailers!AK91+Distributors_Cap!$P$47)-BC92)^0.5,0),ROUNDUP((2*(Retailers!AK91+Distributors_Cap!$P$47)-BC92)^0.5,0)))))))))</f>
        <v/>
      </c>
      <c r="T92" s="2">
        <f>IF(P92&gt;Demand!AW109,0,(IF(((2*(Retailers!AL91+Distributors_Cap!$P$47)-Retailers_Cap!$BB$7)*(Demand!AW109-Retailers_Cap!P92))&lt;0,0,((IF(BD92&gt;2*(Retailers!AL91+Distributors_Cap!$P$47),0,(IF(BI92=0,ROUNDUP((2*(Retailers!AL91+Distributors_Cap!$P$47)-BD92)^0.5,0),ROUNDUP((2*(Retailers!AL91+Distributors_Cap!$P$47)-BD92)^0.5,0)))))))))</f>
        <v/>
      </c>
      <c r="W92" s="64" t="n">
        <v>96</v>
      </c>
      <c r="X92" s="9" t="n">
        <v>0</v>
      </c>
      <c r="Y92" s="9" t="n">
        <v>0</v>
      </c>
      <c r="Z92" s="9" t="n">
        <v>0</v>
      </c>
      <c r="AB92" s="2">
        <f>ROUNDDOWN(LOG((X92+1),2),0)</f>
        <v/>
      </c>
      <c r="AC92" s="2">
        <f>ROUNDDOWN(LOG((Y92+1),2),0)</f>
        <v/>
      </c>
      <c r="AD92" s="2">
        <f>ROUNDDOWN(LOG((Z92+1),2),0)</f>
        <v/>
      </c>
      <c r="AG92" s="64" t="n">
        <v>96</v>
      </c>
      <c r="AH92" s="9" t="n">
        <v>0</v>
      </c>
      <c r="AI92" s="9" t="n">
        <v>0</v>
      </c>
      <c r="AJ92" s="9" t="n">
        <v>0</v>
      </c>
      <c r="AQ92" s="64" t="n">
        <v>96</v>
      </c>
      <c r="AR92" s="64" t="n">
        <v>45.181</v>
      </c>
      <c r="AS92" s="64" t="n">
        <v>83.289</v>
      </c>
      <c r="AT92" s="64" t="n">
        <v>55.479</v>
      </c>
      <c r="AV92" s="64" t="n">
        <v>96</v>
      </c>
      <c r="AW92" s="64">
        <f>Beginning_stock!AT120</f>
        <v/>
      </c>
      <c r="AX92" s="64">
        <f>Beginning_stock!AU120</f>
        <v/>
      </c>
      <c r="AY92" s="64">
        <f>Beginning_stock!AV120</f>
        <v/>
      </c>
      <c r="BA92" s="64" t="n">
        <v>96</v>
      </c>
      <c r="BB92" s="64">
        <f>IF(Demand!AU109=Retailers_Cap!N92,"ret=0",(AW92/(Demand!AU109-Retailers_Cap!N92)))</f>
        <v/>
      </c>
      <c r="BC92" s="64">
        <f>IF(Demand!AV109=Retailers_Cap!O92,"ret=0",(AX92/(Demand!AV109-Retailers_Cap!O92)))</f>
        <v/>
      </c>
      <c r="BD92" s="64">
        <f>IF(Demand!AW109=Retailers_Cap!P92,"ret=0",(AY92/(Demand!AW109-Retailers_Cap!P92)))</f>
        <v/>
      </c>
      <c r="BF92" s="64" t="n">
        <v>96</v>
      </c>
      <c r="BG92" s="2">
        <f>IF(Demand!AU109&lt;=Retailers_Cap!N92,"ret=0",(IF(BB92&lt;=AR92+Distributors_Cap!$P$47,1,0)))</f>
        <v/>
      </c>
      <c r="BH92" s="2">
        <f>IF(Demand!AV109&lt;=Retailers_Cap!O92,"ret=0",(IF(BC92&lt;=AS92+Distributors_Cap!$P$47,1,0)))</f>
        <v/>
      </c>
      <c r="BI92" s="2">
        <f>IF(Demand!AW109&lt;=Retailers_Cap!P92,"ret=0",(IF(BD92&lt;=AT92+Distributors_Cap!$P$47,1,0)))</f>
        <v/>
      </c>
      <c r="BK92" s="64" t="n">
        <v>96</v>
      </c>
      <c r="BL92" s="64">
        <f>Retailers!BH91</f>
        <v/>
      </c>
      <c r="BM92" s="64">
        <f>Retailers!BI91</f>
        <v/>
      </c>
      <c r="BN92" s="64">
        <f>Retailers!BJ91</f>
        <v/>
      </c>
      <c r="BP92" s="64" t="n">
        <v>96</v>
      </c>
      <c r="BQ92" s="64">
        <f>#REF!</f>
        <v/>
      </c>
      <c r="BR92" s="64">
        <f>#REF!</f>
        <v/>
      </c>
      <c r="BS92" s="64">
        <f>#REF!</f>
        <v/>
      </c>
      <c r="BU92" s="64" t="n">
        <v>96</v>
      </c>
      <c r="BV92" s="64">
        <f>Retailers!AS91</f>
        <v/>
      </c>
      <c r="BW92" s="64">
        <f>Retailers!AT91</f>
        <v/>
      </c>
      <c r="BX92" s="64">
        <f>Retailers!AU91</f>
        <v/>
      </c>
      <c r="BZ92" s="64" t="n">
        <v>96</v>
      </c>
      <c r="CA92" s="64">
        <f>Results!#REF!</f>
        <v/>
      </c>
      <c r="CB92" s="64">
        <f>Results!#REF!</f>
        <v/>
      </c>
      <c r="CC92" s="64">
        <f>Results!#REF!</f>
        <v/>
      </c>
      <c r="CE92" s="64" t="n">
        <v>96</v>
      </c>
      <c r="CF92" s="64">
        <f>Retailers!BN91</f>
        <v/>
      </c>
      <c r="CG92" s="64">
        <f>Retailers!BO91</f>
        <v/>
      </c>
      <c r="CH92" s="64">
        <f>Retailers!BP91</f>
        <v/>
      </c>
      <c r="CJ92" s="64" t="n">
        <v>96</v>
      </c>
      <c r="CK92" s="64">
        <f>IF(BB92="ret=0",0,IF(BB92&gt;0,AR92+Distributors_Cap!$P$47-BB92,0))</f>
        <v/>
      </c>
      <c r="CL92" s="64">
        <f>IF(BC92="ret=0",0,IF(BC92&gt;0,AS92+Distributors_Cap!$P$47-BC92,0))</f>
        <v/>
      </c>
      <c r="CM92" s="64">
        <f>IF(BD92="ret=0",0,IF(BD92&gt;0,AT92+Distributors_Cap!$P$47-BD92,0))</f>
        <v/>
      </c>
    </row>
    <row r="93">
      <c r="G93" s="64" t="n">
        <v>97</v>
      </c>
      <c r="H93" s="64" t="n">
        <v>79.949</v>
      </c>
      <c r="I93" s="64" t="n">
        <v>56.712</v>
      </c>
      <c r="J93" s="64" t="n">
        <v>81.46599999999999</v>
      </c>
      <c r="L93" s="64">
        <f>TRUNC((_xlfn.NORM.INV((RAND()),$K$7,$K$8)),0)</f>
        <v/>
      </c>
      <c r="M93" s="64" t="n">
        <v>97</v>
      </c>
      <c r="N93" s="5" t="n">
        <v>23</v>
      </c>
      <c r="O93" s="5" t="n">
        <v>35</v>
      </c>
      <c r="P93" s="5" t="n">
        <v>24</v>
      </c>
      <c r="R93" s="2">
        <f>IF(N93&gt;Demand!AU110,0,(IF(((2*(Retailers!AJ92+Distributors_Cap!$P$47)-Retailers_Cap!$BB$7)*(Demand!AU110-Retailers_Cap!N93))&lt;0,0,((IF(BB93&gt;2*(Retailers!AJ92+Distributors_Cap!$P$47),0,(IF(BG93=0,ROUNDUP((2*(Retailers!AJ92+Distributors_Cap!$P$47)-BB93)^0.5,0),ROUNDUP((2*(Retailers!AJ92+Distributors_Cap!$P$47)-BB93)^0.5,0)))))))))</f>
        <v/>
      </c>
      <c r="S93" s="2">
        <f>IF(O93&gt;Demand!AV110,0,(IF(((2*(Retailers!AK92+Distributors_Cap!$P$47)-Retailers_Cap!$BB$7)*(Demand!AV110-Retailers_Cap!O93))&lt;0,0,((IF(BC93&gt;2*(Retailers!AK92+Distributors_Cap!$P$47),0,(IF(BH93=0,ROUNDUP((2*(Retailers!AK92+Distributors_Cap!$P$47)-BC93)^0.5,0),ROUNDUP((2*(Retailers!AK92+Distributors_Cap!$P$47)-BC93)^0.5,0)))))))))</f>
        <v/>
      </c>
      <c r="T93" s="2">
        <f>IF(P93&gt;Demand!AW110,0,(IF(((2*(Retailers!AL92+Distributors_Cap!$P$47)-Retailers_Cap!$BB$7)*(Demand!AW110-Retailers_Cap!P93))&lt;0,0,((IF(BD93&gt;2*(Retailers!AL92+Distributors_Cap!$P$47),0,(IF(BI93=0,ROUNDUP((2*(Retailers!AL92+Distributors_Cap!$P$47)-BD93)^0.5,0),ROUNDUP((2*(Retailers!AL92+Distributors_Cap!$P$47)-BD93)^0.5,0)))))))))</f>
        <v/>
      </c>
      <c r="W93" s="64" t="n">
        <v>97</v>
      </c>
      <c r="X93" s="9" t="n">
        <v>15</v>
      </c>
      <c r="Y93" s="9" t="n">
        <v>0</v>
      </c>
      <c r="Z93" s="9" t="n">
        <v>13</v>
      </c>
      <c r="AB93" s="2">
        <f>ROUNDDOWN(LOG((X93+1),2),0)</f>
        <v/>
      </c>
      <c r="AC93" s="2">
        <f>ROUNDDOWN(LOG((Y93+1),2),0)</f>
        <v/>
      </c>
      <c r="AD93" s="2">
        <f>ROUNDDOWN(LOG((Z93+1),2),0)</f>
        <v/>
      </c>
      <c r="AG93" s="64" t="n">
        <v>97</v>
      </c>
      <c r="AH93" s="9" t="n">
        <v>4</v>
      </c>
      <c r="AI93" s="9" t="n">
        <v>0</v>
      </c>
      <c r="AJ93" s="9" t="n">
        <v>3</v>
      </c>
      <c r="AQ93" s="64" t="n">
        <v>97</v>
      </c>
      <c r="AR93" s="64" t="n">
        <v>79.949</v>
      </c>
      <c r="AS93" s="64" t="n">
        <v>56.712</v>
      </c>
      <c r="AT93" s="64" t="n">
        <v>81.46599999999999</v>
      </c>
      <c r="AV93" s="64" t="n">
        <v>97</v>
      </c>
      <c r="AW93" s="64">
        <f>Beginning_stock!AT121</f>
        <v/>
      </c>
      <c r="AX93" s="64">
        <f>Beginning_stock!AU121</f>
        <v/>
      </c>
      <c r="AY93" s="64">
        <f>Beginning_stock!AV121</f>
        <v/>
      </c>
      <c r="BA93" s="64" t="n">
        <v>97</v>
      </c>
      <c r="BB93" s="64">
        <f>IF(Demand!AU110=Retailers_Cap!N93,"ret=0",(AW93/(Demand!AU110-Retailers_Cap!N93)))</f>
        <v/>
      </c>
      <c r="BC93" s="64">
        <f>IF(Demand!AV110=Retailers_Cap!O93,"ret=0",(AX93/(Demand!AV110-Retailers_Cap!O93)))</f>
        <v/>
      </c>
      <c r="BD93" s="64">
        <f>IF(Demand!AW110=Retailers_Cap!P93,"ret=0",(AY93/(Demand!AW110-Retailers_Cap!P93)))</f>
        <v/>
      </c>
      <c r="BF93" s="64" t="n">
        <v>97</v>
      </c>
      <c r="BG93" s="2">
        <f>IF(Demand!AU110&lt;=Retailers_Cap!N93,"ret=0",(IF(BB93&lt;=AR93+Distributors_Cap!$P$47,1,0)))</f>
        <v/>
      </c>
      <c r="BH93" s="2">
        <f>IF(Demand!AV110&lt;=Retailers_Cap!O93,"ret=0",(IF(BC93&lt;=AS93+Distributors_Cap!$P$47,1,0)))</f>
        <v/>
      </c>
      <c r="BI93" s="2">
        <f>IF(Demand!AW110&lt;=Retailers_Cap!P93,"ret=0",(IF(BD93&lt;=AT93+Distributors_Cap!$P$47,1,0)))</f>
        <v/>
      </c>
      <c r="BK93" s="64" t="n">
        <v>97</v>
      </c>
      <c r="BL93" s="64">
        <f>Retailers!BH92</f>
        <v/>
      </c>
      <c r="BM93" s="64">
        <f>Retailers!BI92</f>
        <v/>
      </c>
      <c r="BN93" s="64">
        <f>Retailers!BJ92</f>
        <v/>
      </c>
      <c r="BP93" s="64" t="n">
        <v>97</v>
      </c>
      <c r="BQ93" s="64">
        <f>#REF!</f>
        <v/>
      </c>
      <c r="BR93" s="64">
        <f>#REF!</f>
        <v/>
      </c>
      <c r="BS93" s="64">
        <f>#REF!</f>
        <v/>
      </c>
      <c r="BU93" s="64" t="n">
        <v>97</v>
      </c>
      <c r="BV93" s="64">
        <f>Retailers!AS92</f>
        <v/>
      </c>
      <c r="BW93" s="64">
        <f>Retailers!AT92</f>
        <v/>
      </c>
      <c r="BX93" s="64">
        <f>Retailers!AU92</f>
        <v/>
      </c>
      <c r="BZ93" s="64" t="n">
        <v>97</v>
      </c>
      <c r="CA93" s="64">
        <f>Results!#REF!</f>
        <v/>
      </c>
      <c r="CB93" s="64">
        <f>Results!#REF!</f>
        <v/>
      </c>
      <c r="CC93" s="64">
        <f>Results!#REF!</f>
        <v/>
      </c>
      <c r="CE93" s="64" t="n">
        <v>97</v>
      </c>
      <c r="CF93" s="64">
        <f>Retailers!BN92</f>
        <v/>
      </c>
      <c r="CG93" s="64">
        <f>Retailers!BO92</f>
        <v/>
      </c>
      <c r="CH93" s="64">
        <f>Retailers!BP92</f>
        <v/>
      </c>
      <c r="CJ93" s="64" t="n">
        <v>97</v>
      </c>
      <c r="CK93" s="64">
        <f>IF(BB93="ret=0",0,IF(BB93&gt;0,AR93+Distributors_Cap!$P$47-BB93,0))</f>
        <v/>
      </c>
      <c r="CL93" s="64">
        <f>IF(BC93="ret=0",0,IF(BC93&gt;0,AS93+Distributors_Cap!$P$47-BC93,0))</f>
        <v/>
      </c>
      <c r="CM93" s="64">
        <f>IF(BD93="ret=0",0,IF(BD93&gt;0,AT93+Distributors_Cap!$P$47-BD93,0))</f>
        <v/>
      </c>
    </row>
    <row r="94">
      <c r="G94" s="64" t="n">
        <v>98</v>
      </c>
      <c r="H94" s="64" t="n">
        <v>54.484</v>
      </c>
      <c r="I94" s="64" t="n">
        <v>51.385</v>
      </c>
      <c r="J94" s="64" t="n">
        <v>48.596</v>
      </c>
      <c r="L94" s="64">
        <f>TRUNC((_xlfn.NORM.INV((RAND()),$K$7,$K$8)),0)</f>
        <v/>
      </c>
      <c r="M94" s="64" t="n">
        <v>98</v>
      </c>
      <c r="N94" s="5" t="n">
        <v>37</v>
      </c>
      <c r="O94" s="5" t="n">
        <v>28</v>
      </c>
      <c r="P94" s="5" t="n">
        <v>18</v>
      </c>
      <c r="R94" s="2">
        <f>IF(N94&gt;Demand!AU111,0,(IF(((2*(Retailers!AJ93+Distributors_Cap!$P$47)-Retailers_Cap!$BB$7)*(Demand!AU111-Retailers_Cap!N94))&lt;0,0,((IF(BB94&gt;2*(Retailers!AJ93+Distributors_Cap!$P$47),0,(IF(BG94=0,ROUNDUP((2*(Retailers!AJ93+Distributors_Cap!$P$47)-BB94)^0.5,0),ROUNDUP((2*(Retailers!AJ93+Distributors_Cap!$P$47)-BB94)^0.5,0)))))))))</f>
        <v/>
      </c>
      <c r="S94" s="2">
        <f>IF(O94&gt;Demand!AV111,0,(IF(((2*(Retailers!AK93+Distributors_Cap!$P$47)-Retailers_Cap!$BB$7)*(Demand!AV111-Retailers_Cap!O94))&lt;0,0,((IF(BC94&gt;2*(Retailers!AK93+Distributors_Cap!$P$47),0,(IF(BH94=0,ROUNDUP((2*(Retailers!AK93+Distributors_Cap!$P$47)-BC94)^0.5,0),ROUNDUP((2*(Retailers!AK93+Distributors_Cap!$P$47)-BC94)^0.5,0)))))))))</f>
        <v/>
      </c>
      <c r="T94" s="2">
        <f>IF(P94&gt;Demand!AW111,0,(IF(((2*(Retailers!AL93+Distributors_Cap!$P$47)-Retailers_Cap!$BB$7)*(Demand!AW111-Retailers_Cap!P94))&lt;0,0,((IF(BD94&gt;2*(Retailers!AL93+Distributors_Cap!$P$47),0,(IF(BI94=0,ROUNDUP((2*(Retailers!AL93+Distributors_Cap!$P$47)-BD94)^0.5,0),ROUNDUP((2*(Retailers!AL93+Distributors_Cap!$P$47)-BD94)^0.5,0)))))))))</f>
        <v/>
      </c>
      <c r="W94" s="64" t="n">
        <v>98</v>
      </c>
      <c r="X94" s="9" t="n">
        <v>0</v>
      </c>
      <c r="Y94" s="9" t="n">
        <v>0</v>
      </c>
      <c r="Z94" s="9" t="n">
        <v>12</v>
      </c>
      <c r="AB94" s="2">
        <f>ROUNDDOWN(LOG((X94+1),2),0)</f>
        <v/>
      </c>
      <c r="AC94" s="2">
        <f>ROUNDDOWN(LOG((Y94+1),2),0)</f>
        <v/>
      </c>
      <c r="AD94" s="2">
        <f>ROUNDDOWN(LOG((Z94+1),2),0)</f>
        <v/>
      </c>
      <c r="AG94" s="64" t="n">
        <v>98</v>
      </c>
      <c r="AH94" s="9" t="n">
        <v>0</v>
      </c>
      <c r="AI94" s="9" t="n">
        <v>0</v>
      </c>
      <c r="AJ94" s="9" t="n">
        <v>3</v>
      </c>
      <c r="AQ94" s="64" t="n">
        <v>98</v>
      </c>
      <c r="AR94" s="64" t="n">
        <v>54.484</v>
      </c>
      <c r="AS94" s="64" t="n">
        <v>51.385</v>
      </c>
      <c r="AT94" s="64" t="n">
        <v>48.596</v>
      </c>
      <c r="AV94" s="64" t="n">
        <v>98</v>
      </c>
      <c r="AW94" s="64">
        <f>Beginning_stock!AT122</f>
        <v/>
      </c>
      <c r="AX94" s="64">
        <f>Beginning_stock!AU122</f>
        <v/>
      </c>
      <c r="AY94" s="64">
        <f>Beginning_stock!AV122</f>
        <v/>
      </c>
      <c r="BA94" s="64" t="n">
        <v>98</v>
      </c>
      <c r="BB94" s="64">
        <f>IF(Demand!AU111=Retailers_Cap!N94,"ret=0",(AW94/(Demand!AU111-Retailers_Cap!N94)))</f>
        <v/>
      </c>
      <c r="BC94" s="64">
        <f>IF(Demand!AV111=Retailers_Cap!O94,"ret=0",(AX94/(Demand!AV111-Retailers_Cap!O94)))</f>
        <v/>
      </c>
      <c r="BD94" s="64">
        <f>IF(Demand!AW111=Retailers_Cap!P94,"ret=0",(AY94/(Demand!AW111-Retailers_Cap!P94)))</f>
        <v/>
      </c>
      <c r="BF94" s="64" t="n">
        <v>98</v>
      </c>
      <c r="BG94" s="2">
        <f>IF(Demand!AU111&lt;=Retailers_Cap!N94,"ret=0",(IF(BB94&lt;=AR94+Distributors_Cap!$P$47,1,0)))</f>
        <v/>
      </c>
      <c r="BH94" s="2">
        <f>IF(Demand!AV111&lt;=Retailers_Cap!O94,"ret=0",(IF(BC94&lt;=AS94+Distributors_Cap!$P$47,1,0)))</f>
        <v/>
      </c>
      <c r="BI94" s="2">
        <f>IF(Demand!AW111&lt;=Retailers_Cap!P94,"ret=0",(IF(BD94&lt;=AT94+Distributors_Cap!$P$47,1,0)))</f>
        <v/>
      </c>
      <c r="BK94" s="64" t="n">
        <v>98</v>
      </c>
      <c r="BL94" s="64">
        <f>Retailers!BH93</f>
        <v/>
      </c>
      <c r="BM94" s="64">
        <f>Retailers!BI93</f>
        <v/>
      </c>
      <c r="BN94" s="64">
        <f>Retailers!BJ93</f>
        <v/>
      </c>
      <c r="BP94" s="64" t="n">
        <v>98</v>
      </c>
      <c r="BQ94" s="64">
        <f>#REF!</f>
        <v/>
      </c>
      <c r="BR94" s="64">
        <f>#REF!</f>
        <v/>
      </c>
      <c r="BS94" s="64">
        <f>#REF!</f>
        <v/>
      </c>
      <c r="BU94" s="64" t="n">
        <v>98</v>
      </c>
      <c r="BV94" s="64">
        <f>Retailers!AS93</f>
        <v/>
      </c>
      <c r="BW94" s="64">
        <f>Retailers!AT93</f>
        <v/>
      </c>
      <c r="BX94" s="64">
        <f>Retailers!AU93</f>
        <v/>
      </c>
      <c r="BZ94" s="64" t="n">
        <v>98</v>
      </c>
      <c r="CA94" s="64">
        <f>Results!#REF!</f>
        <v/>
      </c>
      <c r="CB94" s="64">
        <f>Results!#REF!</f>
        <v/>
      </c>
      <c r="CC94" s="64">
        <f>Results!#REF!</f>
        <v/>
      </c>
      <c r="CE94" s="64" t="n">
        <v>98</v>
      </c>
      <c r="CF94" s="64">
        <f>Retailers!BN93</f>
        <v/>
      </c>
      <c r="CG94" s="64">
        <f>Retailers!BO93</f>
        <v/>
      </c>
      <c r="CH94" s="64">
        <f>Retailers!BP93</f>
        <v/>
      </c>
      <c r="CJ94" s="64" t="n">
        <v>98</v>
      </c>
      <c r="CK94" s="64">
        <f>IF(BB94="ret=0",0,IF(BB94&gt;0,AR94+Distributors_Cap!$P$47-BB94,0))</f>
        <v/>
      </c>
      <c r="CL94" s="64">
        <f>IF(BC94="ret=0",0,IF(BC94&gt;0,AS94+Distributors_Cap!$P$47-BC94,0))</f>
        <v/>
      </c>
      <c r="CM94" s="64">
        <f>IF(BD94="ret=0",0,IF(BD94&gt;0,AT94+Distributors_Cap!$P$47-BD94,0))</f>
        <v/>
      </c>
    </row>
    <row r="95">
      <c r="G95" s="64" t="n">
        <v>99</v>
      </c>
      <c r="H95" s="64" t="n">
        <v>76.26000000000001</v>
      </c>
      <c r="I95" s="64" t="n">
        <v>60.901</v>
      </c>
      <c r="J95" s="64" t="n">
        <v>73.62</v>
      </c>
      <c r="L95" s="64">
        <f>TRUNC((_xlfn.NORM.INV((RAND()),$K$7,$K$8)),0)</f>
        <v/>
      </c>
      <c r="M95" s="64" t="n">
        <v>99</v>
      </c>
      <c r="N95" s="5" t="n">
        <v>25</v>
      </c>
      <c r="O95" s="5" t="n">
        <v>27</v>
      </c>
      <c r="P95" s="5" t="n">
        <v>22</v>
      </c>
      <c r="R95" s="2">
        <f>IF(N95&gt;Demand!AU112,0,(IF(((2*(Retailers!AJ94+Distributors_Cap!$P$47)-Retailers_Cap!$BB$7)*(Demand!AU112-Retailers_Cap!N95))&lt;0,0,((IF(BB95&gt;2*(Retailers!AJ94+Distributors_Cap!$P$47),0,(IF(BG95=0,ROUNDUP((2*(Retailers!AJ94+Distributors_Cap!$P$47)-BB95)^0.5,0),ROUNDUP((2*(Retailers!AJ94+Distributors_Cap!$P$47)-BB95)^0.5,0)))))))))</f>
        <v/>
      </c>
      <c r="S95" s="2">
        <f>IF(O95&gt;Demand!AV112,0,(IF(((2*(Retailers!AK94+Distributors_Cap!$P$47)-Retailers_Cap!$BB$7)*(Demand!AV112-Retailers_Cap!O95))&lt;0,0,((IF(BC95&gt;2*(Retailers!AK94+Distributors_Cap!$P$47),0,(IF(BH95=0,ROUNDUP((2*(Retailers!AK94+Distributors_Cap!$P$47)-BC95)^0.5,0),ROUNDUP((2*(Retailers!AK94+Distributors_Cap!$P$47)-BC95)^0.5,0)))))))))</f>
        <v/>
      </c>
      <c r="T95" s="2">
        <f>IF(P95&gt;Demand!AW112,0,(IF(((2*(Retailers!AL94+Distributors_Cap!$P$47)-Retailers_Cap!$BB$7)*(Demand!AW112-Retailers_Cap!P95))&lt;0,0,((IF(BD95&gt;2*(Retailers!AL94+Distributors_Cap!$P$47),0,(IF(BI95=0,ROUNDUP((2*(Retailers!AL94+Distributors_Cap!$P$47)-BD95)^0.5,0),ROUNDUP((2*(Retailers!AL94+Distributors_Cap!$P$47)-BD95)^0.5,0)))))))))</f>
        <v/>
      </c>
      <c r="W95" s="64" t="n">
        <v>99</v>
      </c>
      <c r="X95" s="9" t="n">
        <v>0</v>
      </c>
      <c r="Y95" s="9" t="n">
        <v>11</v>
      </c>
      <c r="Z95" s="9" t="n">
        <v>0</v>
      </c>
      <c r="AB95" s="2">
        <f>ROUNDDOWN(LOG((X95+1),2),0)</f>
        <v/>
      </c>
      <c r="AC95" s="2">
        <f>ROUNDDOWN(LOG((Y95+1),2),0)</f>
        <v/>
      </c>
      <c r="AD95" s="2">
        <f>ROUNDDOWN(LOG((Z95+1),2),0)</f>
        <v/>
      </c>
      <c r="AG95" s="64" t="n">
        <v>99</v>
      </c>
      <c r="AH95" s="9" t="n">
        <v>0</v>
      </c>
      <c r="AI95" s="9" t="n">
        <v>3</v>
      </c>
      <c r="AJ95" s="9" t="n">
        <v>0</v>
      </c>
      <c r="AQ95" s="64" t="n">
        <v>99</v>
      </c>
      <c r="AR95" s="64" t="n">
        <v>76.26000000000001</v>
      </c>
      <c r="AS95" s="64" t="n">
        <v>60.901</v>
      </c>
      <c r="AT95" s="64" t="n">
        <v>73.62</v>
      </c>
      <c r="AV95" s="64" t="n">
        <v>99</v>
      </c>
      <c r="AW95" s="64">
        <f>Beginning_stock!AT123</f>
        <v/>
      </c>
      <c r="AX95" s="64">
        <f>Beginning_stock!AU123</f>
        <v/>
      </c>
      <c r="AY95" s="64">
        <f>Beginning_stock!AV123</f>
        <v/>
      </c>
      <c r="BA95" s="64" t="n">
        <v>99</v>
      </c>
      <c r="BB95" s="64">
        <f>IF(Demand!AU112=Retailers_Cap!N95,"ret=0",(AW95/(Demand!AU112-Retailers_Cap!N95)))</f>
        <v/>
      </c>
      <c r="BC95" s="64">
        <f>IF(Demand!AV112=Retailers_Cap!O95,"ret=0",(AX95/(Demand!AV112-Retailers_Cap!O95)))</f>
        <v/>
      </c>
      <c r="BD95" s="64">
        <f>IF(Demand!AW112=Retailers_Cap!P95,"ret=0",(AY95/(Demand!AW112-Retailers_Cap!P95)))</f>
        <v/>
      </c>
      <c r="BF95" s="64" t="n">
        <v>99</v>
      </c>
      <c r="BG95" s="2">
        <f>IF(Demand!AU112&lt;=Retailers_Cap!N95,"ret=0",(IF(BB95&lt;=AR95+Distributors_Cap!$P$47,1,0)))</f>
        <v/>
      </c>
      <c r="BH95" s="2">
        <f>IF(Demand!AV112&lt;=Retailers_Cap!O95,"ret=0",(IF(BC95&lt;=AS95+Distributors_Cap!$P$47,1,0)))</f>
        <v/>
      </c>
      <c r="BI95" s="2">
        <f>IF(Demand!AW112&lt;=Retailers_Cap!P95,"ret=0",(IF(BD95&lt;=AT95+Distributors_Cap!$P$47,1,0)))</f>
        <v/>
      </c>
      <c r="BK95" s="64" t="n">
        <v>99</v>
      </c>
      <c r="BL95" s="64">
        <f>Retailers!BH94</f>
        <v/>
      </c>
      <c r="BM95" s="64">
        <f>Retailers!BI94</f>
        <v/>
      </c>
      <c r="BN95" s="64">
        <f>Retailers!BJ94</f>
        <v/>
      </c>
      <c r="BP95" s="64" t="n">
        <v>99</v>
      </c>
      <c r="BQ95" s="64">
        <f>#REF!</f>
        <v/>
      </c>
      <c r="BR95" s="64">
        <f>#REF!</f>
        <v/>
      </c>
      <c r="BS95" s="64">
        <f>#REF!</f>
        <v/>
      </c>
      <c r="BU95" s="64" t="n">
        <v>99</v>
      </c>
      <c r="BV95" s="64">
        <f>Retailers!AS94</f>
        <v/>
      </c>
      <c r="BW95" s="64">
        <f>Retailers!AT94</f>
        <v/>
      </c>
      <c r="BX95" s="64">
        <f>Retailers!AU94</f>
        <v/>
      </c>
      <c r="BZ95" s="64" t="n">
        <v>99</v>
      </c>
      <c r="CA95" s="64">
        <f>Results!#REF!</f>
        <v/>
      </c>
      <c r="CB95" s="64">
        <f>Results!#REF!</f>
        <v/>
      </c>
      <c r="CC95" s="64">
        <f>Results!#REF!</f>
        <v/>
      </c>
      <c r="CE95" s="64" t="n">
        <v>99</v>
      </c>
      <c r="CF95" s="64">
        <f>Retailers!BN94</f>
        <v/>
      </c>
      <c r="CG95" s="64">
        <f>Retailers!BO94</f>
        <v/>
      </c>
      <c r="CH95" s="64">
        <f>Retailers!BP94</f>
        <v/>
      </c>
      <c r="CJ95" s="64" t="n">
        <v>99</v>
      </c>
      <c r="CK95" s="64">
        <f>IF(BB95="ret=0",0,IF(BB95&gt;0,AR95+Distributors_Cap!$P$47-BB95,0))</f>
        <v/>
      </c>
      <c r="CL95" s="64">
        <f>IF(BC95="ret=0",0,IF(BC95&gt;0,AS95+Distributors_Cap!$P$47-BC95,0))</f>
        <v/>
      </c>
      <c r="CM95" s="64">
        <f>IF(BD95="ret=0",0,IF(BD95&gt;0,AT95+Distributors_Cap!$P$47-BD95,0))</f>
        <v/>
      </c>
    </row>
    <row r="96">
      <c r="G96" s="64" t="n">
        <v>100</v>
      </c>
      <c r="H96" s="64" t="n">
        <v>53.359</v>
      </c>
      <c r="I96" s="64" t="n">
        <v>64.407</v>
      </c>
      <c r="J96" s="64" t="n">
        <v>60.387</v>
      </c>
      <c r="L96" s="64">
        <f>TRUNC((_xlfn.NORM.INV((RAND()),$K$7,$K$8)),0)</f>
        <v/>
      </c>
      <c r="M96" s="64" t="n">
        <v>100</v>
      </c>
      <c r="N96" s="5" t="n">
        <v>35</v>
      </c>
      <c r="O96" s="5" t="n">
        <v>32</v>
      </c>
      <c r="P96" s="5" t="n">
        <v>26</v>
      </c>
      <c r="R96" s="2">
        <f>IF(N96&gt;Demand!AU113,0,(IF(((2*(Retailers!AJ95+Distributors_Cap!$P$47)-Retailers_Cap!$BB$7)*(Demand!AU113-Retailers_Cap!N96))&lt;0,0,((IF(BB96&gt;2*(Retailers!AJ95+Distributors_Cap!$P$47),0,(IF(BG96=0,ROUNDUP((2*(Retailers!AJ95+Distributors_Cap!$P$47)-BB96)^0.5,0),ROUNDUP((2*(Retailers!AJ95+Distributors_Cap!$P$47)-BB96)^0.5,0)))))))))</f>
        <v/>
      </c>
      <c r="S96" s="2">
        <f>IF(O96&gt;Demand!AV113,0,(IF(((2*(Retailers!AK95+Distributors_Cap!$P$47)-Retailers_Cap!$BB$7)*(Demand!AV113-Retailers_Cap!O96))&lt;0,0,((IF(BC96&gt;2*(Retailers!AK95+Distributors_Cap!$P$47),0,(IF(BH96=0,ROUNDUP((2*(Retailers!AK95+Distributors_Cap!$P$47)-BC96)^0.5,0),ROUNDUP((2*(Retailers!AK95+Distributors_Cap!$P$47)-BC96)^0.5,0)))))))))</f>
        <v/>
      </c>
      <c r="T96" s="2">
        <f>IF(P96&gt;Demand!AW113,0,(IF(((2*(Retailers!AL95+Distributors_Cap!$P$47)-Retailers_Cap!$BB$7)*(Demand!AW113-Retailers_Cap!P96))&lt;0,0,((IF(BD96&gt;2*(Retailers!AL95+Distributors_Cap!$P$47),0,(IF(BI96=0,ROUNDUP((2*(Retailers!AL95+Distributors_Cap!$P$47)-BD96)^0.5,0),ROUNDUP((2*(Retailers!AL95+Distributors_Cap!$P$47)-BD96)^0.5,0)))))))))</f>
        <v/>
      </c>
      <c r="W96" s="64" t="n">
        <v>100</v>
      </c>
      <c r="X96" s="9" t="n">
        <v>0</v>
      </c>
      <c r="Y96" s="9" t="n">
        <v>0</v>
      </c>
      <c r="Z96" s="9" t="n">
        <v>0</v>
      </c>
      <c r="AB96" s="2">
        <f>ROUNDDOWN(LOG((X96+1),2),0)</f>
        <v/>
      </c>
      <c r="AC96" s="2">
        <f>ROUNDDOWN(LOG((Y96+1),2),0)</f>
        <v/>
      </c>
      <c r="AD96" s="2">
        <f>ROUNDDOWN(LOG((Z96+1),2),0)</f>
        <v/>
      </c>
      <c r="AG96" s="64" t="n">
        <v>100</v>
      </c>
      <c r="AH96" s="9" t="n">
        <v>0</v>
      </c>
      <c r="AI96" s="9" t="n">
        <v>0</v>
      </c>
      <c r="AJ96" s="9" t="n">
        <v>0</v>
      </c>
      <c r="AQ96" s="64" t="n">
        <v>100</v>
      </c>
      <c r="AR96" s="64" t="n">
        <v>53.359</v>
      </c>
      <c r="AS96" s="64" t="n">
        <v>64.407</v>
      </c>
      <c r="AT96" s="64" t="n">
        <v>60.387</v>
      </c>
      <c r="AV96" s="64" t="n">
        <v>100</v>
      </c>
      <c r="AW96" s="64">
        <f>Beginning_stock!AT124</f>
        <v/>
      </c>
      <c r="AX96" s="64">
        <f>Beginning_stock!AU124</f>
        <v/>
      </c>
      <c r="AY96" s="64">
        <f>Beginning_stock!AV124</f>
        <v/>
      </c>
      <c r="BA96" s="64" t="n">
        <v>100</v>
      </c>
      <c r="BB96" s="64">
        <f>IF(Demand!AU113=Retailers_Cap!N96,"ret=0",(AW96/(Demand!AU113-Retailers_Cap!N96)))</f>
        <v/>
      </c>
      <c r="BC96" s="64">
        <f>IF(Demand!AV113=Retailers_Cap!O96,"ret=0",(AX96/(Demand!AV113-Retailers_Cap!O96)))</f>
        <v/>
      </c>
      <c r="BD96" s="64">
        <f>IF(Demand!AW113=Retailers_Cap!P96,"ret=0",(AY96/(Demand!AW113-Retailers_Cap!P96)))</f>
        <v/>
      </c>
      <c r="BF96" s="64" t="n">
        <v>100</v>
      </c>
      <c r="BG96" s="2">
        <f>IF(Demand!AU113&lt;=Retailers_Cap!N96,"ret=0",(IF(BB96&lt;=AR96+Distributors_Cap!$P$47,1,0)))</f>
        <v/>
      </c>
      <c r="BH96" s="2">
        <f>IF(Demand!AV113&lt;=Retailers_Cap!O96,"ret=0",(IF(BC96&lt;=AS96+Distributors_Cap!$P$47,1,0)))</f>
        <v/>
      </c>
      <c r="BI96" s="2">
        <f>IF(Demand!AW113&lt;=Retailers_Cap!P96,"ret=0",(IF(BD96&lt;=AT96+Distributors_Cap!$P$47,1,0)))</f>
        <v/>
      </c>
      <c r="BK96" s="64" t="n">
        <v>100</v>
      </c>
      <c r="BL96" s="64">
        <f>Retailers!BH95</f>
        <v/>
      </c>
      <c r="BM96" s="64">
        <f>Retailers!BI95</f>
        <v/>
      </c>
      <c r="BN96" s="64">
        <f>Retailers!BJ95</f>
        <v/>
      </c>
      <c r="BP96" s="64" t="n">
        <v>100</v>
      </c>
      <c r="BQ96" s="64">
        <f>#REF!</f>
        <v/>
      </c>
      <c r="BR96" s="64">
        <f>#REF!</f>
        <v/>
      </c>
      <c r="BS96" s="64">
        <f>#REF!</f>
        <v/>
      </c>
      <c r="BU96" s="64" t="n">
        <v>100</v>
      </c>
      <c r="BV96" s="64">
        <f>Retailers!AS95</f>
        <v/>
      </c>
      <c r="BW96" s="64">
        <f>Retailers!AT95</f>
        <v/>
      </c>
      <c r="BX96" s="64">
        <f>Retailers!AU95</f>
        <v/>
      </c>
      <c r="BZ96" s="64" t="n">
        <v>100</v>
      </c>
      <c r="CA96" s="64">
        <f>Results!#REF!</f>
        <v/>
      </c>
      <c r="CB96" s="64">
        <f>Results!#REF!</f>
        <v/>
      </c>
      <c r="CC96" s="64">
        <f>Results!#REF!</f>
        <v/>
      </c>
      <c r="CE96" s="64" t="n">
        <v>100</v>
      </c>
      <c r="CF96" s="64">
        <f>Retailers!BN95</f>
        <v/>
      </c>
      <c r="CG96" s="64">
        <f>Retailers!BO95</f>
        <v/>
      </c>
      <c r="CH96" s="64">
        <f>Retailers!BP95</f>
        <v/>
      </c>
      <c r="CJ96" s="64" t="n">
        <v>100</v>
      </c>
      <c r="CK96" s="64">
        <f>IF(BB96="ret=0",0,IF(BB96&gt;0,AR96+Distributors_Cap!$P$47-BB96,0))</f>
        <v/>
      </c>
      <c r="CL96" s="64">
        <f>IF(BC96="ret=0",0,IF(BC96&gt;0,AS96+Distributors_Cap!$P$47-BC96,0))</f>
        <v/>
      </c>
      <c r="CM96" s="64">
        <f>IF(BD96="ret=0",0,IF(BD96&gt;0,AT96+Distributors_Cap!$P$47-BD96,0))</f>
        <v/>
      </c>
    </row>
    <row r="97">
      <c r="G97" s="64" t="n">
        <v>101</v>
      </c>
      <c r="H97" s="64" t="n">
        <v>57.974</v>
      </c>
      <c r="I97" s="64" t="n">
        <v>60.294</v>
      </c>
      <c r="J97" s="64" t="n">
        <v>58.822</v>
      </c>
      <c r="L97" s="64">
        <f>TRUNC((_xlfn.NORM.INV((RAND()),$K$7,$K$8)),0)</f>
        <v/>
      </c>
      <c r="M97" s="64" t="n">
        <v>101</v>
      </c>
      <c r="N97" s="5" t="n">
        <v>27</v>
      </c>
      <c r="O97" s="5" t="n">
        <v>24</v>
      </c>
      <c r="P97" s="5" t="n">
        <v>20</v>
      </c>
      <c r="R97" s="2">
        <f>IF(N97&gt;Demand!AU114,0,(IF(((2*(Retailers!AJ96+Distributors_Cap!$P$47)-Retailers_Cap!$BB$7)*(Demand!AU114-Retailers_Cap!N97))&lt;0,0,((IF(BB97&gt;2*(Retailers!AJ96+Distributors_Cap!$P$47),0,(IF(BG97=0,ROUNDUP((2*(Retailers!AJ96+Distributors_Cap!$P$47)-BB97)^0.5,0),ROUNDUP((2*(Retailers!AJ96+Distributors_Cap!$P$47)-BB97)^0.5,0)))))))))</f>
        <v/>
      </c>
      <c r="S97" s="2">
        <f>IF(O97&gt;Demand!AV114,0,(IF(((2*(Retailers!AK96+Distributors_Cap!$P$47)-Retailers_Cap!$BB$7)*(Demand!AV114-Retailers_Cap!O97))&lt;0,0,((IF(BC97&gt;2*(Retailers!AK96+Distributors_Cap!$P$47),0,(IF(BH97=0,ROUNDUP((2*(Retailers!AK96+Distributors_Cap!$P$47)-BC97)^0.5,0),ROUNDUP((2*(Retailers!AK96+Distributors_Cap!$P$47)-BC97)^0.5,0)))))))))</f>
        <v/>
      </c>
      <c r="T97" s="2">
        <f>IF(P97&gt;Demand!AW114,0,(IF(((2*(Retailers!AL96+Distributors_Cap!$P$47)-Retailers_Cap!$BB$7)*(Demand!AW114-Retailers_Cap!P97))&lt;0,0,((IF(BD97&gt;2*(Retailers!AL96+Distributors_Cap!$P$47),0,(IF(BI97=0,ROUNDUP((2*(Retailers!AL96+Distributors_Cap!$P$47)-BD97)^0.5,0),ROUNDUP((2*(Retailers!AL96+Distributors_Cap!$P$47)-BD97)^0.5,0)))))))))</f>
        <v/>
      </c>
      <c r="W97" s="64" t="n">
        <v>101</v>
      </c>
      <c r="X97" s="9" t="n">
        <v>0</v>
      </c>
      <c r="Y97" s="9" t="n">
        <v>0</v>
      </c>
      <c r="Z97" s="9" t="n">
        <v>0</v>
      </c>
      <c r="AB97" s="2">
        <f>ROUNDDOWN(LOG((X97+1),2),0)</f>
        <v/>
      </c>
      <c r="AC97" s="2">
        <f>ROUNDDOWN(LOG((Y97+1),2),0)</f>
        <v/>
      </c>
      <c r="AD97" s="2">
        <f>ROUNDDOWN(LOG((Z97+1),2),0)</f>
        <v/>
      </c>
      <c r="AG97" s="64" t="n">
        <v>101</v>
      </c>
      <c r="AH97" s="9" t="n">
        <v>0</v>
      </c>
      <c r="AI97" s="9" t="n">
        <v>0</v>
      </c>
      <c r="AJ97" s="9" t="n">
        <v>0</v>
      </c>
      <c r="AQ97" s="64" t="n">
        <v>101</v>
      </c>
      <c r="AR97" s="64" t="n">
        <v>57.974</v>
      </c>
      <c r="AS97" s="64" t="n">
        <v>60.294</v>
      </c>
      <c r="AT97" s="64" t="n">
        <v>58.822</v>
      </c>
      <c r="AV97" s="64" t="n">
        <v>101</v>
      </c>
      <c r="AW97" s="64">
        <f>Beginning_stock!AT125</f>
        <v/>
      </c>
      <c r="AX97" s="64">
        <f>Beginning_stock!AU125</f>
        <v/>
      </c>
      <c r="AY97" s="64">
        <f>Beginning_stock!AV125</f>
        <v/>
      </c>
      <c r="BA97" s="64" t="n">
        <v>101</v>
      </c>
      <c r="BB97" s="64">
        <f>IF(Demand!AU114=Retailers_Cap!N97,"ret=0",(AW97/(Demand!AU114-Retailers_Cap!N97)))</f>
        <v/>
      </c>
      <c r="BC97" s="64">
        <f>IF(Demand!AV114=Retailers_Cap!O97,"ret=0",(AX97/(Demand!AV114-Retailers_Cap!O97)))</f>
        <v/>
      </c>
      <c r="BD97" s="64">
        <f>IF(Demand!AW114=Retailers_Cap!P97,"ret=0",(AY97/(Demand!AW114-Retailers_Cap!P97)))</f>
        <v/>
      </c>
      <c r="BF97" s="64" t="n">
        <v>101</v>
      </c>
      <c r="BG97" s="2">
        <f>IF(Demand!AU114&lt;=Retailers_Cap!N97,"ret=0",(IF(BB97&lt;=AR97+Distributors_Cap!$P$47,1,0)))</f>
        <v/>
      </c>
      <c r="BH97" s="2">
        <f>IF(Demand!AV114&lt;=Retailers_Cap!O97,"ret=0",(IF(BC97&lt;=AS97+Distributors_Cap!$P$47,1,0)))</f>
        <v/>
      </c>
      <c r="BI97" s="2">
        <f>IF(Demand!AW114&lt;=Retailers_Cap!P97,"ret=0",(IF(BD97&lt;=AT97+Distributors_Cap!$P$47,1,0)))</f>
        <v/>
      </c>
      <c r="BK97" s="64" t="n">
        <v>101</v>
      </c>
      <c r="BL97" s="64">
        <f>Retailers!BH96</f>
        <v/>
      </c>
      <c r="BM97" s="64">
        <f>Retailers!BI96</f>
        <v/>
      </c>
      <c r="BN97" s="64">
        <f>Retailers!BJ96</f>
        <v/>
      </c>
      <c r="BP97" s="64" t="n">
        <v>101</v>
      </c>
      <c r="BQ97" s="64">
        <f>#REF!</f>
        <v/>
      </c>
      <c r="BR97" s="64">
        <f>#REF!</f>
        <v/>
      </c>
      <c r="BS97" s="64">
        <f>#REF!</f>
        <v/>
      </c>
      <c r="BU97" s="64" t="n">
        <v>101</v>
      </c>
      <c r="BV97" s="64">
        <f>Retailers!AS96</f>
        <v/>
      </c>
      <c r="BW97" s="64">
        <f>Retailers!AT96</f>
        <v/>
      </c>
      <c r="BX97" s="64">
        <f>Retailers!AU96</f>
        <v/>
      </c>
      <c r="BZ97" s="64" t="n">
        <v>101</v>
      </c>
      <c r="CA97" s="64">
        <f>Results!#REF!</f>
        <v/>
      </c>
      <c r="CB97" s="64">
        <f>Results!#REF!</f>
        <v/>
      </c>
      <c r="CC97" s="64">
        <f>Results!#REF!</f>
        <v/>
      </c>
      <c r="CE97" s="64" t="n">
        <v>101</v>
      </c>
      <c r="CF97" s="64">
        <f>Retailers!BN96</f>
        <v/>
      </c>
      <c r="CG97" s="64">
        <f>Retailers!BO96</f>
        <v/>
      </c>
      <c r="CH97" s="64">
        <f>Retailers!BP96</f>
        <v/>
      </c>
      <c r="CJ97" s="64" t="n">
        <v>101</v>
      </c>
      <c r="CK97" s="64">
        <f>IF(BB97="ret=0",0,IF(BB97&gt;0,AR97+Distributors_Cap!$P$47-BB97,0))</f>
        <v/>
      </c>
      <c r="CL97" s="64">
        <f>IF(BC97="ret=0",0,IF(BC97&gt;0,AS97+Distributors_Cap!$P$47-BC97,0))</f>
        <v/>
      </c>
      <c r="CM97" s="64">
        <f>IF(BD97="ret=0",0,IF(BD97&gt;0,AT97+Distributors_Cap!$P$47-BD97,0))</f>
        <v/>
      </c>
    </row>
    <row r="98">
      <c r="G98" s="64" t="n">
        <v>102</v>
      </c>
      <c r="H98" s="64" t="n">
        <v>55.367</v>
      </c>
      <c r="I98" s="64" t="n">
        <v>56.4</v>
      </c>
      <c r="J98" s="64" t="n">
        <v>70.929</v>
      </c>
      <c r="L98" s="64">
        <f>TRUNC((_xlfn.NORM.INV((RAND()),$K$7,$K$8)),0)</f>
        <v/>
      </c>
      <c r="M98" s="64" t="n">
        <v>102</v>
      </c>
      <c r="N98" s="5" t="n">
        <v>26</v>
      </c>
      <c r="O98" s="5" t="n">
        <v>32</v>
      </c>
      <c r="P98" s="5" t="n">
        <v>34</v>
      </c>
      <c r="R98" s="2">
        <f>IF(N98&gt;Demand!AU115,0,(IF(((2*(Retailers!AJ97+Distributors_Cap!$P$47)-Retailers_Cap!$BB$7)*(Demand!AU115-Retailers_Cap!N98))&lt;0,0,((IF(BB98&gt;2*(Retailers!AJ97+Distributors_Cap!$P$47),0,(IF(BG98=0,ROUNDUP((2*(Retailers!AJ97+Distributors_Cap!$P$47)-BB98)^0.5,0),ROUNDUP((2*(Retailers!AJ97+Distributors_Cap!$P$47)-BB98)^0.5,0)))))))))</f>
        <v/>
      </c>
      <c r="S98" s="2">
        <f>IF(O98&gt;Demand!AV115,0,(IF(((2*(Retailers!AK97+Distributors_Cap!$P$47)-Retailers_Cap!$BB$7)*(Demand!AV115-Retailers_Cap!O98))&lt;0,0,((IF(BC98&gt;2*(Retailers!AK97+Distributors_Cap!$P$47),0,(IF(BH98=0,ROUNDUP((2*(Retailers!AK97+Distributors_Cap!$P$47)-BC98)^0.5,0),ROUNDUP((2*(Retailers!AK97+Distributors_Cap!$P$47)-BC98)^0.5,0)))))))))</f>
        <v/>
      </c>
      <c r="T98" s="2">
        <f>IF(P98&gt;Demand!AW115,0,(IF(((2*(Retailers!AL97+Distributors_Cap!$P$47)-Retailers_Cap!$BB$7)*(Demand!AW115-Retailers_Cap!P98))&lt;0,0,((IF(BD98&gt;2*(Retailers!AL97+Distributors_Cap!$P$47),0,(IF(BI98=0,ROUNDUP((2*(Retailers!AL97+Distributors_Cap!$P$47)-BD98)^0.5,0),ROUNDUP((2*(Retailers!AL97+Distributors_Cap!$P$47)-BD98)^0.5,0)))))))))</f>
        <v/>
      </c>
      <c r="W98" s="64" t="n">
        <v>102</v>
      </c>
      <c r="X98" s="9" t="n">
        <v>13</v>
      </c>
      <c r="Y98" s="9" t="n">
        <v>0</v>
      </c>
      <c r="Z98" s="9" t="n">
        <v>8</v>
      </c>
      <c r="AB98" s="2">
        <f>ROUNDDOWN(LOG((X98+1),2),0)</f>
        <v/>
      </c>
      <c r="AC98" s="2">
        <f>ROUNDDOWN(LOG((Y98+1),2),0)</f>
        <v/>
      </c>
      <c r="AD98" s="2">
        <f>ROUNDDOWN(LOG((Z98+1),2),0)</f>
        <v/>
      </c>
      <c r="AG98" s="64" t="n">
        <v>102</v>
      </c>
      <c r="AH98" s="9" t="n">
        <v>3</v>
      </c>
      <c r="AI98" s="9" t="n">
        <v>0</v>
      </c>
      <c r="AJ98" s="9" t="n">
        <v>3</v>
      </c>
      <c r="AQ98" s="64" t="n">
        <v>102</v>
      </c>
      <c r="AR98" s="64" t="n">
        <v>55.367</v>
      </c>
      <c r="AS98" s="64" t="n">
        <v>56.4</v>
      </c>
      <c r="AT98" s="64" t="n">
        <v>70.929</v>
      </c>
      <c r="AV98" s="64" t="n">
        <v>102</v>
      </c>
      <c r="AW98" s="64">
        <f>Beginning_stock!AT126</f>
        <v/>
      </c>
      <c r="AX98" s="64">
        <f>Beginning_stock!AU126</f>
        <v/>
      </c>
      <c r="AY98" s="64">
        <f>Beginning_stock!AV126</f>
        <v/>
      </c>
      <c r="BA98" s="64" t="n">
        <v>102</v>
      </c>
      <c r="BB98" s="64">
        <f>IF(Demand!AU115=Retailers_Cap!N98,"ret=0",(AW98/(Demand!AU115-Retailers_Cap!N98)))</f>
        <v/>
      </c>
      <c r="BC98" s="64">
        <f>IF(Demand!AV115=Retailers_Cap!O98,"ret=0",(AX98/(Demand!AV115-Retailers_Cap!O98)))</f>
        <v/>
      </c>
      <c r="BD98" s="64">
        <f>IF(Demand!AW115=Retailers_Cap!P98,"ret=0",(AY98/(Demand!AW115-Retailers_Cap!P98)))</f>
        <v/>
      </c>
      <c r="BF98" s="64" t="n">
        <v>102</v>
      </c>
      <c r="BG98" s="2">
        <f>IF(Demand!AU115&lt;=Retailers_Cap!N98,"ret=0",(IF(BB98&lt;=AR98+Distributors_Cap!$P$47,1,0)))</f>
        <v/>
      </c>
      <c r="BH98" s="2">
        <f>IF(Demand!AV115&lt;=Retailers_Cap!O98,"ret=0",(IF(BC98&lt;=AS98+Distributors_Cap!$P$47,1,0)))</f>
        <v/>
      </c>
      <c r="BI98" s="2">
        <f>IF(Demand!AW115&lt;=Retailers_Cap!P98,"ret=0",(IF(BD98&lt;=AT98+Distributors_Cap!$P$47,1,0)))</f>
        <v/>
      </c>
      <c r="BK98" s="64" t="n">
        <v>102</v>
      </c>
      <c r="BL98" s="64">
        <f>Retailers!BH97</f>
        <v/>
      </c>
      <c r="BM98" s="64">
        <f>Retailers!BI97</f>
        <v/>
      </c>
      <c r="BN98" s="64">
        <f>Retailers!BJ97</f>
        <v/>
      </c>
      <c r="BP98" s="64" t="n">
        <v>102</v>
      </c>
      <c r="BQ98" s="64">
        <f>#REF!</f>
        <v/>
      </c>
      <c r="BR98" s="64">
        <f>#REF!</f>
        <v/>
      </c>
      <c r="BS98" s="64">
        <f>#REF!</f>
        <v/>
      </c>
      <c r="BU98" s="64" t="n">
        <v>102</v>
      </c>
      <c r="BV98" s="64">
        <f>Retailers!AS97</f>
        <v/>
      </c>
      <c r="BW98" s="64">
        <f>Retailers!AT97</f>
        <v/>
      </c>
      <c r="BX98" s="64">
        <f>Retailers!AU97</f>
        <v/>
      </c>
      <c r="BZ98" s="64" t="n">
        <v>102</v>
      </c>
      <c r="CA98" s="64">
        <f>Results!#REF!</f>
        <v/>
      </c>
      <c r="CB98" s="64">
        <f>Results!#REF!</f>
        <v/>
      </c>
      <c r="CC98" s="64">
        <f>Results!#REF!</f>
        <v/>
      </c>
      <c r="CE98" s="64" t="n">
        <v>102</v>
      </c>
      <c r="CF98" s="64">
        <f>Retailers!BN97</f>
        <v/>
      </c>
      <c r="CG98" s="64">
        <f>Retailers!BO97</f>
        <v/>
      </c>
      <c r="CH98" s="64">
        <f>Retailers!BP97</f>
        <v/>
      </c>
      <c r="CJ98" s="64" t="n">
        <v>102</v>
      </c>
      <c r="CK98" s="64">
        <f>IF(BB98="ret=0",0,IF(BB98&gt;0,AR98+Distributors_Cap!$P$47-BB98,0))</f>
        <v/>
      </c>
      <c r="CL98" s="64">
        <f>IF(BC98="ret=0",0,IF(BC98&gt;0,AS98+Distributors_Cap!$P$47-BC98,0))</f>
        <v/>
      </c>
      <c r="CM98" s="64">
        <f>IF(BD98="ret=0",0,IF(BD98&gt;0,AT98+Distributors_Cap!$P$47-BD98,0))</f>
        <v/>
      </c>
    </row>
    <row r="99">
      <c r="G99" s="64" t="n">
        <v>103</v>
      </c>
      <c r="H99" s="64" t="n">
        <v>70.151</v>
      </c>
      <c r="I99" s="64" t="n">
        <v>70.989</v>
      </c>
      <c r="J99" s="64" t="n">
        <v>48.465</v>
      </c>
      <c r="L99" s="64">
        <f>TRUNC((_xlfn.NORM.INV((RAND()),$K$7,$K$8)),0)</f>
        <v/>
      </c>
      <c r="M99" s="64" t="n">
        <v>103</v>
      </c>
      <c r="N99" s="5" t="n">
        <v>35</v>
      </c>
      <c r="O99" s="5" t="n">
        <v>34</v>
      </c>
      <c r="P99" s="5" t="n">
        <v>28</v>
      </c>
      <c r="R99" s="2">
        <f>IF(N99&gt;Demand!AU116,0,(IF(((2*(Retailers!AJ98+Distributors_Cap!$P$47)-Retailers_Cap!$BB$7)*(Demand!AU116-Retailers_Cap!N99))&lt;0,0,((IF(BB99&gt;2*(Retailers!AJ98+Distributors_Cap!$P$47),0,(IF(BG99=0,ROUNDUP((2*(Retailers!AJ98+Distributors_Cap!$P$47)-BB99)^0.5,0),ROUNDUP((2*(Retailers!AJ98+Distributors_Cap!$P$47)-BB99)^0.5,0)))))))))</f>
        <v/>
      </c>
      <c r="S99" s="2">
        <f>IF(O99&gt;Demand!AV116,0,(IF(((2*(Retailers!AK98+Distributors_Cap!$P$47)-Retailers_Cap!$BB$7)*(Demand!AV116-Retailers_Cap!O99))&lt;0,0,((IF(BC99&gt;2*(Retailers!AK98+Distributors_Cap!$P$47),0,(IF(BH99=0,ROUNDUP((2*(Retailers!AK98+Distributors_Cap!$P$47)-BC99)^0.5,0),ROUNDUP((2*(Retailers!AK98+Distributors_Cap!$P$47)-BC99)^0.5,0)))))))))</f>
        <v/>
      </c>
      <c r="T99" s="2">
        <f>IF(P99&gt;Demand!AW116,0,(IF(((2*(Retailers!AL98+Distributors_Cap!$P$47)-Retailers_Cap!$BB$7)*(Demand!AW116-Retailers_Cap!P99))&lt;0,0,((IF(BD99&gt;2*(Retailers!AL98+Distributors_Cap!$P$47),0,(IF(BI99=0,ROUNDUP((2*(Retailers!AL98+Distributors_Cap!$P$47)-BD99)^0.5,0),ROUNDUP((2*(Retailers!AL98+Distributors_Cap!$P$47)-BD99)^0.5,0)))))))))</f>
        <v/>
      </c>
      <c r="W99" s="64" t="n">
        <v>103</v>
      </c>
      <c r="X99" s="9" t="n">
        <v>0</v>
      </c>
      <c r="Y99" s="9" t="n">
        <v>0</v>
      </c>
      <c r="Z99" s="9" t="n">
        <v>0</v>
      </c>
      <c r="AB99" s="2">
        <f>ROUNDDOWN(LOG((X99+1),2),0)</f>
        <v/>
      </c>
      <c r="AC99" s="2">
        <f>ROUNDDOWN(LOG((Y99+1),2),0)</f>
        <v/>
      </c>
      <c r="AD99" s="2">
        <f>ROUNDDOWN(LOG((Z99+1),2),0)</f>
        <v/>
      </c>
      <c r="AG99" s="64" t="n">
        <v>103</v>
      </c>
      <c r="AH99" s="9" t="n">
        <v>0</v>
      </c>
      <c r="AI99" s="9" t="n">
        <v>0</v>
      </c>
      <c r="AJ99" s="9" t="n">
        <v>0</v>
      </c>
      <c r="AQ99" s="64" t="n">
        <v>103</v>
      </c>
      <c r="AR99" s="64" t="n">
        <v>70.151</v>
      </c>
      <c r="AS99" s="64" t="n">
        <v>70.989</v>
      </c>
      <c r="AT99" s="64" t="n">
        <v>48.465</v>
      </c>
      <c r="AV99" s="64" t="n">
        <v>103</v>
      </c>
      <c r="AW99" s="64">
        <f>Beginning_stock!AT127</f>
        <v/>
      </c>
      <c r="AX99" s="64">
        <f>Beginning_stock!AU127</f>
        <v/>
      </c>
      <c r="AY99" s="64">
        <f>Beginning_stock!AV127</f>
        <v/>
      </c>
      <c r="BA99" s="64" t="n">
        <v>103</v>
      </c>
      <c r="BB99" s="64">
        <f>IF(Demand!AU116=Retailers_Cap!N99,"ret=0",(AW99/(Demand!AU116-Retailers_Cap!N99)))</f>
        <v/>
      </c>
      <c r="BC99" s="64">
        <f>IF(Demand!AV116=Retailers_Cap!O99,"ret=0",(AX99/(Demand!AV116-Retailers_Cap!O99)))</f>
        <v/>
      </c>
      <c r="BD99" s="64">
        <f>IF(Demand!AW116=Retailers_Cap!P99,"ret=0",(AY99/(Demand!AW116-Retailers_Cap!P99)))</f>
        <v/>
      </c>
      <c r="BF99" s="64" t="n">
        <v>103</v>
      </c>
      <c r="BG99" s="2">
        <f>IF(Demand!AU116&lt;=Retailers_Cap!N99,"ret=0",(IF(BB99&lt;=AR99+Distributors_Cap!$P$47,1,0)))</f>
        <v/>
      </c>
      <c r="BH99" s="2">
        <f>IF(Demand!AV116&lt;=Retailers_Cap!O99,"ret=0",(IF(BC99&lt;=AS99+Distributors_Cap!$P$47,1,0)))</f>
        <v/>
      </c>
      <c r="BI99" s="2">
        <f>IF(Demand!AW116&lt;=Retailers_Cap!P99,"ret=0",(IF(BD99&lt;=AT99+Distributors_Cap!$P$47,1,0)))</f>
        <v/>
      </c>
      <c r="BK99" s="64" t="n">
        <v>103</v>
      </c>
      <c r="BL99" s="64">
        <f>Retailers!BH98</f>
        <v/>
      </c>
      <c r="BM99" s="64">
        <f>Retailers!BI98</f>
        <v/>
      </c>
      <c r="BN99" s="64">
        <f>Retailers!BJ98</f>
        <v/>
      </c>
      <c r="BP99" s="64" t="n">
        <v>103</v>
      </c>
      <c r="BQ99" s="64">
        <f>#REF!</f>
        <v/>
      </c>
      <c r="BR99" s="64">
        <f>#REF!</f>
        <v/>
      </c>
      <c r="BS99" s="64">
        <f>#REF!</f>
        <v/>
      </c>
      <c r="BU99" s="64" t="n">
        <v>103</v>
      </c>
      <c r="BV99" s="64">
        <f>Retailers!AS98</f>
        <v/>
      </c>
      <c r="BW99" s="64">
        <f>Retailers!AT98</f>
        <v/>
      </c>
      <c r="BX99" s="64">
        <f>Retailers!AU98</f>
        <v/>
      </c>
      <c r="BZ99" s="64" t="n">
        <v>103</v>
      </c>
      <c r="CA99" s="64">
        <f>Results!#REF!</f>
        <v/>
      </c>
      <c r="CB99" s="64">
        <f>Results!#REF!</f>
        <v/>
      </c>
      <c r="CC99" s="64">
        <f>Results!#REF!</f>
        <v/>
      </c>
      <c r="CE99" s="64" t="n">
        <v>103</v>
      </c>
      <c r="CF99" s="64">
        <f>Retailers!BN98</f>
        <v/>
      </c>
      <c r="CG99" s="64">
        <f>Retailers!BO98</f>
        <v/>
      </c>
      <c r="CH99" s="64">
        <f>Retailers!BP98</f>
        <v/>
      </c>
      <c r="CJ99" s="64" t="n">
        <v>103</v>
      </c>
      <c r="CK99" s="64">
        <f>IF(BB99="ret=0",0,IF(BB99&gt;0,AR99+Distributors_Cap!$P$47-BB99,0))</f>
        <v/>
      </c>
      <c r="CL99" s="64">
        <f>IF(BC99="ret=0",0,IF(BC99&gt;0,AS99+Distributors_Cap!$P$47-BC99,0))</f>
        <v/>
      </c>
      <c r="CM99" s="64">
        <f>IF(BD99="ret=0",0,IF(BD99&gt;0,AT99+Distributors_Cap!$P$47-BD99,0))</f>
        <v/>
      </c>
    </row>
    <row r="100">
      <c r="G100" s="64" t="n">
        <v>104</v>
      </c>
      <c r="H100" s="64" t="n">
        <v>65.705</v>
      </c>
      <c r="I100" s="64" t="n">
        <v>53.26</v>
      </c>
      <c r="J100" s="64" t="n">
        <v>57.275</v>
      </c>
      <c r="L100" s="64">
        <f>TRUNC((_xlfn.NORM.INV((RAND()),$K$7,$K$8)),0)</f>
        <v/>
      </c>
      <c r="M100" s="64" t="n">
        <v>104</v>
      </c>
      <c r="N100" s="5" t="n">
        <v>17</v>
      </c>
      <c r="O100" s="5" t="n">
        <v>32</v>
      </c>
      <c r="P100" s="5" t="n">
        <v>32</v>
      </c>
      <c r="R100" s="2">
        <f>IF(N100&gt;Demand!AU117,0,(IF(((2*(Retailers!AJ99+Distributors_Cap!$P$47)-Retailers_Cap!$BB$7)*(Demand!AU117-Retailers_Cap!N100))&lt;0,0,((IF(BB100&gt;2*(Retailers!AJ99+Distributors_Cap!$P$47),0,(IF(BG100=0,ROUNDUP((2*(Retailers!AJ99+Distributors_Cap!$P$47)-BB100)^0.5,0),ROUNDUP((2*(Retailers!AJ99+Distributors_Cap!$P$47)-BB100)^0.5,0)))))))))</f>
        <v/>
      </c>
      <c r="S100" s="2">
        <f>IF(O100&gt;Demand!AV117,0,(IF(((2*(Retailers!AK99+Distributors_Cap!$P$47)-Retailers_Cap!$BB$7)*(Demand!AV117-Retailers_Cap!O100))&lt;0,0,((IF(BC100&gt;2*(Retailers!AK99+Distributors_Cap!$P$47),0,(IF(BH100=0,ROUNDUP((2*(Retailers!AK99+Distributors_Cap!$P$47)-BC100)^0.5,0),ROUNDUP((2*(Retailers!AK99+Distributors_Cap!$P$47)-BC100)^0.5,0)))))))))</f>
        <v/>
      </c>
      <c r="T100" s="2">
        <f>IF(P100&gt;Demand!AW117,0,(IF(((2*(Retailers!AL99+Distributors_Cap!$P$47)-Retailers_Cap!$BB$7)*(Demand!AW117-Retailers_Cap!P100))&lt;0,0,((IF(BD100&gt;2*(Retailers!AL99+Distributors_Cap!$P$47),0,(IF(BI100=0,ROUNDUP((2*(Retailers!AL99+Distributors_Cap!$P$47)-BD100)^0.5,0),ROUNDUP((2*(Retailers!AL99+Distributors_Cap!$P$47)-BD100)^0.5,0)))))))))</f>
        <v/>
      </c>
      <c r="W100" s="64" t="n">
        <v>104</v>
      </c>
      <c r="X100" s="9" t="n">
        <v>14</v>
      </c>
      <c r="Y100" s="9" t="n">
        <v>0</v>
      </c>
      <c r="Z100" s="9" t="n">
        <v>0</v>
      </c>
      <c r="AB100" s="2">
        <f>ROUNDDOWN(LOG((X100+1),2),0)</f>
        <v/>
      </c>
      <c r="AC100" s="2">
        <f>ROUNDDOWN(LOG((Y100+1),2),0)</f>
        <v/>
      </c>
      <c r="AD100" s="2">
        <f>ROUNDDOWN(LOG((Z100+1),2),0)</f>
        <v/>
      </c>
      <c r="AG100" s="64" t="n">
        <v>104</v>
      </c>
      <c r="AH100" s="9" t="n">
        <v>3</v>
      </c>
      <c r="AI100" s="9" t="n">
        <v>0</v>
      </c>
      <c r="AJ100" s="9" t="n">
        <v>0</v>
      </c>
      <c r="AQ100" s="64" t="n">
        <v>104</v>
      </c>
      <c r="AR100" s="64" t="n">
        <v>65.705</v>
      </c>
      <c r="AS100" s="64" t="n">
        <v>53.26</v>
      </c>
      <c r="AT100" s="64" t="n">
        <v>57.275</v>
      </c>
      <c r="AV100" s="64" t="n">
        <v>104</v>
      </c>
      <c r="AW100" s="64">
        <f>Beginning_stock!AT128</f>
        <v/>
      </c>
      <c r="AX100" s="64">
        <f>Beginning_stock!AU128</f>
        <v/>
      </c>
      <c r="AY100" s="64">
        <f>Beginning_stock!AV128</f>
        <v/>
      </c>
      <c r="BA100" s="64" t="n">
        <v>104</v>
      </c>
      <c r="BB100" s="64">
        <f>IF(Demand!AU117=Retailers_Cap!N100,"ret=0",(AW100/(Demand!AU117-Retailers_Cap!N100)))</f>
        <v/>
      </c>
      <c r="BC100" s="64">
        <f>IF(Demand!AV117=Retailers_Cap!O100,"ret=0",(AX100/(Demand!AV117-Retailers_Cap!O100)))</f>
        <v/>
      </c>
      <c r="BD100" s="64">
        <f>IF(Demand!AW117=Retailers_Cap!P100,"ret=0",(AY100/(Demand!AW117-Retailers_Cap!P100)))</f>
        <v/>
      </c>
      <c r="BF100" s="64" t="n">
        <v>104</v>
      </c>
      <c r="BG100" s="2">
        <f>IF(Demand!AU117&lt;=Retailers_Cap!N100,"ret=0",(IF(BB100&lt;=AR100+Distributors_Cap!$P$47,1,0)))</f>
        <v/>
      </c>
      <c r="BH100" s="2">
        <f>IF(Demand!AV117&lt;=Retailers_Cap!O100,"ret=0",(IF(BC100&lt;=AS100+Distributors_Cap!$P$47,1,0)))</f>
        <v/>
      </c>
      <c r="BI100" s="2">
        <f>IF(Demand!AW117&lt;=Retailers_Cap!P100,"ret=0",(IF(BD100&lt;=AT100+Distributors_Cap!$P$47,1,0)))</f>
        <v/>
      </c>
      <c r="BK100" s="64" t="n">
        <v>104</v>
      </c>
      <c r="BL100" s="64">
        <f>Retailers!BH99</f>
        <v/>
      </c>
      <c r="BM100" s="64">
        <f>Retailers!BI99</f>
        <v/>
      </c>
      <c r="BN100" s="64">
        <f>Retailers!BJ99</f>
        <v/>
      </c>
      <c r="BP100" s="64" t="n">
        <v>104</v>
      </c>
      <c r="BQ100" s="64">
        <f>#REF!</f>
        <v/>
      </c>
      <c r="BR100" s="64">
        <f>#REF!</f>
        <v/>
      </c>
      <c r="BS100" s="64">
        <f>#REF!</f>
        <v/>
      </c>
      <c r="BU100" s="64" t="n">
        <v>104</v>
      </c>
      <c r="BV100" s="64">
        <f>Retailers!AS99</f>
        <v/>
      </c>
      <c r="BW100" s="64">
        <f>Retailers!AT99</f>
        <v/>
      </c>
      <c r="BX100" s="64">
        <f>Retailers!AU99</f>
        <v/>
      </c>
      <c r="BZ100" s="64" t="n">
        <v>104</v>
      </c>
      <c r="CA100" s="64">
        <f>Results!#REF!</f>
        <v/>
      </c>
      <c r="CB100" s="64">
        <f>Results!#REF!</f>
        <v/>
      </c>
      <c r="CC100" s="64">
        <f>Results!#REF!</f>
        <v/>
      </c>
      <c r="CE100" s="64" t="n">
        <v>104</v>
      </c>
      <c r="CF100" s="64">
        <f>Retailers!BN99</f>
        <v/>
      </c>
      <c r="CG100" s="64">
        <f>Retailers!BO99</f>
        <v/>
      </c>
      <c r="CH100" s="64">
        <f>Retailers!BP99</f>
        <v/>
      </c>
      <c r="CJ100" s="64" t="n">
        <v>104</v>
      </c>
      <c r="CK100" s="64">
        <f>IF(BB100="ret=0",0,IF(BB100&gt;0,AR100+Distributors_Cap!$P$47-BB100,0))</f>
        <v/>
      </c>
      <c r="CL100" s="64">
        <f>IF(BC100="ret=0",0,IF(BC100&gt;0,AS100+Distributors_Cap!$P$47-BC100,0))</f>
        <v/>
      </c>
      <c r="CM100" s="64">
        <f>IF(BD100="ret=0",0,IF(BD100&gt;0,AT100+Distributors_Cap!$P$47-BD100,0))</f>
        <v/>
      </c>
    </row>
    <row r="101">
      <c r="G101" s="64" t="n">
        <v>105</v>
      </c>
      <c r="H101" s="64" t="n">
        <v>44.838</v>
      </c>
      <c r="I101" s="64" t="n">
        <v>88.941</v>
      </c>
      <c r="J101" s="64" t="n">
        <v>75.759</v>
      </c>
      <c r="L101" s="64">
        <f>TRUNC((_xlfn.NORM.INV((RAND()),$K$7,$K$8)),0)</f>
        <v/>
      </c>
      <c r="M101" s="64" t="n">
        <v>105</v>
      </c>
      <c r="N101" s="5" t="n">
        <v>21</v>
      </c>
      <c r="O101" s="5" t="n">
        <v>28</v>
      </c>
      <c r="P101" s="5" t="n">
        <v>28</v>
      </c>
      <c r="R101" s="2">
        <f>IF(N101&gt;Demand!AU118,0,(IF(((2*(Retailers!AJ100+Distributors_Cap!$P$47)-Retailers_Cap!$BB$7)*(Demand!AU118-Retailers_Cap!N101))&lt;0,0,((IF(BB101&gt;2*(Retailers!AJ100+Distributors_Cap!$P$47),0,(IF(BG101=0,ROUNDUP((2*(Retailers!AJ100+Distributors_Cap!$P$47)-BB101)^0.5,0),ROUNDUP((2*(Retailers!AJ100+Distributors_Cap!$P$47)-BB101)^0.5,0)))))))))</f>
        <v/>
      </c>
      <c r="S101" s="2">
        <f>IF(O101&gt;Demand!AV118,0,(IF(((2*(Retailers!AK100+Distributors_Cap!$P$47)-Retailers_Cap!$BB$7)*(Demand!AV118-Retailers_Cap!O101))&lt;0,0,((IF(BC101&gt;2*(Retailers!AK100+Distributors_Cap!$P$47),0,(IF(BH101=0,ROUNDUP((2*(Retailers!AK100+Distributors_Cap!$P$47)-BC101)^0.5,0),ROUNDUP((2*(Retailers!AK100+Distributors_Cap!$P$47)-BC101)^0.5,0)))))))))</f>
        <v/>
      </c>
      <c r="T101" s="2">
        <f>IF(P101&gt;Demand!AW118,0,(IF(((2*(Retailers!AL100+Distributors_Cap!$P$47)-Retailers_Cap!$BB$7)*(Demand!AW118-Retailers_Cap!P101))&lt;0,0,((IF(BD101&gt;2*(Retailers!AL100+Distributors_Cap!$P$47),0,(IF(BI101=0,ROUNDUP((2*(Retailers!AL100+Distributors_Cap!$P$47)-BD101)^0.5,0),ROUNDUP((2*(Retailers!AL100+Distributors_Cap!$P$47)-BD101)^0.5,0)))))))))</f>
        <v/>
      </c>
      <c r="W101" s="64" t="n">
        <v>105</v>
      </c>
      <c r="X101" s="9" t="n">
        <v>11</v>
      </c>
      <c r="Y101" s="9" t="n">
        <v>0</v>
      </c>
      <c r="Z101" s="9" t="n">
        <v>13</v>
      </c>
      <c r="AB101" s="2">
        <f>ROUNDDOWN(LOG((X101+1),2),0)</f>
        <v/>
      </c>
      <c r="AC101" s="2">
        <f>ROUNDDOWN(LOG((Y101+1),2),0)</f>
        <v/>
      </c>
      <c r="AD101" s="2">
        <f>ROUNDDOWN(LOG((Z101+1),2),0)</f>
        <v/>
      </c>
      <c r="AG101" s="64" t="n">
        <v>105</v>
      </c>
      <c r="AH101" s="9" t="n">
        <v>3</v>
      </c>
      <c r="AI101" s="9" t="n">
        <v>0</v>
      </c>
      <c r="AJ101" s="9" t="n">
        <v>3</v>
      </c>
      <c r="AQ101" s="64" t="n">
        <v>105</v>
      </c>
      <c r="AR101" s="64" t="n">
        <v>44.838</v>
      </c>
      <c r="AS101" s="64" t="n">
        <v>88.941</v>
      </c>
      <c r="AT101" s="64" t="n">
        <v>75.759</v>
      </c>
      <c r="AV101" s="64" t="n">
        <v>105</v>
      </c>
      <c r="AW101" s="64">
        <f>Beginning_stock!AT129</f>
        <v/>
      </c>
      <c r="AX101" s="64">
        <f>Beginning_stock!AU129</f>
        <v/>
      </c>
      <c r="AY101" s="64">
        <f>Beginning_stock!AV129</f>
        <v/>
      </c>
      <c r="BA101" s="64" t="n">
        <v>105</v>
      </c>
      <c r="BB101" s="64">
        <f>IF(Demand!AU118=Retailers_Cap!N101,"ret=0",(AW101/(Demand!AU118-Retailers_Cap!N101)))</f>
        <v/>
      </c>
      <c r="BC101" s="64">
        <f>IF(Demand!AV118=Retailers_Cap!O101,"ret=0",(AX101/(Demand!AV118-Retailers_Cap!O101)))</f>
        <v/>
      </c>
      <c r="BD101" s="64">
        <f>IF(Demand!AW118=Retailers_Cap!P101,"ret=0",(AY101/(Demand!AW118-Retailers_Cap!P101)))</f>
        <v/>
      </c>
      <c r="BF101" s="64" t="n">
        <v>105</v>
      </c>
      <c r="BG101" s="2">
        <f>IF(Demand!AU118&lt;=Retailers_Cap!N101,"ret=0",(IF(BB101&lt;=AR101+Distributors_Cap!$P$47,1,0)))</f>
        <v/>
      </c>
      <c r="BH101" s="2">
        <f>IF(Demand!AV118&lt;=Retailers_Cap!O101,"ret=0",(IF(BC101&lt;=AS101+Distributors_Cap!$P$47,1,0)))</f>
        <v/>
      </c>
      <c r="BI101" s="2">
        <f>IF(Demand!AW118&lt;=Retailers_Cap!P101,"ret=0",(IF(BD101&lt;=AT101+Distributors_Cap!$P$47,1,0)))</f>
        <v/>
      </c>
      <c r="BK101" s="64" t="n">
        <v>105</v>
      </c>
      <c r="BL101" s="64">
        <f>Retailers!BH100</f>
        <v/>
      </c>
      <c r="BM101" s="64">
        <f>Retailers!BI100</f>
        <v/>
      </c>
      <c r="BN101" s="64">
        <f>Retailers!BJ100</f>
        <v/>
      </c>
      <c r="BP101" s="64" t="n">
        <v>105</v>
      </c>
      <c r="BQ101" s="64">
        <f>#REF!</f>
        <v/>
      </c>
      <c r="BR101" s="64">
        <f>#REF!</f>
        <v/>
      </c>
      <c r="BS101" s="64">
        <f>#REF!</f>
        <v/>
      </c>
      <c r="BU101" s="64" t="n">
        <v>105</v>
      </c>
      <c r="BV101" s="64">
        <f>Retailers!AS100</f>
        <v/>
      </c>
      <c r="BW101" s="64">
        <f>Retailers!AT100</f>
        <v/>
      </c>
      <c r="BX101" s="64">
        <f>Retailers!AU100</f>
        <v/>
      </c>
      <c r="BZ101" s="64" t="n">
        <v>105</v>
      </c>
      <c r="CA101" s="64">
        <f>Results!#REF!</f>
        <v/>
      </c>
      <c r="CB101" s="64">
        <f>Results!#REF!</f>
        <v/>
      </c>
      <c r="CC101" s="64">
        <f>Results!#REF!</f>
        <v/>
      </c>
      <c r="CE101" s="64" t="n">
        <v>105</v>
      </c>
      <c r="CF101" s="64">
        <f>Retailers!BN100</f>
        <v/>
      </c>
      <c r="CG101" s="64">
        <f>Retailers!BO100</f>
        <v/>
      </c>
      <c r="CH101" s="64">
        <f>Retailers!BP100</f>
        <v/>
      </c>
      <c r="CJ101" s="64" t="n">
        <v>105</v>
      </c>
      <c r="CK101" s="64">
        <f>IF(BB101="ret=0",0,IF(BB101&gt;0,AR101+Distributors_Cap!$P$47-BB101,0))</f>
        <v/>
      </c>
      <c r="CL101" s="64">
        <f>IF(BC101="ret=0",0,IF(BC101&gt;0,AS101+Distributors_Cap!$P$47-BC101,0))</f>
        <v/>
      </c>
      <c r="CM101" s="64">
        <f>IF(BD101="ret=0",0,IF(BD101&gt;0,AT101+Distributors_Cap!$P$47-BD101,0))</f>
        <v/>
      </c>
    </row>
    <row r="102">
      <c r="G102" s="64" t="n">
        <v>106</v>
      </c>
      <c r="H102" s="64" t="n">
        <v>62.211</v>
      </c>
      <c r="I102" s="64" t="n">
        <v>61.595</v>
      </c>
      <c r="J102" s="64" t="n">
        <v>54.801</v>
      </c>
      <c r="L102" s="64">
        <f>TRUNC((_xlfn.NORM.INV((RAND()),$K$7,$K$8)),0)</f>
        <v/>
      </c>
      <c r="M102" s="64" t="n">
        <v>106</v>
      </c>
      <c r="N102" s="5" t="n">
        <v>23</v>
      </c>
      <c r="O102" s="5" t="n">
        <v>39</v>
      </c>
      <c r="P102" s="5" t="n">
        <v>27</v>
      </c>
      <c r="R102" s="2">
        <f>IF(N102&gt;Demand!AU119,0,(IF(((2*(Retailers!AJ101+Distributors_Cap!$P$47)-Retailers_Cap!$BB$7)*(Demand!AU119-Retailers_Cap!N102))&lt;0,0,((IF(BB102&gt;2*(Retailers!AJ101+Distributors_Cap!$P$47),0,(IF(BG102=0,ROUNDUP((2*(Retailers!AJ101+Distributors_Cap!$P$47)-BB102)^0.5,0),ROUNDUP((2*(Retailers!AJ101+Distributors_Cap!$P$47)-BB102)^0.5,0)))))))))</f>
        <v/>
      </c>
      <c r="S102" s="2">
        <f>IF(O102&gt;Demand!AV119,0,(IF(((2*(Retailers!AK101+Distributors_Cap!$P$47)-Retailers_Cap!$BB$7)*(Demand!AV119-Retailers_Cap!O102))&lt;0,0,((IF(BC102&gt;2*(Retailers!AK101+Distributors_Cap!$P$47),0,(IF(BH102=0,ROUNDUP((2*(Retailers!AK101+Distributors_Cap!$P$47)-BC102)^0.5,0),ROUNDUP((2*(Retailers!AK101+Distributors_Cap!$P$47)-BC102)^0.5,0)))))))))</f>
        <v/>
      </c>
      <c r="T102" s="2">
        <f>IF(P102&gt;Demand!AW119,0,(IF(((2*(Retailers!AL101+Distributors_Cap!$P$47)-Retailers_Cap!$BB$7)*(Demand!AW119-Retailers_Cap!P102))&lt;0,0,((IF(BD102&gt;2*(Retailers!AL101+Distributors_Cap!$P$47),0,(IF(BI102=0,ROUNDUP((2*(Retailers!AL101+Distributors_Cap!$P$47)-BD102)^0.5,0),ROUNDUP((2*(Retailers!AL101+Distributors_Cap!$P$47)-BD102)^0.5,0)))))))))</f>
        <v/>
      </c>
      <c r="W102" s="64" t="n">
        <v>106</v>
      </c>
      <c r="X102" s="9" t="n">
        <v>13</v>
      </c>
      <c r="Y102" s="9" t="n">
        <v>0</v>
      </c>
      <c r="Z102" s="9" t="n">
        <v>4</v>
      </c>
      <c r="AB102" s="2">
        <f>ROUNDDOWN(LOG((X102+1),2),0)</f>
        <v/>
      </c>
      <c r="AC102" s="2">
        <f>ROUNDDOWN(LOG((Y102+1),2),0)</f>
        <v/>
      </c>
      <c r="AD102" s="2">
        <f>ROUNDDOWN(LOG((Z102+1),2),0)</f>
        <v/>
      </c>
      <c r="AG102" s="64" t="n">
        <v>106</v>
      </c>
      <c r="AH102" s="9" t="n">
        <v>3</v>
      </c>
      <c r="AI102" s="9" t="n">
        <v>0</v>
      </c>
      <c r="AJ102" s="9" t="n">
        <v>2</v>
      </c>
      <c r="AQ102" s="64" t="n">
        <v>106</v>
      </c>
      <c r="AR102" s="64" t="n">
        <v>62.211</v>
      </c>
      <c r="AS102" s="64" t="n">
        <v>61.595</v>
      </c>
      <c r="AT102" s="64" t="n">
        <v>54.801</v>
      </c>
      <c r="AV102" s="64" t="n">
        <v>106</v>
      </c>
      <c r="AW102" s="64">
        <f>Beginning_stock!AT130</f>
        <v/>
      </c>
      <c r="AX102" s="64">
        <f>Beginning_stock!AU130</f>
        <v/>
      </c>
      <c r="AY102" s="64">
        <f>Beginning_stock!AV130</f>
        <v/>
      </c>
      <c r="BA102" s="64" t="n">
        <v>106</v>
      </c>
      <c r="BB102" s="64">
        <f>IF(Demand!AU119=Retailers_Cap!N102,"ret=0",(AW102/(Demand!AU119-Retailers_Cap!N102)))</f>
        <v/>
      </c>
      <c r="BC102" s="64">
        <f>IF(Demand!AV119=Retailers_Cap!O102,"ret=0",(AX102/(Demand!AV119-Retailers_Cap!O102)))</f>
        <v/>
      </c>
      <c r="BD102" s="64">
        <f>IF(Demand!AW119=Retailers_Cap!P102,"ret=0",(AY102/(Demand!AW119-Retailers_Cap!P102)))</f>
        <v/>
      </c>
      <c r="BF102" s="64" t="n">
        <v>106</v>
      </c>
      <c r="BG102" s="2">
        <f>IF(Demand!AU119&lt;=Retailers_Cap!N102,"ret=0",(IF(BB102&lt;=AR102+Distributors_Cap!$P$47,1,0)))</f>
        <v/>
      </c>
      <c r="BH102" s="2">
        <f>IF(Demand!AV119&lt;=Retailers_Cap!O102,"ret=0",(IF(BC102&lt;=AS102+Distributors_Cap!$P$47,1,0)))</f>
        <v/>
      </c>
      <c r="BI102" s="2">
        <f>IF(Demand!AW119&lt;=Retailers_Cap!P102,"ret=0",(IF(BD102&lt;=AT102+Distributors_Cap!$P$47,1,0)))</f>
        <v/>
      </c>
      <c r="BK102" s="64" t="n">
        <v>106</v>
      </c>
      <c r="BL102" s="64">
        <f>Retailers!BH101</f>
        <v/>
      </c>
      <c r="BM102" s="64">
        <f>Retailers!BI101</f>
        <v/>
      </c>
      <c r="BN102" s="64">
        <f>Retailers!BJ101</f>
        <v/>
      </c>
      <c r="BP102" s="64" t="n">
        <v>106</v>
      </c>
      <c r="BQ102" s="64">
        <f>#REF!</f>
        <v/>
      </c>
      <c r="BR102" s="64">
        <f>#REF!</f>
        <v/>
      </c>
      <c r="BS102" s="64">
        <f>#REF!</f>
        <v/>
      </c>
      <c r="BU102" s="64" t="n">
        <v>106</v>
      </c>
      <c r="BV102" s="64">
        <f>Retailers!AS101</f>
        <v/>
      </c>
      <c r="BW102" s="64">
        <f>Retailers!AT101</f>
        <v/>
      </c>
      <c r="BX102" s="64">
        <f>Retailers!AU101</f>
        <v/>
      </c>
      <c r="BZ102" s="64" t="n">
        <v>106</v>
      </c>
      <c r="CA102" s="64">
        <f>Results!#REF!</f>
        <v/>
      </c>
      <c r="CB102" s="64">
        <f>Results!#REF!</f>
        <v/>
      </c>
      <c r="CC102" s="64">
        <f>Results!#REF!</f>
        <v/>
      </c>
      <c r="CE102" s="64" t="n">
        <v>106</v>
      </c>
      <c r="CF102" s="64">
        <f>Retailers!BN101</f>
        <v/>
      </c>
      <c r="CG102" s="64">
        <f>Retailers!BO101</f>
        <v/>
      </c>
      <c r="CH102" s="64">
        <f>Retailers!BP101</f>
        <v/>
      </c>
      <c r="CJ102" s="64" t="n">
        <v>106</v>
      </c>
      <c r="CK102" s="64">
        <f>IF(BB102="ret=0",0,IF(BB102&gt;0,AR102+Distributors_Cap!$P$47-BB102,0))</f>
        <v/>
      </c>
      <c r="CL102" s="64">
        <f>IF(BC102="ret=0",0,IF(BC102&gt;0,AS102+Distributors_Cap!$P$47-BC102,0))</f>
        <v/>
      </c>
      <c r="CM102" s="64">
        <f>IF(BD102="ret=0",0,IF(BD102&gt;0,AT102+Distributors_Cap!$P$47-BD102,0))</f>
        <v/>
      </c>
    </row>
    <row r="103">
      <c r="G103" s="64" t="n">
        <v>107</v>
      </c>
      <c r="H103" s="64" t="n">
        <v>64.729</v>
      </c>
      <c r="I103" s="64" t="n">
        <v>52.756</v>
      </c>
      <c r="J103" s="64" t="n">
        <v>66.333</v>
      </c>
      <c r="L103" s="64">
        <f>TRUNC((_xlfn.NORM.INV((RAND()),$K$7,$K$8)),0)</f>
        <v/>
      </c>
      <c r="M103" s="64" t="n">
        <v>107</v>
      </c>
      <c r="N103" s="5" t="n">
        <v>25</v>
      </c>
      <c r="O103" s="5" t="n">
        <v>22</v>
      </c>
      <c r="P103" s="5" t="n">
        <v>27</v>
      </c>
      <c r="R103" s="2">
        <f>IF(N103&gt;Demand!AU120,0,(IF(((2*(Retailers!AJ102+Distributors_Cap!$P$47)-Retailers_Cap!$BB$7)*(Demand!AU120-Retailers_Cap!N103))&lt;0,0,((IF(BB103&gt;2*(Retailers!AJ102+Distributors_Cap!$P$47),0,(IF(BG103=0,ROUNDUP((2*(Retailers!AJ102+Distributors_Cap!$P$47)-BB103)^0.5,0),ROUNDUP((2*(Retailers!AJ102+Distributors_Cap!$P$47)-BB103)^0.5,0)))))))))</f>
        <v/>
      </c>
      <c r="S103" s="2">
        <f>IF(O103&gt;Demand!AV120,0,(IF(((2*(Retailers!AK102+Distributors_Cap!$P$47)-Retailers_Cap!$BB$7)*(Demand!AV120-Retailers_Cap!O103))&lt;0,0,((IF(BC103&gt;2*(Retailers!AK102+Distributors_Cap!$P$47),0,(IF(BH103=0,ROUNDUP((2*(Retailers!AK102+Distributors_Cap!$P$47)-BC103)^0.5,0),ROUNDUP((2*(Retailers!AK102+Distributors_Cap!$P$47)-BC103)^0.5,0)))))))))</f>
        <v/>
      </c>
      <c r="T103" s="2">
        <f>IF(P103&gt;Demand!AW120,0,(IF(((2*(Retailers!AL102+Distributors_Cap!$P$47)-Retailers_Cap!$BB$7)*(Demand!AW120-Retailers_Cap!P103))&lt;0,0,((IF(BD103&gt;2*(Retailers!AL102+Distributors_Cap!$P$47),0,(IF(BI103=0,ROUNDUP((2*(Retailers!AL102+Distributors_Cap!$P$47)-BD103)^0.5,0),ROUNDUP((2*(Retailers!AL102+Distributors_Cap!$P$47)-BD103)^0.5,0)))))))))</f>
        <v/>
      </c>
      <c r="W103" s="64" t="n">
        <v>107</v>
      </c>
      <c r="X103" s="9" t="n">
        <v>0</v>
      </c>
      <c r="Y103" s="9" t="n">
        <v>0</v>
      </c>
      <c r="Z103" s="9" t="n">
        <v>13</v>
      </c>
      <c r="AB103" s="2">
        <f>ROUNDDOWN(LOG((X103+1),2),0)</f>
        <v/>
      </c>
      <c r="AC103" s="2">
        <f>ROUNDDOWN(LOG((Y103+1),2),0)</f>
        <v/>
      </c>
      <c r="AD103" s="2">
        <f>ROUNDDOWN(LOG((Z103+1),2),0)</f>
        <v/>
      </c>
      <c r="AG103" s="64" t="n">
        <v>107</v>
      </c>
      <c r="AH103" s="9" t="n">
        <v>0</v>
      </c>
      <c r="AI103" s="9" t="n">
        <v>0</v>
      </c>
      <c r="AJ103" s="9" t="n">
        <v>3</v>
      </c>
      <c r="AQ103" s="64" t="n">
        <v>107</v>
      </c>
      <c r="AR103" s="64" t="n">
        <v>64.729</v>
      </c>
      <c r="AS103" s="64" t="n">
        <v>52.756</v>
      </c>
      <c r="AT103" s="64" t="n">
        <v>66.333</v>
      </c>
      <c r="AV103" s="64" t="n">
        <v>107</v>
      </c>
      <c r="AW103" s="64">
        <f>Beginning_stock!AT131</f>
        <v/>
      </c>
      <c r="AX103" s="64">
        <f>Beginning_stock!AU131</f>
        <v/>
      </c>
      <c r="AY103" s="64">
        <f>Beginning_stock!AV131</f>
        <v/>
      </c>
      <c r="BA103" s="64" t="n">
        <v>107</v>
      </c>
      <c r="BB103" s="64">
        <f>IF(Demand!AU120=Retailers_Cap!N103,"ret=0",(AW103/(Demand!AU120-Retailers_Cap!N103)))</f>
        <v/>
      </c>
      <c r="BC103" s="64">
        <f>IF(Demand!AV120=Retailers_Cap!O103,"ret=0",(AX103/(Demand!AV120-Retailers_Cap!O103)))</f>
        <v/>
      </c>
      <c r="BD103" s="64">
        <f>IF(Demand!AW120=Retailers_Cap!P103,"ret=0",(AY103/(Demand!AW120-Retailers_Cap!P103)))</f>
        <v/>
      </c>
      <c r="BF103" s="64" t="n">
        <v>107</v>
      </c>
      <c r="BG103" s="2">
        <f>IF(Demand!AU120&lt;=Retailers_Cap!N103,"ret=0",(IF(BB103&lt;=AR103+Distributors_Cap!$P$47,1,0)))</f>
        <v/>
      </c>
      <c r="BH103" s="2">
        <f>IF(Demand!AV120&lt;=Retailers_Cap!O103,"ret=0",(IF(BC103&lt;=AS103+Distributors_Cap!$P$47,1,0)))</f>
        <v/>
      </c>
      <c r="BI103" s="2">
        <f>IF(Demand!AW120&lt;=Retailers_Cap!P103,"ret=0",(IF(BD103&lt;=AT103+Distributors_Cap!$P$47,1,0)))</f>
        <v/>
      </c>
      <c r="BK103" s="64" t="n">
        <v>107</v>
      </c>
      <c r="BL103" s="64">
        <f>Retailers!BH102</f>
        <v/>
      </c>
      <c r="BM103" s="64">
        <f>Retailers!BI102</f>
        <v/>
      </c>
      <c r="BN103" s="64">
        <f>Retailers!BJ102</f>
        <v/>
      </c>
      <c r="BP103" s="64" t="n">
        <v>107</v>
      </c>
      <c r="BQ103" s="64">
        <f>#REF!</f>
        <v/>
      </c>
      <c r="BR103" s="64">
        <f>#REF!</f>
        <v/>
      </c>
      <c r="BS103" s="64">
        <f>#REF!</f>
        <v/>
      </c>
      <c r="BU103" s="64" t="n">
        <v>107</v>
      </c>
      <c r="BV103" s="64">
        <f>Retailers!AS102</f>
        <v/>
      </c>
      <c r="BW103" s="64">
        <f>Retailers!AT102</f>
        <v/>
      </c>
      <c r="BX103" s="64">
        <f>Retailers!AU102</f>
        <v/>
      </c>
      <c r="BZ103" s="64" t="n">
        <v>107</v>
      </c>
      <c r="CA103" s="64">
        <f>Results!#REF!</f>
        <v/>
      </c>
      <c r="CB103" s="64">
        <f>Results!#REF!</f>
        <v/>
      </c>
      <c r="CC103" s="64">
        <f>Results!#REF!</f>
        <v/>
      </c>
      <c r="CE103" s="64" t="n">
        <v>107</v>
      </c>
      <c r="CF103" s="64">
        <f>Retailers!BN102</f>
        <v/>
      </c>
      <c r="CG103" s="64">
        <f>Retailers!BO102</f>
        <v/>
      </c>
      <c r="CH103" s="64">
        <f>Retailers!BP102</f>
        <v/>
      </c>
      <c r="CJ103" s="64" t="n">
        <v>107</v>
      </c>
      <c r="CK103" s="64">
        <f>IF(BB103="ret=0",0,IF(BB103&gt;0,AR103+Distributors_Cap!$P$47-BB103,0))</f>
        <v/>
      </c>
      <c r="CL103" s="64">
        <f>IF(BC103="ret=0",0,IF(BC103&gt;0,AS103+Distributors_Cap!$P$47-BC103,0))</f>
        <v/>
      </c>
      <c r="CM103" s="64">
        <f>IF(BD103="ret=0",0,IF(BD103&gt;0,AT103+Distributors_Cap!$P$47-BD103,0))</f>
        <v/>
      </c>
    </row>
    <row r="104">
      <c r="G104" s="64" t="n">
        <v>108</v>
      </c>
      <c r="H104" s="64" t="n">
        <v>60.731</v>
      </c>
      <c r="I104" s="64" t="n">
        <v>61.965</v>
      </c>
      <c r="J104" s="64" t="n">
        <v>77.563</v>
      </c>
      <c r="L104" s="64">
        <f>TRUNC((_xlfn.NORM.INV((RAND()),$K$7,$K$8)),0)</f>
        <v/>
      </c>
      <c r="M104" s="64" t="n">
        <v>108</v>
      </c>
      <c r="N104" s="5" t="n">
        <v>35</v>
      </c>
      <c r="O104" s="5" t="n">
        <v>21</v>
      </c>
      <c r="P104" s="5" t="n">
        <v>26</v>
      </c>
      <c r="R104" s="2">
        <f>IF(N104&gt;Demand!AU121,0,(IF(((2*(Retailers!AJ103+Distributors_Cap!$P$47)-Retailers_Cap!$BB$7)*(Demand!AU121-Retailers_Cap!N104))&lt;0,0,((IF(BB104&gt;2*(Retailers!AJ103+Distributors_Cap!$P$47),0,(IF(BG104=0,ROUNDUP((2*(Retailers!AJ103+Distributors_Cap!$P$47)-BB104)^0.5,0),ROUNDUP((2*(Retailers!AJ103+Distributors_Cap!$P$47)-BB104)^0.5,0)))))))))</f>
        <v/>
      </c>
      <c r="S104" s="2">
        <f>IF(O104&gt;Demand!AV121,0,(IF(((2*(Retailers!AK103+Distributors_Cap!$P$47)-Retailers_Cap!$BB$7)*(Demand!AV121-Retailers_Cap!O104))&lt;0,0,((IF(BC104&gt;2*(Retailers!AK103+Distributors_Cap!$P$47),0,(IF(BH104=0,ROUNDUP((2*(Retailers!AK103+Distributors_Cap!$P$47)-BC104)^0.5,0),ROUNDUP((2*(Retailers!AK103+Distributors_Cap!$P$47)-BC104)^0.5,0)))))))))</f>
        <v/>
      </c>
      <c r="T104" s="2">
        <f>IF(P104&gt;Demand!AW121,0,(IF(((2*(Retailers!AL103+Distributors_Cap!$P$47)-Retailers_Cap!$BB$7)*(Demand!AW121-Retailers_Cap!P104))&lt;0,0,((IF(BD104&gt;2*(Retailers!AL103+Distributors_Cap!$P$47),0,(IF(BI104=0,ROUNDUP((2*(Retailers!AL103+Distributors_Cap!$P$47)-BD104)^0.5,0),ROUNDUP((2*(Retailers!AL103+Distributors_Cap!$P$47)-BD104)^0.5,0)))))))))</f>
        <v/>
      </c>
      <c r="W104" s="64" t="n">
        <v>108</v>
      </c>
      <c r="X104" s="9" t="n">
        <v>0</v>
      </c>
      <c r="Y104" s="9" t="n">
        <v>0</v>
      </c>
      <c r="Z104" s="9" t="n">
        <v>0</v>
      </c>
      <c r="AB104" s="2">
        <f>ROUNDDOWN(LOG((X104+1),2),0)</f>
        <v/>
      </c>
      <c r="AC104" s="2">
        <f>ROUNDDOWN(LOG((Y104+1),2),0)</f>
        <v/>
      </c>
      <c r="AD104" s="2">
        <f>ROUNDDOWN(LOG((Z104+1),2),0)</f>
        <v/>
      </c>
      <c r="AG104" s="64" t="n">
        <v>108</v>
      </c>
      <c r="AH104" s="9" t="n">
        <v>0</v>
      </c>
      <c r="AI104" s="9" t="n">
        <v>0</v>
      </c>
      <c r="AJ104" s="9" t="n">
        <v>0</v>
      </c>
      <c r="AQ104" s="64" t="n">
        <v>108</v>
      </c>
      <c r="AR104" s="64" t="n">
        <v>60.731</v>
      </c>
      <c r="AS104" s="64" t="n">
        <v>61.965</v>
      </c>
      <c r="AT104" s="64" t="n">
        <v>77.563</v>
      </c>
      <c r="AV104" s="64" t="n">
        <v>108</v>
      </c>
      <c r="AW104" s="64">
        <f>Beginning_stock!AT132</f>
        <v/>
      </c>
      <c r="AX104" s="64">
        <f>Beginning_stock!AU132</f>
        <v/>
      </c>
      <c r="AY104" s="64">
        <f>Beginning_stock!AV132</f>
        <v/>
      </c>
      <c r="BA104" s="64" t="n">
        <v>108</v>
      </c>
      <c r="BB104" s="64">
        <f>IF(Demand!AU121=Retailers_Cap!N104,"ret=0",(AW104/(Demand!AU121-Retailers_Cap!N104)))</f>
        <v/>
      </c>
      <c r="BC104" s="64">
        <f>IF(Demand!AV121=Retailers_Cap!O104,"ret=0",(AX104/(Demand!AV121-Retailers_Cap!O104)))</f>
        <v/>
      </c>
      <c r="BD104" s="64">
        <f>IF(Demand!AW121=Retailers_Cap!P104,"ret=0",(AY104/(Demand!AW121-Retailers_Cap!P104)))</f>
        <v/>
      </c>
      <c r="BF104" s="64" t="n">
        <v>108</v>
      </c>
      <c r="BG104" s="2">
        <f>IF(Demand!AU121&lt;=Retailers_Cap!N104,"ret=0",(IF(BB104&lt;=AR104+Distributors_Cap!$P$47,1,0)))</f>
        <v/>
      </c>
      <c r="BH104" s="2">
        <f>IF(Demand!AV121&lt;=Retailers_Cap!O104,"ret=0",(IF(BC104&lt;=AS104+Distributors_Cap!$P$47,1,0)))</f>
        <v/>
      </c>
      <c r="BI104" s="2">
        <f>IF(Demand!AW121&lt;=Retailers_Cap!P104,"ret=0",(IF(BD104&lt;=AT104+Distributors_Cap!$P$47,1,0)))</f>
        <v/>
      </c>
      <c r="BK104" s="64" t="n">
        <v>108</v>
      </c>
      <c r="BL104" s="64">
        <f>Retailers!BH103</f>
        <v/>
      </c>
      <c r="BM104" s="64">
        <f>Retailers!BI103</f>
        <v/>
      </c>
      <c r="BN104" s="64">
        <f>Retailers!BJ103</f>
        <v/>
      </c>
      <c r="BP104" s="64" t="n">
        <v>108</v>
      </c>
      <c r="BQ104" s="64">
        <f>#REF!</f>
        <v/>
      </c>
      <c r="BR104" s="64">
        <f>#REF!</f>
        <v/>
      </c>
      <c r="BS104" s="64">
        <f>#REF!</f>
        <v/>
      </c>
      <c r="BU104" s="64" t="n">
        <v>108</v>
      </c>
      <c r="BV104" s="64">
        <f>Retailers!AS103</f>
        <v/>
      </c>
      <c r="BW104" s="64">
        <f>Retailers!AT103</f>
        <v/>
      </c>
      <c r="BX104" s="64">
        <f>Retailers!AU103</f>
        <v/>
      </c>
      <c r="BZ104" s="64" t="n">
        <v>108</v>
      </c>
      <c r="CA104" s="64">
        <f>Results!#REF!</f>
        <v/>
      </c>
      <c r="CB104" s="64">
        <f>Results!#REF!</f>
        <v/>
      </c>
      <c r="CC104" s="64">
        <f>Results!#REF!</f>
        <v/>
      </c>
      <c r="CE104" s="64" t="n">
        <v>108</v>
      </c>
      <c r="CF104" s="64">
        <f>Retailers!BN103</f>
        <v/>
      </c>
      <c r="CG104" s="64">
        <f>Retailers!BO103</f>
        <v/>
      </c>
      <c r="CH104" s="64">
        <f>Retailers!BP103</f>
        <v/>
      </c>
      <c r="CJ104" s="64" t="n">
        <v>108</v>
      </c>
      <c r="CK104" s="64">
        <f>IF(BB104="ret=0",0,IF(BB104&gt;0,AR104+Distributors_Cap!$P$47-BB104,0))</f>
        <v/>
      </c>
      <c r="CL104" s="64">
        <f>IF(BC104="ret=0",0,IF(BC104&gt;0,AS104+Distributors_Cap!$P$47-BC104,0))</f>
        <v/>
      </c>
      <c r="CM104" s="64">
        <f>IF(BD104="ret=0",0,IF(BD104&gt;0,AT104+Distributors_Cap!$P$47-BD104,0))</f>
        <v/>
      </c>
    </row>
    <row r="105">
      <c r="G105" s="64" t="n">
        <v>109</v>
      </c>
      <c r="H105" s="64" t="n">
        <v>54.905</v>
      </c>
      <c r="I105" s="64" t="n">
        <v>45.5</v>
      </c>
      <c r="J105" s="64" t="n">
        <v>42.069</v>
      </c>
      <c r="L105" s="64">
        <f>TRUNC((_xlfn.NORM.INV((RAND()),$K$7,$K$8)),0)</f>
        <v/>
      </c>
      <c r="M105" s="64" t="n">
        <v>109</v>
      </c>
      <c r="N105" s="5" t="n">
        <v>30</v>
      </c>
      <c r="O105" s="5" t="n">
        <v>33</v>
      </c>
      <c r="P105" s="5" t="n">
        <v>28</v>
      </c>
      <c r="R105" s="2">
        <f>IF(N105&gt;Demand!AU122,0,(IF(((2*(Retailers!AJ104+Distributors_Cap!$P$47)-Retailers_Cap!$BB$7)*(Demand!AU122-Retailers_Cap!N105))&lt;0,0,((IF(BB105&gt;2*(Retailers!AJ104+Distributors_Cap!$P$47),0,(IF(BG105=0,ROUNDUP((2*(Retailers!AJ104+Distributors_Cap!$P$47)-BB105)^0.5,0),ROUNDUP((2*(Retailers!AJ104+Distributors_Cap!$P$47)-BB105)^0.5,0)))))))))</f>
        <v/>
      </c>
      <c r="S105" s="2">
        <f>IF(O105&gt;Demand!AV122,0,(IF(((2*(Retailers!AK104+Distributors_Cap!$P$47)-Retailers_Cap!$BB$7)*(Demand!AV122-Retailers_Cap!O105))&lt;0,0,((IF(BC105&gt;2*(Retailers!AK104+Distributors_Cap!$P$47),0,(IF(BH105=0,ROUNDUP((2*(Retailers!AK104+Distributors_Cap!$P$47)-BC105)^0.5,0),ROUNDUP((2*(Retailers!AK104+Distributors_Cap!$P$47)-BC105)^0.5,0)))))))))</f>
        <v/>
      </c>
      <c r="T105" s="2">
        <f>IF(P105&gt;Demand!AW122,0,(IF(((2*(Retailers!AL104+Distributors_Cap!$P$47)-Retailers_Cap!$BB$7)*(Demand!AW122-Retailers_Cap!P105))&lt;0,0,((IF(BD105&gt;2*(Retailers!AL104+Distributors_Cap!$P$47),0,(IF(BI105=0,ROUNDUP((2*(Retailers!AL104+Distributors_Cap!$P$47)-BD105)^0.5,0),ROUNDUP((2*(Retailers!AL104+Distributors_Cap!$P$47)-BD105)^0.5,0)))))))))</f>
        <v/>
      </c>
      <c r="W105" s="64" t="n">
        <v>109</v>
      </c>
      <c r="X105" s="9" t="n">
        <v>12</v>
      </c>
      <c r="Y105" s="9" t="n">
        <v>0</v>
      </c>
      <c r="Z105" s="9" t="n">
        <v>0</v>
      </c>
      <c r="AB105" s="2">
        <f>ROUNDDOWN(LOG((X105+1),2),0)</f>
        <v/>
      </c>
      <c r="AC105" s="2">
        <f>ROUNDDOWN(LOG((Y105+1),2),0)</f>
        <v/>
      </c>
      <c r="AD105" s="2">
        <f>ROUNDDOWN(LOG((Z105+1),2),0)</f>
        <v/>
      </c>
      <c r="AG105" s="64" t="n">
        <v>109</v>
      </c>
      <c r="AH105" s="9" t="n">
        <v>3</v>
      </c>
      <c r="AI105" s="9" t="n">
        <v>0</v>
      </c>
      <c r="AJ105" s="9" t="n">
        <v>0</v>
      </c>
      <c r="AQ105" s="64" t="n">
        <v>109</v>
      </c>
      <c r="AR105" s="64" t="n">
        <v>54.905</v>
      </c>
      <c r="AS105" s="64" t="n">
        <v>45.5</v>
      </c>
      <c r="AT105" s="64" t="n">
        <v>42.069</v>
      </c>
      <c r="AV105" s="64" t="n">
        <v>109</v>
      </c>
      <c r="AW105" s="64">
        <f>Beginning_stock!AT133</f>
        <v/>
      </c>
      <c r="AX105" s="64">
        <f>Beginning_stock!AU133</f>
        <v/>
      </c>
      <c r="AY105" s="64">
        <f>Beginning_stock!AV133</f>
        <v/>
      </c>
      <c r="BA105" s="64" t="n">
        <v>109</v>
      </c>
      <c r="BB105" s="64">
        <f>IF(Demand!AU122=Retailers_Cap!N105,"ret=0",(AW105/(Demand!AU122-Retailers_Cap!N105)))</f>
        <v/>
      </c>
      <c r="BC105" s="64">
        <f>IF(Demand!AV122=Retailers_Cap!O105,"ret=0",(AX105/(Demand!AV122-Retailers_Cap!O105)))</f>
        <v/>
      </c>
      <c r="BD105" s="64">
        <f>IF(Demand!AW122=Retailers_Cap!P105,"ret=0",(AY105/(Demand!AW122-Retailers_Cap!P105)))</f>
        <v/>
      </c>
      <c r="BF105" s="64" t="n">
        <v>109</v>
      </c>
      <c r="BG105" s="2">
        <f>IF(Demand!AU122&lt;=Retailers_Cap!N105,"ret=0",(IF(BB105&lt;=AR105+Distributors_Cap!$P$47,1,0)))</f>
        <v/>
      </c>
      <c r="BH105" s="2">
        <f>IF(Demand!AV122&lt;=Retailers_Cap!O105,"ret=0",(IF(BC105&lt;=AS105+Distributors_Cap!$P$47,1,0)))</f>
        <v/>
      </c>
      <c r="BI105" s="2">
        <f>IF(Demand!AW122&lt;=Retailers_Cap!P105,"ret=0",(IF(BD105&lt;=AT105+Distributors_Cap!$P$47,1,0)))</f>
        <v/>
      </c>
      <c r="BK105" s="64" t="n">
        <v>109</v>
      </c>
      <c r="BL105" s="64">
        <f>Retailers!BH104</f>
        <v/>
      </c>
      <c r="BM105" s="64">
        <f>Retailers!BI104</f>
        <v/>
      </c>
      <c r="BN105" s="64">
        <f>Retailers!BJ104</f>
        <v/>
      </c>
      <c r="BP105" s="64" t="n">
        <v>109</v>
      </c>
      <c r="BQ105" s="64">
        <f>#REF!</f>
        <v/>
      </c>
      <c r="BR105" s="64">
        <f>#REF!</f>
        <v/>
      </c>
      <c r="BS105" s="64">
        <f>#REF!</f>
        <v/>
      </c>
      <c r="BU105" s="64" t="n">
        <v>109</v>
      </c>
      <c r="BV105" s="64">
        <f>Retailers!AS104</f>
        <v/>
      </c>
      <c r="BW105" s="64">
        <f>Retailers!AT104</f>
        <v/>
      </c>
      <c r="BX105" s="64">
        <f>Retailers!AU104</f>
        <v/>
      </c>
      <c r="BZ105" s="64" t="n">
        <v>109</v>
      </c>
      <c r="CA105" s="64">
        <f>Results!#REF!</f>
        <v/>
      </c>
      <c r="CB105" s="64">
        <f>Results!#REF!</f>
        <v/>
      </c>
      <c r="CC105" s="64">
        <f>Results!#REF!</f>
        <v/>
      </c>
      <c r="CE105" s="64" t="n">
        <v>109</v>
      </c>
      <c r="CF105" s="64">
        <f>Retailers!BN104</f>
        <v/>
      </c>
      <c r="CG105" s="64">
        <f>Retailers!BO104</f>
        <v/>
      </c>
      <c r="CH105" s="64">
        <f>Retailers!BP104</f>
        <v/>
      </c>
      <c r="CJ105" s="64" t="n">
        <v>109</v>
      </c>
      <c r="CK105" s="64">
        <f>IF(BB105="ret=0",0,IF(BB105&gt;0,AR105+Distributors_Cap!$P$47-BB105,0))</f>
        <v/>
      </c>
      <c r="CL105" s="64">
        <f>IF(BC105="ret=0",0,IF(BC105&gt;0,AS105+Distributors_Cap!$P$47-BC105,0))</f>
        <v/>
      </c>
      <c r="CM105" s="64">
        <f>IF(BD105="ret=0",0,IF(BD105&gt;0,AT105+Distributors_Cap!$P$47-BD105,0))</f>
        <v/>
      </c>
    </row>
    <row r="106">
      <c r="G106" s="64" t="n">
        <v>110</v>
      </c>
      <c r="H106" s="64" t="n">
        <v>58.68</v>
      </c>
      <c r="I106" s="64" t="n">
        <v>85.105</v>
      </c>
      <c r="J106" s="64" t="n">
        <v>47.229</v>
      </c>
      <c r="L106" s="64">
        <f>TRUNC((_xlfn.NORM.INV((RAND()),$K$7,$K$8)),0)</f>
        <v/>
      </c>
      <c r="M106" s="64" t="n">
        <v>110</v>
      </c>
      <c r="N106" s="5" t="n">
        <v>19</v>
      </c>
      <c r="O106" s="5" t="n">
        <v>28</v>
      </c>
      <c r="P106" s="5" t="n">
        <v>27</v>
      </c>
      <c r="R106" s="2">
        <f>IF(N106&gt;Demand!AU123,0,(IF(((2*(Retailers!AJ105+Distributors_Cap!$P$47)-Retailers_Cap!$BB$7)*(Demand!AU123-Retailers_Cap!N106))&lt;0,0,((IF(BB106&gt;2*(Retailers!AJ105+Distributors_Cap!$P$47),0,(IF(BG106=0,ROUNDUP((2*(Retailers!AJ105+Distributors_Cap!$P$47)-BB106)^0.5,0),ROUNDUP((2*(Retailers!AJ105+Distributors_Cap!$P$47)-BB106)^0.5,0)))))))))</f>
        <v/>
      </c>
      <c r="S106" s="2">
        <f>IF(O106&gt;Demand!AV123,0,(IF(((2*(Retailers!AK105+Distributors_Cap!$P$47)-Retailers_Cap!$BB$7)*(Demand!AV123-Retailers_Cap!O106))&lt;0,0,((IF(BC106&gt;2*(Retailers!AK105+Distributors_Cap!$P$47),0,(IF(BH106=0,ROUNDUP((2*(Retailers!AK105+Distributors_Cap!$P$47)-BC106)^0.5,0),ROUNDUP((2*(Retailers!AK105+Distributors_Cap!$P$47)-BC106)^0.5,0)))))))))</f>
        <v/>
      </c>
      <c r="T106" s="2">
        <f>IF(P106&gt;Demand!AW123,0,(IF(((2*(Retailers!AL105+Distributors_Cap!$P$47)-Retailers_Cap!$BB$7)*(Demand!AW123-Retailers_Cap!P106))&lt;0,0,((IF(BD106&gt;2*(Retailers!AL105+Distributors_Cap!$P$47),0,(IF(BI106=0,ROUNDUP((2*(Retailers!AL105+Distributors_Cap!$P$47)-BD106)^0.5,0),ROUNDUP((2*(Retailers!AL105+Distributors_Cap!$P$47)-BD106)^0.5,0)))))))))</f>
        <v/>
      </c>
      <c r="W106" s="64" t="n">
        <v>110</v>
      </c>
      <c r="X106" s="9" t="n">
        <v>13</v>
      </c>
      <c r="Y106" s="9" t="n">
        <v>0</v>
      </c>
      <c r="Z106" s="9" t="n">
        <v>0</v>
      </c>
      <c r="AB106" s="2">
        <f>ROUNDDOWN(LOG((X106+1),2),0)</f>
        <v/>
      </c>
      <c r="AC106" s="2">
        <f>ROUNDDOWN(LOG((Y106+1),2),0)</f>
        <v/>
      </c>
      <c r="AD106" s="2">
        <f>ROUNDDOWN(LOG((Z106+1),2),0)</f>
        <v/>
      </c>
      <c r="AG106" s="64" t="n">
        <v>110</v>
      </c>
      <c r="AH106" s="9" t="n">
        <v>3</v>
      </c>
      <c r="AI106" s="9" t="n">
        <v>0</v>
      </c>
      <c r="AJ106" s="9" t="n">
        <v>0</v>
      </c>
      <c r="AQ106" s="64" t="n">
        <v>110</v>
      </c>
      <c r="AR106" s="64" t="n">
        <v>58.68</v>
      </c>
      <c r="AS106" s="64" t="n">
        <v>85.105</v>
      </c>
      <c r="AT106" s="64" t="n">
        <v>47.229</v>
      </c>
      <c r="AV106" s="64" t="n">
        <v>110</v>
      </c>
      <c r="AW106" s="64">
        <f>Beginning_stock!AT134</f>
        <v/>
      </c>
      <c r="AX106" s="64">
        <f>Beginning_stock!AU134</f>
        <v/>
      </c>
      <c r="AY106" s="64">
        <f>Beginning_stock!AV134</f>
        <v/>
      </c>
      <c r="BA106" s="64" t="n">
        <v>110</v>
      </c>
      <c r="BB106" s="64">
        <f>IF(Demand!AU123=Retailers_Cap!N106,"ret=0",(AW106/(Demand!AU123-Retailers_Cap!N106)))</f>
        <v/>
      </c>
      <c r="BC106" s="64">
        <f>IF(Demand!AV123=Retailers_Cap!O106,"ret=0",(AX106/(Demand!AV123-Retailers_Cap!O106)))</f>
        <v/>
      </c>
      <c r="BD106" s="64">
        <f>IF(Demand!AW123=Retailers_Cap!P106,"ret=0",(AY106/(Demand!AW123-Retailers_Cap!P106)))</f>
        <v/>
      </c>
      <c r="BF106" s="64" t="n">
        <v>110</v>
      </c>
      <c r="BG106" s="2">
        <f>IF(Demand!AU123&lt;=Retailers_Cap!N106,"ret=0",(IF(BB106&lt;=AR106+Distributors_Cap!$P$47,1,0)))</f>
        <v/>
      </c>
      <c r="BH106" s="2">
        <f>IF(Demand!AV123&lt;=Retailers_Cap!O106,"ret=0",(IF(BC106&lt;=AS106+Distributors_Cap!$P$47,1,0)))</f>
        <v/>
      </c>
      <c r="BI106" s="2">
        <f>IF(Demand!AW123&lt;=Retailers_Cap!P106,"ret=0",(IF(BD106&lt;=AT106+Distributors_Cap!$P$47,1,0)))</f>
        <v/>
      </c>
      <c r="BK106" s="64" t="n">
        <v>110</v>
      </c>
      <c r="BL106" s="64">
        <f>Retailers!BH105</f>
        <v/>
      </c>
      <c r="BM106" s="64">
        <f>Retailers!BI105</f>
        <v/>
      </c>
      <c r="BN106" s="64">
        <f>Retailers!BJ105</f>
        <v/>
      </c>
      <c r="BP106" s="64" t="n">
        <v>110</v>
      </c>
      <c r="BQ106" s="64">
        <f>#REF!</f>
        <v/>
      </c>
      <c r="BR106" s="64">
        <f>#REF!</f>
        <v/>
      </c>
      <c r="BS106" s="64">
        <f>#REF!</f>
        <v/>
      </c>
      <c r="BU106" s="64" t="n">
        <v>110</v>
      </c>
      <c r="BV106" s="64">
        <f>Retailers!AS105</f>
        <v/>
      </c>
      <c r="BW106" s="64">
        <f>Retailers!AT105</f>
        <v/>
      </c>
      <c r="BX106" s="64">
        <f>Retailers!AU105</f>
        <v/>
      </c>
      <c r="BZ106" s="64" t="n">
        <v>110</v>
      </c>
      <c r="CA106" s="64">
        <f>Results!#REF!</f>
        <v/>
      </c>
      <c r="CB106" s="64">
        <f>Results!#REF!</f>
        <v/>
      </c>
      <c r="CC106" s="64">
        <f>Results!#REF!</f>
        <v/>
      </c>
      <c r="CE106" s="64" t="n">
        <v>110</v>
      </c>
      <c r="CF106" s="64">
        <f>Retailers!BN105</f>
        <v/>
      </c>
      <c r="CG106" s="64">
        <f>Retailers!BO105</f>
        <v/>
      </c>
      <c r="CH106" s="64">
        <f>Retailers!BP105</f>
        <v/>
      </c>
      <c r="CJ106" s="64" t="n">
        <v>110</v>
      </c>
      <c r="CK106" s="64">
        <f>IF(BB106="ret=0",0,IF(BB106&gt;0,AR106+Distributors_Cap!$P$47-BB106,0))</f>
        <v/>
      </c>
      <c r="CL106" s="64">
        <f>IF(BC106="ret=0",0,IF(BC106&gt;0,AS106+Distributors_Cap!$P$47-BC106,0))</f>
        <v/>
      </c>
      <c r="CM106" s="64">
        <f>IF(BD106="ret=0",0,IF(BD106&gt;0,AT106+Distributors_Cap!$P$47-BD106,0))</f>
        <v/>
      </c>
    </row>
    <row r="107">
      <c r="G107" s="64" t="n">
        <v>111</v>
      </c>
      <c r="H107" s="64" t="n">
        <v>41.253</v>
      </c>
      <c r="I107" s="64" t="n">
        <v>46.242</v>
      </c>
      <c r="J107" s="64" t="n">
        <v>71.078</v>
      </c>
      <c r="L107" s="64">
        <f>TRUNC((_xlfn.NORM.INV((RAND()),$K$7,$K$8)),0)</f>
        <v/>
      </c>
      <c r="M107" s="64" t="n">
        <v>111</v>
      </c>
      <c r="N107" s="5" t="n">
        <v>37</v>
      </c>
      <c r="O107" s="5" t="n">
        <v>32</v>
      </c>
      <c r="P107" s="5" t="n">
        <v>29</v>
      </c>
      <c r="R107" s="2">
        <f>IF(N107&gt;Demand!AU124,0,(IF(((2*(Retailers!AJ106+Distributors_Cap!$P$47)-Retailers_Cap!$BB$7)*(Demand!AU124-Retailers_Cap!N107))&lt;0,0,((IF(BB107&gt;2*(Retailers!AJ106+Distributors_Cap!$P$47),0,(IF(BG107=0,ROUNDUP((2*(Retailers!AJ106+Distributors_Cap!$P$47)-BB107)^0.5,0),ROUNDUP((2*(Retailers!AJ106+Distributors_Cap!$P$47)-BB107)^0.5,0)))))))))</f>
        <v/>
      </c>
      <c r="S107" s="2">
        <f>IF(O107&gt;Demand!AV124,0,(IF(((2*(Retailers!AK106+Distributors_Cap!$P$47)-Retailers_Cap!$BB$7)*(Demand!AV124-Retailers_Cap!O107))&lt;0,0,((IF(BC107&gt;2*(Retailers!AK106+Distributors_Cap!$P$47),0,(IF(BH107=0,ROUNDUP((2*(Retailers!AK106+Distributors_Cap!$P$47)-BC107)^0.5,0),ROUNDUP((2*(Retailers!AK106+Distributors_Cap!$P$47)-BC107)^0.5,0)))))))))</f>
        <v/>
      </c>
      <c r="T107" s="2">
        <f>IF(P107&gt;Demand!AW124,0,(IF(((2*(Retailers!AL106+Distributors_Cap!$P$47)-Retailers_Cap!$BB$7)*(Demand!AW124-Retailers_Cap!P107))&lt;0,0,((IF(BD107&gt;2*(Retailers!AL106+Distributors_Cap!$P$47),0,(IF(BI107=0,ROUNDUP((2*(Retailers!AL106+Distributors_Cap!$P$47)-BD107)^0.5,0),ROUNDUP((2*(Retailers!AL106+Distributors_Cap!$P$47)-BD107)^0.5,0)))))))))</f>
        <v/>
      </c>
      <c r="W107" s="64" t="n">
        <v>111</v>
      </c>
      <c r="X107" s="9" t="n">
        <v>0</v>
      </c>
      <c r="Y107" s="9" t="n">
        <v>0</v>
      </c>
      <c r="Z107" s="9" t="n">
        <v>0</v>
      </c>
      <c r="AB107" s="2">
        <f>ROUNDDOWN(LOG((X107+1),2),0)</f>
        <v/>
      </c>
      <c r="AC107" s="2">
        <f>ROUNDDOWN(LOG((Y107+1),2),0)</f>
        <v/>
      </c>
      <c r="AD107" s="2">
        <f>ROUNDDOWN(LOG((Z107+1),2),0)</f>
        <v/>
      </c>
      <c r="AG107" s="64" t="n">
        <v>111</v>
      </c>
      <c r="AH107" s="9" t="n">
        <v>0</v>
      </c>
      <c r="AI107" s="9" t="n">
        <v>0</v>
      </c>
      <c r="AJ107" s="9" t="n">
        <v>0</v>
      </c>
      <c r="AQ107" s="64" t="n">
        <v>111</v>
      </c>
      <c r="AR107" s="64" t="n">
        <v>41.253</v>
      </c>
      <c r="AS107" s="64" t="n">
        <v>46.242</v>
      </c>
      <c r="AT107" s="64" t="n">
        <v>71.078</v>
      </c>
      <c r="AV107" s="64" t="n">
        <v>111</v>
      </c>
      <c r="AW107" s="64">
        <f>Beginning_stock!AT135</f>
        <v/>
      </c>
      <c r="AX107" s="64">
        <f>Beginning_stock!AU135</f>
        <v/>
      </c>
      <c r="AY107" s="64">
        <f>Beginning_stock!AV135</f>
        <v/>
      </c>
      <c r="BA107" s="64" t="n">
        <v>111</v>
      </c>
      <c r="BB107" s="64">
        <f>IF(Demand!AU124=Retailers_Cap!N107,"ret=0",(AW107/(Demand!AU124-Retailers_Cap!N107)))</f>
        <v/>
      </c>
      <c r="BC107" s="64">
        <f>IF(Demand!AV124=Retailers_Cap!O107,"ret=0",(AX107/(Demand!AV124-Retailers_Cap!O107)))</f>
        <v/>
      </c>
      <c r="BD107" s="64">
        <f>IF(Demand!AW124=Retailers_Cap!P107,"ret=0",(AY107/(Demand!AW124-Retailers_Cap!P107)))</f>
        <v/>
      </c>
      <c r="BF107" s="64" t="n">
        <v>111</v>
      </c>
      <c r="BG107" s="2">
        <f>IF(Demand!AU124&lt;=Retailers_Cap!N107,"ret=0",(IF(BB107&lt;=AR107+Distributors_Cap!$P$47,1,0)))</f>
        <v/>
      </c>
      <c r="BH107" s="2">
        <f>IF(Demand!AV124&lt;=Retailers_Cap!O107,"ret=0",(IF(BC107&lt;=AS107+Distributors_Cap!$P$47,1,0)))</f>
        <v/>
      </c>
      <c r="BI107" s="2">
        <f>IF(Demand!AW124&lt;=Retailers_Cap!P107,"ret=0",(IF(BD107&lt;=AT107+Distributors_Cap!$P$47,1,0)))</f>
        <v/>
      </c>
      <c r="BK107" s="64" t="n">
        <v>111</v>
      </c>
      <c r="BL107" s="64">
        <f>Retailers!BH106</f>
        <v/>
      </c>
      <c r="BM107" s="64">
        <f>Retailers!BI106</f>
        <v/>
      </c>
      <c r="BN107" s="64">
        <f>Retailers!BJ106</f>
        <v/>
      </c>
      <c r="BP107" s="64" t="n">
        <v>111</v>
      </c>
      <c r="BQ107" s="64">
        <f>#REF!</f>
        <v/>
      </c>
      <c r="BR107" s="64">
        <f>#REF!</f>
        <v/>
      </c>
      <c r="BS107" s="64">
        <f>#REF!</f>
        <v/>
      </c>
      <c r="BU107" s="64" t="n">
        <v>111</v>
      </c>
      <c r="BV107" s="64">
        <f>Retailers!AS106</f>
        <v/>
      </c>
      <c r="BW107" s="64">
        <f>Retailers!AT106</f>
        <v/>
      </c>
      <c r="BX107" s="64">
        <f>Retailers!AU106</f>
        <v/>
      </c>
      <c r="BZ107" s="64" t="n">
        <v>111</v>
      </c>
      <c r="CA107" s="64">
        <f>Results!#REF!</f>
        <v/>
      </c>
      <c r="CB107" s="64">
        <f>Results!#REF!</f>
        <v/>
      </c>
      <c r="CC107" s="64">
        <f>Results!#REF!</f>
        <v/>
      </c>
      <c r="CE107" s="64" t="n">
        <v>111</v>
      </c>
      <c r="CF107" s="64">
        <f>Retailers!BN106</f>
        <v/>
      </c>
      <c r="CG107" s="64">
        <f>Retailers!BO106</f>
        <v/>
      </c>
      <c r="CH107" s="64">
        <f>Retailers!BP106</f>
        <v/>
      </c>
      <c r="CJ107" s="64" t="n">
        <v>111</v>
      </c>
      <c r="CK107" s="64">
        <f>IF(BB107="ret=0",0,IF(BB107&gt;0,AR107+Distributors_Cap!$P$47-BB107,0))</f>
        <v/>
      </c>
      <c r="CL107" s="64">
        <f>IF(BC107="ret=0",0,IF(BC107&gt;0,AS107+Distributors_Cap!$P$47-BC107,0))</f>
        <v/>
      </c>
      <c r="CM107" s="64">
        <f>IF(BD107="ret=0",0,IF(BD107&gt;0,AT107+Distributors_Cap!$P$47-BD107,0))</f>
        <v/>
      </c>
    </row>
    <row r="108">
      <c r="G108" s="64" t="n">
        <v>112</v>
      </c>
      <c r="H108" s="64" t="n">
        <v>44.394</v>
      </c>
      <c r="I108" s="64" t="n">
        <v>66.88800000000001</v>
      </c>
      <c r="J108" s="64" t="n">
        <v>70.797</v>
      </c>
      <c r="L108" s="64">
        <f>TRUNC((_xlfn.NORM.INV((RAND()),$K$7,$K$8)),0)</f>
        <v/>
      </c>
      <c r="M108" s="64" t="n">
        <v>112</v>
      </c>
      <c r="N108" s="5" t="n">
        <v>36</v>
      </c>
      <c r="O108" s="5" t="n">
        <v>29</v>
      </c>
      <c r="P108" s="5" t="n">
        <v>32</v>
      </c>
      <c r="R108" s="2">
        <f>IF(N108&gt;Demand!AU125,0,(IF(((2*(Retailers!AJ107+Distributors_Cap!$P$47)-Retailers_Cap!$BB$7)*(Demand!AU125-Retailers_Cap!N108))&lt;0,0,((IF(BB108&gt;2*(Retailers!AJ107+Distributors_Cap!$P$47),0,(IF(BG108=0,ROUNDUP((2*(Retailers!AJ107+Distributors_Cap!$P$47)-BB108)^0.5,0),ROUNDUP((2*(Retailers!AJ107+Distributors_Cap!$P$47)-BB108)^0.5,0)))))))))</f>
        <v/>
      </c>
      <c r="S108" s="2">
        <f>IF(O108&gt;Demand!AV125,0,(IF(((2*(Retailers!AK107+Distributors_Cap!$P$47)-Retailers_Cap!$BB$7)*(Demand!AV125-Retailers_Cap!O108))&lt;0,0,((IF(BC108&gt;2*(Retailers!AK107+Distributors_Cap!$P$47),0,(IF(BH108=0,ROUNDUP((2*(Retailers!AK107+Distributors_Cap!$P$47)-BC108)^0.5,0),ROUNDUP((2*(Retailers!AK107+Distributors_Cap!$P$47)-BC108)^0.5,0)))))))))</f>
        <v/>
      </c>
      <c r="T108" s="2">
        <f>IF(P108&gt;Demand!AW125,0,(IF(((2*(Retailers!AL107+Distributors_Cap!$P$47)-Retailers_Cap!$BB$7)*(Demand!AW125-Retailers_Cap!P108))&lt;0,0,((IF(BD108&gt;2*(Retailers!AL107+Distributors_Cap!$P$47),0,(IF(BI108=0,ROUNDUP((2*(Retailers!AL107+Distributors_Cap!$P$47)-BD108)^0.5,0),ROUNDUP((2*(Retailers!AL107+Distributors_Cap!$P$47)-BD108)^0.5,0)))))))))</f>
        <v/>
      </c>
      <c r="W108" s="64" t="n">
        <v>112</v>
      </c>
      <c r="X108" s="9" t="n">
        <v>0</v>
      </c>
      <c r="Y108" s="9" t="n">
        <v>0</v>
      </c>
      <c r="Z108" s="9" t="n">
        <v>0</v>
      </c>
      <c r="AB108" s="2">
        <f>ROUNDDOWN(LOG((X108+1),2),0)</f>
        <v/>
      </c>
      <c r="AC108" s="2">
        <f>ROUNDDOWN(LOG((Y108+1),2),0)</f>
        <v/>
      </c>
      <c r="AD108" s="2">
        <f>ROUNDDOWN(LOG((Z108+1),2),0)</f>
        <v/>
      </c>
      <c r="AG108" s="64" t="n">
        <v>112</v>
      </c>
      <c r="AH108" s="9" t="n">
        <v>0</v>
      </c>
      <c r="AI108" s="9" t="n">
        <v>0</v>
      </c>
      <c r="AJ108" s="9" t="n">
        <v>0</v>
      </c>
      <c r="AQ108" s="64" t="n">
        <v>112</v>
      </c>
      <c r="AR108" s="64" t="n">
        <v>44.394</v>
      </c>
      <c r="AS108" s="64" t="n">
        <v>66.88800000000001</v>
      </c>
      <c r="AT108" s="64" t="n">
        <v>70.797</v>
      </c>
      <c r="AV108" s="64" t="n">
        <v>112</v>
      </c>
      <c r="AW108" s="64">
        <f>Beginning_stock!AT136</f>
        <v/>
      </c>
      <c r="AX108" s="64">
        <f>Beginning_stock!AU136</f>
        <v/>
      </c>
      <c r="AY108" s="64">
        <f>Beginning_stock!AV136</f>
        <v/>
      </c>
      <c r="BA108" s="64" t="n">
        <v>112</v>
      </c>
      <c r="BB108" s="64">
        <f>IF(Demand!AU125=Retailers_Cap!N108,"ret=0",(AW108/(Demand!AU125-Retailers_Cap!N108)))</f>
        <v/>
      </c>
      <c r="BC108" s="64">
        <f>IF(Demand!AV125=Retailers_Cap!O108,"ret=0",(AX108/(Demand!AV125-Retailers_Cap!O108)))</f>
        <v/>
      </c>
      <c r="BD108" s="64">
        <f>IF(Demand!AW125=Retailers_Cap!P108,"ret=0",(AY108/(Demand!AW125-Retailers_Cap!P108)))</f>
        <v/>
      </c>
      <c r="BF108" s="64" t="n">
        <v>112</v>
      </c>
      <c r="BG108" s="2">
        <f>IF(Demand!AU125&lt;=Retailers_Cap!N108,"ret=0",(IF(BB108&lt;=AR108+Distributors_Cap!$P$47,1,0)))</f>
        <v/>
      </c>
      <c r="BH108" s="2">
        <f>IF(Demand!AV125&lt;=Retailers_Cap!O108,"ret=0",(IF(BC108&lt;=AS108+Distributors_Cap!$P$47,1,0)))</f>
        <v/>
      </c>
      <c r="BI108" s="2">
        <f>IF(Demand!AW125&lt;=Retailers_Cap!P108,"ret=0",(IF(BD108&lt;=AT108+Distributors_Cap!$P$47,1,0)))</f>
        <v/>
      </c>
      <c r="BK108" s="64" t="n">
        <v>112</v>
      </c>
      <c r="BL108" s="64">
        <f>Retailers!BH107</f>
        <v/>
      </c>
      <c r="BM108" s="64">
        <f>Retailers!BI107</f>
        <v/>
      </c>
      <c r="BN108" s="64">
        <f>Retailers!BJ107</f>
        <v/>
      </c>
      <c r="BP108" s="64" t="n">
        <v>112</v>
      </c>
      <c r="BQ108" s="64">
        <f>#REF!</f>
        <v/>
      </c>
      <c r="BR108" s="64">
        <f>#REF!</f>
        <v/>
      </c>
      <c r="BS108" s="64">
        <f>#REF!</f>
        <v/>
      </c>
      <c r="BU108" s="64" t="n">
        <v>112</v>
      </c>
      <c r="BV108" s="64">
        <f>Retailers!AS107</f>
        <v/>
      </c>
      <c r="BW108" s="64">
        <f>Retailers!AT107</f>
        <v/>
      </c>
      <c r="BX108" s="64">
        <f>Retailers!AU107</f>
        <v/>
      </c>
      <c r="BZ108" s="64" t="n">
        <v>112</v>
      </c>
      <c r="CA108" s="64">
        <f>Results!#REF!</f>
        <v/>
      </c>
      <c r="CB108" s="64">
        <f>Results!#REF!</f>
        <v/>
      </c>
      <c r="CC108" s="64">
        <f>Results!#REF!</f>
        <v/>
      </c>
      <c r="CE108" s="64" t="n">
        <v>112</v>
      </c>
      <c r="CF108" s="64">
        <f>Retailers!BN107</f>
        <v/>
      </c>
      <c r="CG108" s="64">
        <f>Retailers!BO107</f>
        <v/>
      </c>
      <c r="CH108" s="64">
        <f>Retailers!BP107</f>
        <v/>
      </c>
      <c r="CJ108" s="64" t="n">
        <v>112</v>
      </c>
      <c r="CK108" s="64">
        <f>IF(BB108="ret=0",0,IF(BB108&gt;0,AR108+Distributors_Cap!$P$47-BB108,0))</f>
        <v/>
      </c>
      <c r="CL108" s="64">
        <f>IF(BC108="ret=0",0,IF(BC108&gt;0,AS108+Distributors_Cap!$P$47-BC108,0))</f>
        <v/>
      </c>
      <c r="CM108" s="64">
        <f>IF(BD108="ret=0",0,IF(BD108&gt;0,AT108+Distributors_Cap!$P$47-BD108,0))</f>
        <v/>
      </c>
    </row>
    <row r="109">
      <c r="G109" s="64" t="n">
        <v>113</v>
      </c>
      <c r="H109" s="64" t="n">
        <v>82.42700000000001</v>
      </c>
      <c r="I109" s="64" t="n">
        <v>58.659</v>
      </c>
      <c r="J109" s="64" t="n">
        <v>60.28</v>
      </c>
      <c r="L109" s="64">
        <f>TRUNC((_xlfn.NORM.INV((RAND()),$K$7,$K$8)),0)</f>
        <v/>
      </c>
      <c r="M109" s="64" t="n">
        <v>113</v>
      </c>
      <c r="N109" s="5" t="n">
        <v>34</v>
      </c>
      <c r="O109" s="5" t="n">
        <v>25</v>
      </c>
      <c r="P109" s="5" t="n">
        <v>34</v>
      </c>
      <c r="R109" s="2">
        <f>IF(N109&gt;Demand!AU126,0,(IF(((2*(Retailers!AJ108+Distributors_Cap!$P$47)-Retailers_Cap!$BB$7)*(Demand!AU126-Retailers_Cap!N109))&lt;0,0,((IF(BB109&gt;2*(Retailers!AJ108+Distributors_Cap!$P$47),0,(IF(BG109=0,ROUNDUP((2*(Retailers!AJ108+Distributors_Cap!$P$47)-BB109)^0.5,0),ROUNDUP((2*(Retailers!AJ108+Distributors_Cap!$P$47)-BB109)^0.5,0)))))))))</f>
        <v/>
      </c>
      <c r="S109" s="2">
        <f>IF(O109&gt;Demand!AV126,0,(IF(((2*(Retailers!AK108+Distributors_Cap!$P$47)-Retailers_Cap!$BB$7)*(Demand!AV126-Retailers_Cap!O109))&lt;0,0,((IF(BC109&gt;2*(Retailers!AK108+Distributors_Cap!$P$47),0,(IF(BH109=0,ROUNDUP((2*(Retailers!AK108+Distributors_Cap!$P$47)-BC109)^0.5,0),ROUNDUP((2*(Retailers!AK108+Distributors_Cap!$P$47)-BC109)^0.5,0)))))))))</f>
        <v/>
      </c>
      <c r="T109" s="2">
        <f>IF(P109&gt;Demand!AW126,0,(IF(((2*(Retailers!AL108+Distributors_Cap!$P$47)-Retailers_Cap!$BB$7)*(Demand!AW126-Retailers_Cap!P109))&lt;0,0,((IF(BD109&gt;2*(Retailers!AL108+Distributors_Cap!$P$47),0,(IF(BI109=0,ROUNDUP((2*(Retailers!AL108+Distributors_Cap!$P$47)-BD109)^0.5,0),ROUNDUP((2*(Retailers!AL108+Distributors_Cap!$P$47)-BD109)^0.5,0)))))))))</f>
        <v/>
      </c>
      <c r="W109" s="64" t="n">
        <v>113</v>
      </c>
      <c r="X109" s="9" t="n">
        <v>0</v>
      </c>
      <c r="Y109" s="9" t="n">
        <v>13</v>
      </c>
      <c r="Z109" s="9" t="n">
        <v>0</v>
      </c>
      <c r="AB109" s="2">
        <f>ROUNDDOWN(LOG((X109+1),2),0)</f>
        <v/>
      </c>
      <c r="AC109" s="2">
        <f>ROUNDDOWN(LOG((Y109+1),2),0)</f>
        <v/>
      </c>
      <c r="AD109" s="2">
        <f>ROUNDDOWN(LOG((Z109+1),2),0)</f>
        <v/>
      </c>
      <c r="AG109" s="64" t="n">
        <v>113</v>
      </c>
      <c r="AH109" s="9" t="n">
        <v>0</v>
      </c>
      <c r="AI109" s="9" t="n">
        <v>3</v>
      </c>
      <c r="AJ109" s="9" t="n">
        <v>0</v>
      </c>
      <c r="AQ109" s="64" t="n">
        <v>113</v>
      </c>
      <c r="AR109" s="64" t="n">
        <v>82.42700000000001</v>
      </c>
      <c r="AS109" s="64" t="n">
        <v>58.659</v>
      </c>
      <c r="AT109" s="64" t="n">
        <v>60.28</v>
      </c>
      <c r="AV109" s="64" t="n">
        <v>113</v>
      </c>
      <c r="AW109" s="64">
        <f>Beginning_stock!AT137</f>
        <v/>
      </c>
      <c r="AX109" s="64">
        <f>Beginning_stock!AU137</f>
        <v/>
      </c>
      <c r="AY109" s="64">
        <f>Beginning_stock!AV137</f>
        <v/>
      </c>
      <c r="BA109" s="64" t="n">
        <v>113</v>
      </c>
      <c r="BB109" s="64">
        <f>IF(Demand!AU126=Retailers_Cap!N109,"ret=0",(AW109/(Demand!AU126-Retailers_Cap!N109)))</f>
        <v/>
      </c>
      <c r="BC109" s="64">
        <f>IF(Demand!AV126=Retailers_Cap!O109,"ret=0",(AX109/(Demand!AV126-Retailers_Cap!O109)))</f>
        <v/>
      </c>
      <c r="BD109" s="64">
        <f>IF(Demand!AW126=Retailers_Cap!P109,"ret=0",(AY109/(Demand!AW126-Retailers_Cap!P109)))</f>
        <v/>
      </c>
      <c r="BF109" s="64" t="n">
        <v>113</v>
      </c>
      <c r="BG109" s="2">
        <f>IF(Demand!AU126&lt;=Retailers_Cap!N109,"ret=0",(IF(BB109&lt;=AR109+Distributors_Cap!$P$47,1,0)))</f>
        <v/>
      </c>
      <c r="BH109" s="2">
        <f>IF(Demand!AV126&lt;=Retailers_Cap!O109,"ret=0",(IF(BC109&lt;=AS109+Distributors_Cap!$P$47,1,0)))</f>
        <v/>
      </c>
      <c r="BI109" s="2">
        <f>IF(Demand!AW126&lt;=Retailers_Cap!P109,"ret=0",(IF(BD109&lt;=AT109+Distributors_Cap!$P$47,1,0)))</f>
        <v/>
      </c>
      <c r="BK109" s="64" t="n">
        <v>113</v>
      </c>
      <c r="BL109" s="64">
        <f>Retailers!BH108</f>
        <v/>
      </c>
      <c r="BM109" s="64">
        <f>Retailers!BI108</f>
        <v/>
      </c>
      <c r="BN109" s="64">
        <f>Retailers!BJ108</f>
        <v/>
      </c>
      <c r="BP109" s="64" t="n">
        <v>113</v>
      </c>
      <c r="BQ109" s="64">
        <f>#REF!</f>
        <v/>
      </c>
      <c r="BR109" s="64">
        <f>#REF!</f>
        <v/>
      </c>
      <c r="BS109" s="64">
        <f>#REF!</f>
        <v/>
      </c>
      <c r="BU109" s="64" t="n">
        <v>113</v>
      </c>
      <c r="BV109" s="64">
        <f>Retailers!AS108</f>
        <v/>
      </c>
      <c r="BW109" s="64">
        <f>Retailers!AT108</f>
        <v/>
      </c>
      <c r="BX109" s="64">
        <f>Retailers!AU108</f>
        <v/>
      </c>
      <c r="BZ109" s="64" t="n">
        <v>113</v>
      </c>
      <c r="CA109" s="64">
        <f>Results!#REF!</f>
        <v/>
      </c>
      <c r="CB109" s="64">
        <f>Results!#REF!</f>
        <v/>
      </c>
      <c r="CC109" s="64">
        <f>Results!#REF!</f>
        <v/>
      </c>
      <c r="CE109" s="64" t="n">
        <v>113</v>
      </c>
      <c r="CF109" s="64">
        <f>Retailers!BN108</f>
        <v/>
      </c>
      <c r="CG109" s="64">
        <f>Retailers!BO108</f>
        <v/>
      </c>
      <c r="CH109" s="64">
        <f>Retailers!BP108</f>
        <v/>
      </c>
      <c r="CJ109" s="64" t="n">
        <v>113</v>
      </c>
      <c r="CK109" s="64">
        <f>IF(BB109="ret=0",0,IF(BB109&gt;0,AR109+Distributors_Cap!$P$47-BB109,0))</f>
        <v/>
      </c>
      <c r="CL109" s="64">
        <f>IF(BC109="ret=0",0,IF(BC109&gt;0,AS109+Distributors_Cap!$P$47-BC109,0))</f>
        <v/>
      </c>
      <c r="CM109" s="64">
        <f>IF(BD109="ret=0",0,IF(BD109&gt;0,AT109+Distributors_Cap!$P$47-BD109,0))</f>
        <v/>
      </c>
    </row>
    <row r="110">
      <c r="G110" s="64" t="n">
        <v>114</v>
      </c>
      <c r="H110" s="64" t="n">
        <v>78.79900000000001</v>
      </c>
      <c r="I110" s="64" t="n">
        <v>63.099</v>
      </c>
      <c r="J110" s="64" t="n">
        <v>58.378</v>
      </c>
      <c r="L110" s="64">
        <f>TRUNC((_xlfn.NORM.INV((RAND()),$K$7,$K$8)),0)</f>
        <v/>
      </c>
      <c r="M110" s="64" t="n">
        <v>114</v>
      </c>
      <c r="N110" s="5" t="n">
        <v>25</v>
      </c>
      <c r="O110" s="5" t="n">
        <v>26</v>
      </c>
      <c r="P110" s="5" t="n">
        <v>26</v>
      </c>
      <c r="R110" s="2">
        <f>IF(N110&gt;Demand!AU127,0,(IF(((2*(Retailers!AJ109+Distributors_Cap!$P$47)-Retailers_Cap!$BB$7)*(Demand!AU127-Retailers_Cap!N110))&lt;0,0,((IF(BB110&gt;2*(Retailers!AJ109+Distributors_Cap!$P$47),0,(IF(BG110=0,ROUNDUP((2*(Retailers!AJ109+Distributors_Cap!$P$47)-BB110)^0.5,0),ROUNDUP((2*(Retailers!AJ109+Distributors_Cap!$P$47)-BB110)^0.5,0)))))))))</f>
        <v/>
      </c>
      <c r="S110" s="2">
        <f>IF(O110&gt;Demand!AV127,0,(IF(((2*(Retailers!AK109+Distributors_Cap!$P$47)-Retailers_Cap!$BB$7)*(Demand!AV127-Retailers_Cap!O110))&lt;0,0,((IF(BC110&gt;2*(Retailers!AK109+Distributors_Cap!$P$47),0,(IF(BH110=0,ROUNDUP((2*(Retailers!AK109+Distributors_Cap!$P$47)-BC110)^0.5,0),ROUNDUP((2*(Retailers!AK109+Distributors_Cap!$P$47)-BC110)^0.5,0)))))))))</f>
        <v/>
      </c>
      <c r="T110" s="2">
        <f>IF(P110&gt;Demand!AW127,0,(IF(((2*(Retailers!AL109+Distributors_Cap!$P$47)-Retailers_Cap!$BB$7)*(Demand!AW127-Retailers_Cap!P110))&lt;0,0,((IF(BD110&gt;2*(Retailers!AL109+Distributors_Cap!$P$47),0,(IF(BI110=0,ROUNDUP((2*(Retailers!AL109+Distributors_Cap!$P$47)-BD110)^0.5,0),ROUNDUP((2*(Retailers!AL109+Distributors_Cap!$P$47)-BD110)^0.5,0)))))))))</f>
        <v/>
      </c>
      <c r="W110" s="64" t="n">
        <v>114</v>
      </c>
      <c r="X110" s="9" t="n">
        <v>14</v>
      </c>
      <c r="Y110" s="9" t="n">
        <v>0</v>
      </c>
      <c r="Z110" s="9" t="n">
        <v>0</v>
      </c>
      <c r="AB110" s="2">
        <f>ROUNDDOWN(LOG((X110+1),2),0)</f>
        <v/>
      </c>
      <c r="AC110" s="2">
        <f>ROUNDDOWN(LOG((Y110+1),2),0)</f>
        <v/>
      </c>
      <c r="AD110" s="2">
        <f>ROUNDDOWN(LOG((Z110+1),2),0)</f>
        <v/>
      </c>
      <c r="AG110" s="64" t="n">
        <v>114</v>
      </c>
      <c r="AH110" s="9" t="n">
        <v>3</v>
      </c>
      <c r="AI110" s="9" t="n">
        <v>0</v>
      </c>
      <c r="AJ110" s="9" t="n">
        <v>0</v>
      </c>
      <c r="AQ110" s="64" t="n">
        <v>114</v>
      </c>
      <c r="AR110" s="64" t="n">
        <v>78.79900000000001</v>
      </c>
      <c r="AS110" s="64" t="n">
        <v>63.099</v>
      </c>
      <c r="AT110" s="64" t="n">
        <v>58.378</v>
      </c>
      <c r="AV110" s="64" t="n">
        <v>114</v>
      </c>
      <c r="AW110" s="64">
        <f>Beginning_stock!AT138</f>
        <v/>
      </c>
      <c r="AX110" s="64">
        <f>Beginning_stock!AU138</f>
        <v/>
      </c>
      <c r="AY110" s="64">
        <f>Beginning_stock!AV138</f>
        <v/>
      </c>
      <c r="BA110" s="64" t="n">
        <v>114</v>
      </c>
      <c r="BB110" s="64">
        <f>IF(Demand!AU127=Retailers_Cap!N110,"ret=0",(AW110/(Demand!AU127-Retailers_Cap!N110)))</f>
        <v/>
      </c>
      <c r="BC110" s="64">
        <f>IF(Demand!AV127=Retailers_Cap!O110,"ret=0",(AX110/(Demand!AV127-Retailers_Cap!O110)))</f>
        <v/>
      </c>
      <c r="BD110" s="64">
        <f>IF(Demand!AW127=Retailers_Cap!P110,"ret=0",(AY110/(Demand!AW127-Retailers_Cap!P110)))</f>
        <v/>
      </c>
      <c r="BF110" s="64" t="n">
        <v>114</v>
      </c>
      <c r="BG110" s="2">
        <f>IF(Demand!AU127&lt;=Retailers_Cap!N110,"ret=0",(IF(BB110&lt;=AR110+Distributors_Cap!$P$47,1,0)))</f>
        <v/>
      </c>
      <c r="BH110" s="2">
        <f>IF(Demand!AV127&lt;=Retailers_Cap!O110,"ret=0",(IF(BC110&lt;=AS110+Distributors_Cap!$P$47,1,0)))</f>
        <v/>
      </c>
      <c r="BI110" s="2">
        <f>IF(Demand!AW127&lt;=Retailers_Cap!P110,"ret=0",(IF(BD110&lt;=AT110+Distributors_Cap!$P$47,1,0)))</f>
        <v/>
      </c>
      <c r="BK110" s="64" t="n">
        <v>114</v>
      </c>
      <c r="BL110" s="64">
        <f>Retailers!BH109</f>
        <v/>
      </c>
      <c r="BM110" s="64">
        <f>Retailers!BI109</f>
        <v/>
      </c>
      <c r="BN110" s="64">
        <f>Retailers!BJ109</f>
        <v/>
      </c>
      <c r="BP110" s="64" t="n">
        <v>114</v>
      </c>
      <c r="BQ110" s="64">
        <f>#REF!</f>
        <v/>
      </c>
      <c r="BR110" s="64">
        <f>#REF!</f>
        <v/>
      </c>
      <c r="BS110" s="64">
        <f>#REF!</f>
        <v/>
      </c>
      <c r="BU110" s="64" t="n">
        <v>114</v>
      </c>
      <c r="BV110" s="64">
        <f>Retailers!AS109</f>
        <v/>
      </c>
      <c r="BW110" s="64">
        <f>Retailers!AT109</f>
        <v/>
      </c>
      <c r="BX110" s="64">
        <f>Retailers!AU109</f>
        <v/>
      </c>
      <c r="BZ110" s="64" t="n">
        <v>114</v>
      </c>
      <c r="CA110" s="64">
        <f>Results!#REF!</f>
        <v/>
      </c>
      <c r="CB110" s="64">
        <f>Results!#REF!</f>
        <v/>
      </c>
      <c r="CC110" s="64">
        <f>Results!#REF!</f>
        <v/>
      </c>
      <c r="CE110" s="64" t="n">
        <v>114</v>
      </c>
      <c r="CF110" s="64">
        <f>Retailers!BN109</f>
        <v/>
      </c>
      <c r="CG110" s="64">
        <f>Retailers!BO109</f>
        <v/>
      </c>
      <c r="CH110" s="64">
        <f>Retailers!BP109</f>
        <v/>
      </c>
      <c r="CJ110" s="64" t="n">
        <v>114</v>
      </c>
      <c r="CK110" s="64">
        <f>IF(BB110="ret=0",0,IF(BB110&gt;0,AR110+Distributors_Cap!$P$47-BB110,0))</f>
        <v/>
      </c>
      <c r="CL110" s="64">
        <f>IF(BC110="ret=0",0,IF(BC110&gt;0,AS110+Distributors_Cap!$P$47-BC110,0))</f>
        <v/>
      </c>
      <c r="CM110" s="64">
        <f>IF(BD110="ret=0",0,IF(BD110&gt;0,AT110+Distributors_Cap!$P$47-BD110,0))</f>
        <v/>
      </c>
    </row>
    <row r="111">
      <c r="G111" s="64" t="n">
        <v>115</v>
      </c>
      <c r="H111" s="64" t="n">
        <v>72.24299999999999</v>
      </c>
      <c r="I111" s="64" t="n">
        <v>61.343</v>
      </c>
      <c r="J111" s="64" t="n">
        <v>51.138</v>
      </c>
      <c r="L111" s="64">
        <f>TRUNC((_xlfn.NORM.INV((RAND()),$K$7,$K$8)),0)</f>
        <v/>
      </c>
      <c r="M111" s="64" t="n">
        <v>115</v>
      </c>
      <c r="N111" s="5" t="n">
        <v>35</v>
      </c>
      <c r="O111" s="5" t="n">
        <v>40</v>
      </c>
      <c r="P111" s="5" t="n">
        <v>35</v>
      </c>
      <c r="R111" s="2">
        <f>IF(N111&gt;Demand!AU128,0,(IF(((2*(Retailers!AJ110+Distributors_Cap!$P$47)-Retailers_Cap!$BB$7)*(Demand!AU128-Retailers_Cap!N111))&lt;0,0,((IF(BB111&gt;2*(Retailers!AJ110+Distributors_Cap!$P$47),0,(IF(BG111=0,ROUNDUP((2*(Retailers!AJ110+Distributors_Cap!$P$47)-BB111)^0.5,0),ROUNDUP((2*(Retailers!AJ110+Distributors_Cap!$P$47)-BB111)^0.5,0)))))))))</f>
        <v/>
      </c>
      <c r="S111" s="2">
        <f>IF(O111&gt;Demand!AV128,0,(IF(((2*(Retailers!AK110+Distributors_Cap!$P$47)-Retailers_Cap!$BB$7)*(Demand!AV128-Retailers_Cap!O111))&lt;0,0,((IF(BC111&gt;2*(Retailers!AK110+Distributors_Cap!$P$47),0,(IF(BH111=0,ROUNDUP((2*(Retailers!AK110+Distributors_Cap!$P$47)-BC111)^0.5,0),ROUNDUP((2*(Retailers!AK110+Distributors_Cap!$P$47)-BC111)^0.5,0)))))))))</f>
        <v/>
      </c>
      <c r="T111" s="2">
        <f>IF(P111&gt;Demand!AW128,0,(IF(((2*(Retailers!AL110+Distributors_Cap!$P$47)-Retailers_Cap!$BB$7)*(Demand!AW128-Retailers_Cap!P111))&lt;0,0,((IF(BD111&gt;2*(Retailers!AL110+Distributors_Cap!$P$47),0,(IF(BI111=0,ROUNDUP((2*(Retailers!AL110+Distributors_Cap!$P$47)-BD111)^0.5,0),ROUNDUP((2*(Retailers!AL110+Distributors_Cap!$P$47)-BD111)^0.5,0)))))))))</f>
        <v/>
      </c>
      <c r="W111" s="64" t="n">
        <v>115</v>
      </c>
      <c r="X111" s="9" t="n">
        <v>0</v>
      </c>
      <c r="Y111" s="9" t="n">
        <v>0</v>
      </c>
      <c r="Z111" s="9" t="n">
        <v>0</v>
      </c>
      <c r="AB111" s="2">
        <f>ROUNDDOWN(LOG((X111+1),2),0)</f>
        <v/>
      </c>
      <c r="AC111" s="2">
        <f>ROUNDDOWN(LOG((Y111+1),2),0)</f>
        <v/>
      </c>
      <c r="AD111" s="2">
        <f>ROUNDDOWN(LOG((Z111+1),2),0)</f>
        <v/>
      </c>
      <c r="AG111" s="64" t="n">
        <v>115</v>
      </c>
      <c r="AH111" s="9" t="n">
        <v>0</v>
      </c>
      <c r="AI111" s="9" t="n">
        <v>0</v>
      </c>
      <c r="AJ111" s="9" t="n">
        <v>0</v>
      </c>
      <c r="AQ111" s="64" t="n">
        <v>115</v>
      </c>
      <c r="AR111" s="64" t="n">
        <v>72.24299999999999</v>
      </c>
      <c r="AS111" s="64" t="n">
        <v>61.343</v>
      </c>
      <c r="AT111" s="64" t="n">
        <v>51.138</v>
      </c>
      <c r="AV111" s="64" t="n">
        <v>115</v>
      </c>
      <c r="AW111" s="64">
        <f>Beginning_stock!AT139</f>
        <v/>
      </c>
      <c r="AX111" s="64">
        <f>Beginning_stock!AU139</f>
        <v/>
      </c>
      <c r="AY111" s="64">
        <f>Beginning_stock!AV139</f>
        <v/>
      </c>
      <c r="BA111" s="64" t="n">
        <v>115</v>
      </c>
      <c r="BB111" s="64">
        <f>IF(Demand!AU128=Retailers_Cap!N111,"ret=0",(AW111/(Demand!AU128-Retailers_Cap!N111)))</f>
        <v/>
      </c>
      <c r="BC111" s="64">
        <f>IF(Demand!AV128=Retailers_Cap!O111,"ret=0",(AX111/(Demand!AV128-Retailers_Cap!O111)))</f>
        <v/>
      </c>
      <c r="BD111" s="64">
        <f>IF(Demand!AW128=Retailers_Cap!P111,"ret=0",(AY111/(Demand!AW128-Retailers_Cap!P111)))</f>
        <v/>
      </c>
      <c r="BF111" s="64" t="n">
        <v>115</v>
      </c>
      <c r="BG111" s="2">
        <f>IF(Demand!AU128&lt;=Retailers_Cap!N111,"ret=0",(IF(BB111&lt;=AR111+Distributors_Cap!$P$47,1,0)))</f>
        <v/>
      </c>
      <c r="BH111" s="2">
        <f>IF(Demand!AV128&lt;=Retailers_Cap!O111,"ret=0",(IF(BC111&lt;=AS111+Distributors_Cap!$P$47,1,0)))</f>
        <v/>
      </c>
      <c r="BI111" s="2">
        <f>IF(Demand!AW128&lt;=Retailers_Cap!P111,"ret=0",(IF(BD111&lt;=AT111+Distributors_Cap!$P$47,1,0)))</f>
        <v/>
      </c>
      <c r="BK111" s="64" t="n">
        <v>115</v>
      </c>
      <c r="BL111" s="64">
        <f>Retailers!BH110</f>
        <v/>
      </c>
      <c r="BM111" s="64">
        <f>Retailers!BI110</f>
        <v/>
      </c>
      <c r="BN111" s="64">
        <f>Retailers!BJ110</f>
        <v/>
      </c>
      <c r="BP111" s="64" t="n">
        <v>115</v>
      </c>
      <c r="BQ111" s="64">
        <f>#REF!</f>
        <v/>
      </c>
      <c r="BR111" s="64">
        <f>#REF!</f>
        <v/>
      </c>
      <c r="BS111" s="64">
        <f>#REF!</f>
        <v/>
      </c>
      <c r="BU111" s="64" t="n">
        <v>115</v>
      </c>
      <c r="BV111" s="64">
        <f>Retailers!AS110</f>
        <v/>
      </c>
      <c r="BW111" s="64">
        <f>Retailers!AT110</f>
        <v/>
      </c>
      <c r="BX111" s="64">
        <f>Retailers!AU110</f>
        <v/>
      </c>
      <c r="BZ111" s="64" t="n">
        <v>115</v>
      </c>
      <c r="CA111" s="64">
        <f>Results!#REF!</f>
        <v/>
      </c>
      <c r="CB111" s="64">
        <f>Results!#REF!</f>
        <v/>
      </c>
      <c r="CC111" s="64">
        <f>Results!#REF!</f>
        <v/>
      </c>
      <c r="CE111" s="64" t="n">
        <v>115</v>
      </c>
      <c r="CF111" s="64">
        <f>Retailers!BN110</f>
        <v/>
      </c>
      <c r="CG111" s="64">
        <f>Retailers!BO110</f>
        <v/>
      </c>
      <c r="CH111" s="64">
        <f>Retailers!BP110</f>
        <v/>
      </c>
      <c r="CJ111" s="64" t="n">
        <v>115</v>
      </c>
      <c r="CK111" s="64">
        <f>IF(BB111="ret=0",0,IF(BB111&gt;0,AR111+Distributors_Cap!$P$47-BB111,0))</f>
        <v/>
      </c>
      <c r="CL111" s="64">
        <f>IF(BC111="ret=0",0,IF(BC111&gt;0,AS111+Distributors_Cap!$P$47-BC111,0))</f>
        <v/>
      </c>
      <c r="CM111" s="64">
        <f>IF(BD111="ret=0",0,IF(BD111&gt;0,AT111+Distributors_Cap!$P$47-BD111,0))</f>
        <v/>
      </c>
    </row>
    <row r="112">
      <c r="G112" s="64" t="n">
        <v>116</v>
      </c>
      <c r="H112" s="64" t="n">
        <v>55.163</v>
      </c>
      <c r="I112" s="64" t="n">
        <v>50.665</v>
      </c>
      <c r="J112" s="64" t="n">
        <v>68.902</v>
      </c>
      <c r="L112" s="64">
        <f>TRUNC((_xlfn.NORM.INV((RAND()),$K$7,$K$8)),0)</f>
        <v/>
      </c>
      <c r="M112" s="64" t="n">
        <v>116</v>
      </c>
      <c r="N112" s="5" t="n">
        <v>27</v>
      </c>
      <c r="O112" s="5" t="n">
        <v>38</v>
      </c>
      <c r="P112" s="5" t="n">
        <v>28</v>
      </c>
      <c r="R112" s="2">
        <f>IF(N112&gt;Demand!AU129,0,(IF(((2*(Retailers!AJ111+Distributors_Cap!$P$47)-Retailers_Cap!$BB$7)*(Demand!AU129-Retailers_Cap!N112))&lt;0,0,((IF(BB112&gt;2*(Retailers!AJ111+Distributors_Cap!$P$47),0,(IF(BG112=0,ROUNDUP((2*(Retailers!AJ111+Distributors_Cap!$P$47)-BB112)^0.5,0),ROUNDUP((2*(Retailers!AJ111+Distributors_Cap!$P$47)-BB112)^0.5,0)))))))))</f>
        <v/>
      </c>
      <c r="S112" s="2">
        <f>IF(O112&gt;Demand!AV129,0,(IF(((2*(Retailers!AK111+Distributors_Cap!$P$47)-Retailers_Cap!$BB$7)*(Demand!AV129-Retailers_Cap!O112))&lt;0,0,((IF(BC112&gt;2*(Retailers!AK111+Distributors_Cap!$P$47),0,(IF(BH112=0,ROUNDUP((2*(Retailers!AK111+Distributors_Cap!$P$47)-BC112)^0.5,0),ROUNDUP((2*(Retailers!AK111+Distributors_Cap!$P$47)-BC112)^0.5,0)))))))))</f>
        <v/>
      </c>
      <c r="T112" s="2">
        <f>IF(P112&gt;Demand!AW129,0,(IF(((2*(Retailers!AL111+Distributors_Cap!$P$47)-Retailers_Cap!$BB$7)*(Demand!AW129-Retailers_Cap!P112))&lt;0,0,((IF(BD112&gt;2*(Retailers!AL111+Distributors_Cap!$P$47),0,(IF(BI112=0,ROUNDUP((2*(Retailers!AL111+Distributors_Cap!$P$47)-BD112)^0.5,0),ROUNDUP((2*(Retailers!AL111+Distributors_Cap!$P$47)-BD112)^0.5,0)))))))))</f>
        <v/>
      </c>
      <c r="W112" s="64" t="n">
        <v>116</v>
      </c>
      <c r="X112" s="9" t="n">
        <v>0</v>
      </c>
      <c r="Y112" s="9" t="n">
        <v>0</v>
      </c>
      <c r="Z112" s="9" t="n">
        <v>0</v>
      </c>
      <c r="AB112" s="2">
        <f>ROUNDDOWN(LOG((X112+1),2),0)</f>
        <v/>
      </c>
      <c r="AC112" s="2">
        <f>ROUNDDOWN(LOG((Y112+1),2),0)</f>
        <v/>
      </c>
      <c r="AD112" s="2">
        <f>ROUNDDOWN(LOG((Z112+1),2),0)</f>
        <v/>
      </c>
      <c r="AG112" s="64" t="n">
        <v>116</v>
      </c>
      <c r="AH112" s="9" t="n">
        <v>0</v>
      </c>
      <c r="AI112" s="9" t="n">
        <v>0</v>
      </c>
      <c r="AJ112" s="9" t="n">
        <v>0</v>
      </c>
      <c r="AQ112" s="64" t="n">
        <v>116</v>
      </c>
      <c r="AR112" s="64" t="n">
        <v>55.163</v>
      </c>
      <c r="AS112" s="64" t="n">
        <v>50.665</v>
      </c>
      <c r="AT112" s="64" t="n">
        <v>68.902</v>
      </c>
      <c r="AV112" s="64" t="n">
        <v>116</v>
      </c>
      <c r="AW112" s="64">
        <f>Beginning_stock!AT140</f>
        <v/>
      </c>
      <c r="AX112" s="64">
        <f>Beginning_stock!AU140</f>
        <v/>
      </c>
      <c r="AY112" s="64">
        <f>Beginning_stock!AV140</f>
        <v/>
      </c>
      <c r="BA112" s="64" t="n">
        <v>116</v>
      </c>
      <c r="BB112" s="64">
        <f>IF(Demand!AU129=Retailers_Cap!N112,"ret=0",(AW112/(Demand!AU129-Retailers_Cap!N112)))</f>
        <v/>
      </c>
      <c r="BC112" s="64">
        <f>IF(Demand!AV129=Retailers_Cap!O112,"ret=0",(AX112/(Demand!AV129-Retailers_Cap!O112)))</f>
        <v/>
      </c>
      <c r="BD112" s="64">
        <f>IF(Demand!AW129=Retailers_Cap!P112,"ret=0",(AY112/(Demand!AW129-Retailers_Cap!P112)))</f>
        <v/>
      </c>
      <c r="BF112" s="64" t="n">
        <v>116</v>
      </c>
      <c r="BG112" s="2">
        <f>IF(Demand!AU129&lt;=Retailers_Cap!N112,"ret=0",(IF(BB112&lt;=AR112+Distributors_Cap!$P$47,1,0)))</f>
        <v/>
      </c>
      <c r="BH112" s="2">
        <f>IF(Demand!AV129&lt;=Retailers_Cap!O112,"ret=0",(IF(BC112&lt;=AS112+Distributors_Cap!$P$47,1,0)))</f>
        <v/>
      </c>
      <c r="BI112" s="2">
        <f>IF(Demand!AW129&lt;=Retailers_Cap!P112,"ret=0",(IF(BD112&lt;=AT112+Distributors_Cap!$P$47,1,0)))</f>
        <v/>
      </c>
      <c r="BK112" s="64" t="n">
        <v>116</v>
      </c>
      <c r="BL112" s="64">
        <f>Retailers!BH111</f>
        <v/>
      </c>
      <c r="BM112" s="64">
        <f>Retailers!BI111</f>
        <v/>
      </c>
      <c r="BN112" s="64">
        <f>Retailers!BJ111</f>
        <v/>
      </c>
      <c r="BP112" s="64" t="n">
        <v>116</v>
      </c>
      <c r="BQ112" s="64">
        <f>#REF!</f>
        <v/>
      </c>
      <c r="BR112" s="64">
        <f>#REF!</f>
        <v/>
      </c>
      <c r="BS112" s="64">
        <f>#REF!</f>
        <v/>
      </c>
      <c r="BU112" s="64" t="n">
        <v>116</v>
      </c>
      <c r="BV112" s="64">
        <f>Retailers!AS111</f>
        <v/>
      </c>
      <c r="BW112" s="64">
        <f>Retailers!AT111</f>
        <v/>
      </c>
      <c r="BX112" s="64">
        <f>Retailers!AU111</f>
        <v/>
      </c>
      <c r="BZ112" s="64" t="n">
        <v>116</v>
      </c>
      <c r="CA112" s="64">
        <f>Results!#REF!</f>
        <v/>
      </c>
      <c r="CB112" s="64">
        <f>Results!#REF!</f>
        <v/>
      </c>
      <c r="CC112" s="64">
        <f>Results!#REF!</f>
        <v/>
      </c>
      <c r="CE112" s="64" t="n">
        <v>116</v>
      </c>
      <c r="CF112" s="64">
        <f>Retailers!BN111</f>
        <v/>
      </c>
      <c r="CG112" s="64">
        <f>Retailers!BO111</f>
        <v/>
      </c>
      <c r="CH112" s="64">
        <f>Retailers!BP111</f>
        <v/>
      </c>
      <c r="CJ112" s="64" t="n">
        <v>116</v>
      </c>
      <c r="CK112" s="64">
        <f>IF(BB112="ret=0",0,IF(BB112&gt;0,AR112+Distributors_Cap!$P$47-BB112,0))</f>
        <v/>
      </c>
      <c r="CL112" s="64">
        <f>IF(BC112="ret=0",0,IF(BC112&gt;0,AS112+Distributors_Cap!$P$47-BC112,0))</f>
        <v/>
      </c>
      <c r="CM112" s="64">
        <f>IF(BD112="ret=0",0,IF(BD112&gt;0,AT112+Distributors_Cap!$P$47-BD112,0))</f>
        <v/>
      </c>
    </row>
    <row r="113">
      <c r="G113" s="64" t="n">
        <v>117</v>
      </c>
      <c r="H113" s="64" t="n">
        <v>50.155</v>
      </c>
      <c r="I113" s="64" t="n">
        <v>80.922</v>
      </c>
      <c r="J113" s="64" t="n">
        <v>64.733</v>
      </c>
      <c r="L113" s="64">
        <f>TRUNC((_xlfn.NORM.INV((RAND()),$K$7,$K$8)),0)</f>
        <v/>
      </c>
      <c r="M113" s="64" t="n">
        <v>117</v>
      </c>
      <c r="N113" s="5" t="n">
        <v>28</v>
      </c>
      <c r="O113" s="5" t="n">
        <v>24</v>
      </c>
      <c r="P113" s="5" t="n">
        <v>30</v>
      </c>
      <c r="R113" s="2">
        <f>IF(N113&gt;Demand!AU130,0,(IF(((2*(Retailers!AJ112+Distributors_Cap!$P$47)-Retailers_Cap!$BB$7)*(Demand!AU130-Retailers_Cap!N113))&lt;0,0,((IF(BB113&gt;2*(Retailers!AJ112+Distributors_Cap!$P$47),0,(IF(BG113=0,ROUNDUP((2*(Retailers!AJ112+Distributors_Cap!$P$47)-BB113)^0.5,0),ROUNDUP((2*(Retailers!AJ112+Distributors_Cap!$P$47)-BB113)^0.5,0)))))))))</f>
        <v/>
      </c>
      <c r="S113" s="2">
        <f>IF(O113&gt;Demand!AV130,0,(IF(((2*(Retailers!AK112+Distributors_Cap!$P$47)-Retailers_Cap!$BB$7)*(Demand!AV130-Retailers_Cap!O113))&lt;0,0,((IF(BC113&gt;2*(Retailers!AK112+Distributors_Cap!$P$47),0,(IF(BH113=0,ROUNDUP((2*(Retailers!AK112+Distributors_Cap!$P$47)-BC113)^0.5,0),ROUNDUP((2*(Retailers!AK112+Distributors_Cap!$P$47)-BC113)^0.5,0)))))))))</f>
        <v/>
      </c>
      <c r="T113" s="2">
        <f>IF(P113&gt;Demand!AW130,0,(IF(((2*(Retailers!AL112+Distributors_Cap!$P$47)-Retailers_Cap!$BB$7)*(Demand!AW130-Retailers_Cap!P113))&lt;0,0,((IF(BD113&gt;2*(Retailers!AL112+Distributors_Cap!$P$47),0,(IF(BI113=0,ROUNDUP((2*(Retailers!AL112+Distributors_Cap!$P$47)-BD113)^0.5,0),ROUNDUP((2*(Retailers!AL112+Distributors_Cap!$P$47)-BD113)^0.5,0)))))))))</f>
        <v/>
      </c>
      <c r="W113" s="64" t="n">
        <v>117</v>
      </c>
      <c r="X113" s="9" t="n">
        <v>0</v>
      </c>
      <c r="Y113" s="9" t="n">
        <v>0</v>
      </c>
      <c r="Z113" s="9" t="n">
        <v>10</v>
      </c>
      <c r="AB113" s="2">
        <f>ROUNDDOWN(LOG((X113+1),2),0)</f>
        <v/>
      </c>
      <c r="AC113" s="2">
        <f>ROUNDDOWN(LOG((Y113+1),2),0)</f>
        <v/>
      </c>
      <c r="AD113" s="2">
        <f>ROUNDDOWN(LOG((Z113+1),2),0)</f>
        <v/>
      </c>
      <c r="AG113" s="64" t="n">
        <v>117</v>
      </c>
      <c r="AH113" s="9" t="n">
        <v>0</v>
      </c>
      <c r="AI113" s="9" t="n">
        <v>0</v>
      </c>
      <c r="AJ113" s="9" t="n">
        <v>3</v>
      </c>
      <c r="AQ113" s="64" t="n">
        <v>117</v>
      </c>
      <c r="AR113" s="64" t="n">
        <v>50.155</v>
      </c>
      <c r="AS113" s="64" t="n">
        <v>80.922</v>
      </c>
      <c r="AT113" s="64" t="n">
        <v>64.733</v>
      </c>
      <c r="AV113" s="64" t="n">
        <v>117</v>
      </c>
      <c r="AW113" s="64">
        <f>Beginning_stock!AT141</f>
        <v/>
      </c>
      <c r="AX113" s="64">
        <f>Beginning_stock!AU141</f>
        <v/>
      </c>
      <c r="AY113" s="64">
        <f>Beginning_stock!AV141</f>
        <v/>
      </c>
      <c r="BA113" s="64" t="n">
        <v>117</v>
      </c>
      <c r="BB113" s="64">
        <f>IF(Demand!AU130=Retailers_Cap!N113,"ret=0",(AW113/(Demand!AU130-Retailers_Cap!N113)))</f>
        <v/>
      </c>
      <c r="BC113" s="64">
        <f>IF(Demand!AV130=Retailers_Cap!O113,"ret=0",(AX113/(Demand!AV130-Retailers_Cap!O113)))</f>
        <v/>
      </c>
      <c r="BD113" s="64">
        <f>IF(Demand!AW130=Retailers_Cap!P113,"ret=0",(AY113/(Demand!AW130-Retailers_Cap!P113)))</f>
        <v/>
      </c>
      <c r="BF113" s="64" t="n">
        <v>117</v>
      </c>
      <c r="BG113" s="2">
        <f>IF(Demand!AU130&lt;=Retailers_Cap!N113,"ret=0",(IF(BB113&lt;=AR113+Distributors_Cap!$P$47,1,0)))</f>
        <v/>
      </c>
      <c r="BH113" s="2">
        <f>IF(Demand!AV130&lt;=Retailers_Cap!O113,"ret=0",(IF(BC113&lt;=AS113+Distributors_Cap!$P$47,1,0)))</f>
        <v/>
      </c>
      <c r="BI113" s="2">
        <f>IF(Demand!AW130&lt;=Retailers_Cap!P113,"ret=0",(IF(BD113&lt;=AT113+Distributors_Cap!$P$47,1,0)))</f>
        <v/>
      </c>
      <c r="BK113" s="64" t="n">
        <v>117</v>
      </c>
      <c r="BL113" s="64">
        <f>Retailers!BH112</f>
        <v/>
      </c>
      <c r="BM113" s="64">
        <f>Retailers!BI112</f>
        <v/>
      </c>
      <c r="BN113" s="64">
        <f>Retailers!BJ112</f>
        <v/>
      </c>
      <c r="BP113" s="64" t="n">
        <v>117</v>
      </c>
      <c r="BQ113" s="64">
        <f>#REF!</f>
        <v/>
      </c>
      <c r="BR113" s="64">
        <f>#REF!</f>
        <v/>
      </c>
      <c r="BS113" s="64">
        <f>#REF!</f>
        <v/>
      </c>
      <c r="BU113" s="64" t="n">
        <v>117</v>
      </c>
      <c r="BV113" s="64">
        <f>Retailers!AS112</f>
        <v/>
      </c>
      <c r="BW113" s="64">
        <f>Retailers!AT112</f>
        <v/>
      </c>
      <c r="BX113" s="64">
        <f>Retailers!AU112</f>
        <v/>
      </c>
      <c r="BZ113" s="64" t="n">
        <v>117</v>
      </c>
      <c r="CA113" s="64">
        <f>Results!#REF!</f>
        <v/>
      </c>
      <c r="CB113" s="64">
        <f>Results!#REF!</f>
        <v/>
      </c>
      <c r="CC113" s="64">
        <f>Results!#REF!</f>
        <v/>
      </c>
      <c r="CE113" s="64" t="n">
        <v>117</v>
      </c>
      <c r="CF113" s="64">
        <f>Retailers!BN112</f>
        <v/>
      </c>
      <c r="CG113" s="64">
        <f>Retailers!BO112</f>
        <v/>
      </c>
      <c r="CH113" s="64">
        <f>Retailers!BP112</f>
        <v/>
      </c>
      <c r="CJ113" s="64" t="n">
        <v>117</v>
      </c>
      <c r="CK113" s="64">
        <f>IF(BB113="ret=0",0,IF(BB113&gt;0,AR113+Distributors_Cap!$P$47-BB113,0))</f>
        <v/>
      </c>
      <c r="CL113" s="64">
        <f>IF(BC113="ret=0",0,IF(BC113&gt;0,AS113+Distributors_Cap!$P$47-BC113,0))</f>
        <v/>
      </c>
      <c r="CM113" s="64">
        <f>IF(BD113="ret=0",0,IF(BD113&gt;0,AT113+Distributors_Cap!$P$47-BD113,0))</f>
        <v/>
      </c>
    </row>
    <row r="114">
      <c r="G114" s="64" t="n">
        <v>118</v>
      </c>
      <c r="H114" s="64" t="n">
        <v>74.36</v>
      </c>
      <c r="I114" s="64" t="n">
        <v>59.638</v>
      </c>
      <c r="J114" s="64" t="n">
        <v>63.48</v>
      </c>
      <c r="L114" s="64">
        <f>TRUNC((_xlfn.NORM.INV((RAND()),$K$7,$K$8)),0)</f>
        <v/>
      </c>
      <c r="M114" s="64" t="n">
        <v>118</v>
      </c>
      <c r="N114" s="5" t="n">
        <v>22</v>
      </c>
      <c r="O114" s="5" t="n">
        <v>34</v>
      </c>
      <c r="P114" s="5" t="n">
        <v>28</v>
      </c>
      <c r="R114" s="2">
        <f>IF(N114&gt;Demand!AU131,0,(IF(((2*(Retailers!AJ113+Distributors_Cap!$P$47)-Retailers_Cap!$BB$7)*(Demand!AU131-Retailers_Cap!N114))&lt;0,0,((IF(BB114&gt;2*(Retailers!AJ113+Distributors_Cap!$P$47),0,(IF(BG114=0,ROUNDUP((2*(Retailers!AJ113+Distributors_Cap!$P$47)-BB114)^0.5,0),ROUNDUP((2*(Retailers!AJ113+Distributors_Cap!$P$47)-BB114)^0.5,0)))))))))</f>
        <v/>
      </c>
      <c r="S114" s="2">
        <f>IF(O114&gt;Demand!AV131,0,(IF(((2*(Retailers!AK113+Distributors_Cap!$P$47)-Retailers_Cap!$BB$7)*(Demand!AV131-Retailers_Cap!O114))&lt;0,0,((IF(BC114&gt;2*(Retailers!AK113+Distributors_Cap!$P$47),0,(IF(BH114=0,ROUNDUP((2*(Retailers!AK113+Distributors_Cap!$P$47)-BC114)^0.5,0),ROUNDUP((2*(Retailers!AK113+Distributors_Cap!$P$47)-BC114)^0.5,0)))))))))</f>
        <v/>
      </c>
      <c r="T114" s="2">
        <f>IF(P114&gt;Demand!AW131,0,(IF(((2*(Retailers!AL113+Distributors_Cap!$P$47)-Retailers_Cap!$BB$7)*(Demand!AW131-Retailers_Cap!P114))&lt;0,0,((IF(BD114&gt;2*(Retailers!AL113+Distributors_Cap!$P$47),0,(IF(BI114=0,ROUNDUP((2*(Retailers!AL113+Distributors_Cap!$P$47)-BD114)^0.5,0),ROUNDUP((2*(Retailers!AL113+Distributors_Cap!$P$47)-BD114)^0.5,0)))))))))</f>
        <v/>
      </c>
      <c r="W114" s="64" t="n">
        <v>118</v>
      </c>
      <c r="X114" s="9" t="n">
        <v>14</v>
      </c>
      <c r="Y114" s="9" t="n">
        <v>0</v>
      </c>
      <c r="Z114" s="9" t="n">
        <v>0</v>
      </c>
      <c r="AB114" s="2">
        <f>ROUNDDOWN(LOG((X114+1),2),0)</f>
        <v/>
      </c>
      <c r="AC114" s="2">
        <f>ROUNDDOWN(LOG((Y114+1),2),0)</f>
        <v/>
      </c>
      <c r="AD114" s="2">
        <f>ROUNDDOWN(LOG((Z114+1),2),0)</f>
        <v/>
      </c>
      <c r="AG114" s="64" t="n">
        <v>118</v>
      </c>
      <c r="AH114" s="9" t="n">
        <v>3</v>
      </c>
      <c r="AI114" s="9" t="n">
        <v>0</v>
      </c>
      <c r="AJ114" s="9" t="n">
        <v>0</v>
      </c>
      <c r="AQ114" s="64" t="n">
        <v>118</v>
      </c>
      <c r="AR114" s="64" t="n">
        <v>74.36</v>
      </c>
      <c r="AS114" s="64" t="n">
        <v>59.638</v>
      </c>
      <c r="AT114" s="64" t="n">
        <v>63.48</v>
      </c>
      <c r="AV114" s="64" t="n">
        <v>118</v>
      </c>
      <c r="AW114" s="64">
        <f>Beginning_stock!AT142</f>
        <v/>
      </c>
      <c r="AX114" s="64">
        <f>Beginning_stock!AU142</f>
        <v/>
      </c>
      <c r="AY114" s="64">
        <f>Beginning_stock!AV142</f>
        <v/>
      </c>
      <c r="BA114" s="64" t="n">
        <v>118</v>
      </c>
      <c r="BB114" s="64">
        <f>IF(Demand!AU131=Retailers_Cap!N114,"ret=0",(AW114/(Demand!AU131-Retailers_Cap!N114)))</f>
        <v/>
      </c>
      <c r="BC114" s="64">
        <f>IF(Demand!AV131=Retailers_Cap!O114,"ret=0",(AX114/(Demand!AV131-Retailers_Cap!O114)))</f>
        <v/>
      </c>
      <c r="BD114" s="64">
        <f>IF(Demand!AW131=Retailers_Cap!P114,"ret=0",(AY114/(Demand!AW131-Retailers_Cap!P114)))</f>
        <v/>
      </c>
      <c r="BF114" s="64" t="n">
        <v>118</v>
      </c>
      <c r="BG114" s="2">
        <f>IF(Demand!AU131&lt;=Retailers_Cap!N114,"ret=0",(IF(BB114&lt;=AR114+Distributors_Cap!$P$47,1,0)))</f>
        <v/>
      </c>
      <c r="BH114" s="2">
        <f>IF(Demand!AV131&lt;=Retailers_Cap!O114,"ret=0",(IF(BC114&lt;=AS114+Distributors_Cap!$P$47,1,0)))</f>
        <v/>
      </c>
      <c r="BI114" s="2">
        <f>IF(Demand!AW131&lt;=Retailers_Cap!P114,"ret=0",(IF(BD114&lt;=AT114+Distributors_Cap!$P$47,1,0)))</f>
        <v/>
      </c>
      <c r="BK114" s="64" t="n">
        <v>118</v>
      </c>
      <c r="BL114" s="64">
        <f>Retailers!BH113</f>
        <v/>
      </c>
      <c r="BM114" s="64">
        <f>Retailers!BI113</f>
        <v/>
      </c>
      <c r="BN114" s="64">
        <f>Retailers!BJ113</f>
        <v/>
      </c>
      <c r="BP114" s="64" t="n">
        <v>118</v>
      </c>
      <c r="BQ114" s="64">
        <f>#REF!</f>
        <v/>
      </c>
      <c r="BR114" s="64">
        <f>#REF!</f>
        <v/>
      </c>
      <c r="BS114" s="64">
        <f>#REF!</f>
        <v/>
      </c>
      <c r="BU114" s="64" t="n">
        <v>118</v>
      </c>
      <c r="BV114" s="64">
        <f>Retailers!AS113</f>
        <v/>
      </c>
      <c r="BW114" s="64">
        <f>Retailers!AT113</f>
        <v/>
      </c>
      <c r="BX114" s="64">
        <f>Retailers!AU113</f>
        <v/>
      </c>
      <c r="BZ114" s="64" t="n">
        <v>118</v>
      </c>
      <c r="CA114" s="64">
        <f>Results!#REF!</f>
        <v/>
      </c>
      <c r="CB114" s="64">
        <f>Results!#REF!</f>
        <v/>
      </c>
      <c r="CC114" s="64">
        <f>Results!#REF!</f>
        <v/>
      </c>
      <c r="CE114" s="64" t="n">
        <v>118</v>
      </c>
      <c r="CF114" s="64">
        <f>Retailers!BN113</f>
        <v/>
      </c>
      <c r="CG114" s="64">
        <f>Retailers!BO113</f>
        <v/>
      </c>
      <c r="CH114" s="64">
        <f>Retailers!BP113</f>
        <v/>
      </c>
      <c r="CJ114" s="64" t="n">
        <v>118</v>
      </c>
      <c r="CK114" s="64">
        <f>IF(BB114="ret=0",0,IF(BB114&gt;0,AR114+Distributors_Cap!$P$47-BB114,0))</f>
        <v/>
      </c>
      <c r="CL114" s="64">
        <f>IF(BC114="ret=0",0,IF(BC114&gt;0,AS114+Distributors_Cap!$P$47-BC114,0))</f>
        <v/>
      </c>
      <c r="CM114" s="64">
        <f>IF(BD114="ret=0",0,IF(BD114&gt;0,AT114+Distributors_Cap!$P$47-BD114,0))</f>
        <v/>
      </c>
    </row>
    <row r="115">
      <c r="G115" s="64" t="n">
        <v>119</v>
      </c>
      <c r="H115" s="64" t="n">
        <v>74.07599999999999</v>
      </c>
      <c r="I115" s="64" t="n">
        <v>82.202</v>
      </c>
      <c r="J115" s="64" t="n">
        <v>33.994</v>
      </c>
      <c r="L115" s="64">
        <f>TRUNC((_xlfn.NORM.INV((RAND()),$K$7,$K$8)),0)</f>
        <v/>
      </c>
      <c r="M115" s="64" t="n">
        <v>119</v>
      </c>
      <c r="N115" s="5" t="n">
        <v>17</v>
      </c>
      <c r="O115" s="5" t="n">
        <v>40</v>
      </c>
      <c r="P115" s="5" t="n">
        <v>27</v>
      </c>
      <c r="R115" s="2">
        <f>IF(N115&gt;Demand!AU132,0,(IF(((2*(Retailers!AJ114+Distributors_Cap!$P$47)-Retailers_Cap!$BB$7)*(Demand!AU132-Retailers_Cap!N115))&lt;0,0,((IF(BB115&gt;2*(Retailers!AJ114+Distributors_Cap!$P$47),0,(IF(BG115=0,ROUNDUP((2*(Retailers!AJ114+Distributors_Cap!$P$47)-BB115)^0.5,0),ROUNDUP((2*(Retailers!AJ114+Distributors_Cap!$P$47)-BB115)^0.5,0)))))))))</f>
        <v/>
      </c>
      <c r="S115" s="2">
        <f>IF(O115&gt;Demand!AV132,0,(IF(((2*(Retailers!AK114+Distributors_Cap!$P$47)-Retailers_Cap!$BB$7)*(Demand!AV132-Retailers_Cap!O115))&lt;0,0,((IF(BC115&gt;2*(Retailers!AK114+Distributors_Cap!$P$47),0,(IF(BH115=0,ROUNDUP((2*(Retailers!AK114+Distributors_Cap!$P$47)-BC115)^0.5,0),ROUNDUP((2*(Retailers!AK114+Distributors_Cap!$P$47)-BC115)^0.5,0)))))))))</f>
        <v/>
      </c>
      <c r="T115" s="2">
        <f>IF(P115&gt;Demand!AW132,0,(IF(((2*(Retailers!AL114+Distributors_Cap!$P$47)-Retailers_Cap!$BB$7)*(Demand!AW132-Retailers_Cap!P115))&lt;0,0,((IF(BD115&gt;2*(Retailers!AL114+Distributors_Cap!$P$47),0,(IF(BI115=0,ROUNDUP((2*(Retailers!AL114+Distributors_Cap!$P$47)-BD115)^0.5,0),ROUNDUP((2*(Retailers!AL114+Distributors_Cap!$P$47)-BD115)^0.5,0)))))))))</f>
        <v/>
      </c>
      <c r="W115" s="64" t="n">
        <v>119</v>
      </c>
      <c r="X115" s="9" t="n">
        <v>14</v>
      </c>
      <c r="Y115" s="9" t="n">
        <v>0</v>
      </c>
      <c r="Z115" s="9" t="n">
        <v>7</v>
      </c>
      <c r="AB115" s="2">
        <f>ROUNDDOWN(LOG((X115+1),2),0)</f>
        <v/>
      </c>
      <c r="AC115" s="2">
        <f>ROUNDDOWN(LOG((Y115+1),2),0)</f>
        <v/>
      </c>
      <c r="AD115" s="2">
        <f>ROUNDDOWN(LOG((Z115+1),2),0)</f>
        <v/>
      </c>
      <c r="AG115" s="64" t="n">
        <v>119</v>
      </c>
      <c r="AH115" s="9" t="n">
        <v>3</v>
      </c>
      <c r="AI115" s="9" t="n">
        <v>0</v>
      </c>
      <c r="AJ115" s="9" t="n">
        <v>3</v>
      </c>
      <c r="AQ115" s="64" t="n">
        <v>119</v>
      </c>
      <c r="AR115" s="64" t="n">
        <v>74.07599999999999</v>
      </c>
      <c r="AS115" s="64" t="n">
        <v>82.202</v>
      </c>
      <c r="AT115" s="64" t="n">
        <v>33.994</v>
      </c>
      <c r="AV115" s="64" t="n">
        <v>119</v>
      </c>
      <c r="AW115" s="64">
        <f>Beginning_stock!AT143</f>
        <v/>
      </c>
      <c r="AX115" s="64">
        <f>Beginning_stock!AU143</f>
        <v/>
      </c>
      <c r="AY115" s="64">
        <f>Beginning_stock!AV143</f>
        <v/>
      </c>
      <c r="BA115" s="64" t="n">
        <v>119</v>
      </c>
      <c r="BB115" s="64">
        <f>IF(Demand!AU132=Retailers_Cap!N115,"ret=0",(AW115/(Demand!AU132-Retailers_Cap!N115)))</f>
        <v/>
      </c>
      <c r="BC115" s="64">
        <f>IF(Demand!AV132=Retailers_Cap!O115,"ret=0",(AX115/(Demand!AV132-Retailers_Cap!O115)))</f>
        <v/>
      </c>
      <c r="BD115" s="64">
        <f>IF(Demand!AW132=Retailers_Cap!P115,"ret=0",(AY115/(Demand!AW132-Retailers_Cap!P115)))</f>
        <v/>
      </c>
      <c r="BF115" s="64" t="n">
        <v>119</v>
      </c>
      <c r="BG115" s="2">
        <f>IF(Demand!AU132&lt;=Retailers_Cap!N115,"ret=0",(IF(BB115&lt;=AR115+Distributors_Cap!$P$47,1,0)))</f>
        <v/>
      </c>
      <c r="BH115" s="2">
        <f>IF(Demand!AV132&lt;=Retailers_Cap!O115,"ret=0",(IF(BC115&lt;=AS115+Distributors_Cap!$P$47,1,0)))</f>
        <v/>
      </c>
      <c r="BI115" s="2">
        <f>IF(Demand!AW132&lt;=Retailers_Cap!P115,"ret=0",(IF(BD115&lt;=AT115+Distributors_Cap!$P$47,1,0)))</f>
        <v/>
      </c>
      <c r="BK115" s="64" t="n">
        <v>119</v>
      </c>
      <c r="BL115" s="64">
        <f>Retailers!BH114</f>
        <v/>
      </c>
      <c r="BM115" s="64">
        <f>Retailers!BI114</f>
        <v/>
      </c>
      <c r="BN115" s="64">
        <f>Retailers!BJ114</f>
        <v/>
      </c>
      <c r="BP115" s="64" t="n">
        <v>119</v>
      </c>
      <c r="BQ115" s="64">
        <f>#REF!</f>
        <v/>
      </c>
      <c r="BR115" s="64">
        <f>#REF!</f>
        <v/>
      </c>
      <c r="BS115" s="64">
        <f>#REF!</f>
        <v/>
      </c>
      <c r="BU115" s="64" t="n">
        <v>119</v>
      </c>
      <c r="BV115" s="64">
        <f>Retailers!AS114</f>
        <v/>
      </c>
      <c r="BW115" s="64">
        <f>Retailers!AT114</f>
        <v/>
      </c>
      <c r="BX115" s="64">
        <f>Retailers!AU114</f>
        <v/>
      </c>
      <c r="BZ115" s="64" t="n">
        <v>119</v>
      </c>
      <c r="CA115" s="64">
        <f>Results!#REF!</f>
        <v/>
      </c>
      <c r="CB115" s="64">
        <f>Results!#REF!</f>
        <v/>
      </c>
      <c r="CC115" s="64">
        <f>Results!#REF!</f>
        <v/>
      </c>
      <c r="CE115" s="64" t="n">
        <v>119</v>
      </c>
      <c r="CF115" s="64">
        <f>Retailers!BN114</f>
        <v/>
      </c>
      <c r="CG115" s="64">
        <f>Retailers!BO114</f>
        <v/>
      </c>
      <c r="CH115" s="64">
        <f>Retailers!BP114</f>
        <v/>
      </c>
      <c r="CJ115" s="64" t="n">
        <v>119</v>
      </c>
      <c r="CK115" s="64">
        <f>IF(BB115="ret=0",0,IF(BB115&gt;0,AR115+Distributors_Cap!$P$47-BB115,0))</f>
        <v/>
      </c>
      <c r="CL115" s="64">
        <f>IF(BC115="ret=0",0,IF(BC115&gt;0,AS115+Distributors_Cap!$P$47-BC115,0))</f>
        <v/>
      </c>
      <c r="CM115" s="64">
        <f>IF(BD115="ret=0",0,IF(BD115&gt;0,AT115+Distributors_Cap!$P$47-BD115,0))</f>
        <v/>
      </c>
    </row>
    <row r="116">
      <c r="G116" s="64" t="n">
        <v>120</v>
      </c>
      <c r="H116" s="64" t="n">
        <v>46.669</v>
      </c>
      <c r="I116" s="64" t="n">
        <v>78.35899999999999</v>
      </c>
      <c r="J116" s="64" t="n">
        <v>74.94</v>
      </c>
      <c r="L116" s="64">
        <f>TRUNC((_xlfn.NORM.INV((RAND()),$K$7,$K$8)),0)</f>
        <v/>
      </c>
      <c r="M116" s="64" t="n">
        <v>120</v>
      </c>
      <c r="N116" s="5" t="n">
        <v>34</v>
      </c>
      <c r="O116" s="5" t="n">
        <v>19</v>
      </c>
      <c r="P116" s="5" t="n">
        <v>22</v>
      </c>
      <c r="R116" s="2">
        <f>IF(N116&gt;Demand!AU133,0,(IF(((2*(Retailers!AJ115+Distributors_Cap!$P$47)-Retailers_Cap!$BB$7)*(Demand!AU133-Retailers_Cap!N116))&lt;0,0,((IF(BB116&gt;2*(Retailers!AJ115+Distributors_Cap!$P$47),0,(IF(BG116=0,ROUNDUP((2*(Retailers!AJ115+Distributors_Cap!$P$47)-BB116)^0.5,0),ROUNDUP((2*(Retailers!AJ115+Distributors_Cap!$P$47)-BB116)^0.5,0)))))))))</f>
        <v/>
      </c>
      <c r="S116" s="2">
        <f>IF(O116&gt;Demand!AV133,0,(IF(((2*(Retailers!AK115+Distributors_Cap!$P$47)-Retailers_Cap!$BB$7)*(Demand!AV133-Retailers_Cap!O116))&lt;0,0,((IF(BC116&gt;2*(Retailers!AK115+Distributors_Cap!$P$47),0,(IF(BH116=0,ROUNDUP((2*(Retailers!AK115+Distributors_Cap!$P$47)-BC116)^0.5,0),ROUNDUP((2*(Retailers!AK115+Distributors_Cap!$P$47)-BC116)^0.5,0)))))))))</f>
        <v/>
      </c>
      <c r="T116" s="2">
        <f>IF(P116&gt;Demand!AW133,0,(IF(((2*(Retailers!AL115+Distributors_Cap!$P$47)-Retailers_Cap!$BB$7)*(Demand!AW133-Retailers_Cap!P116))&lt;0,0,((IF(BD116&gt;2*(Retailers!AL115+Distributors_Cap!$P$47),0,(IF(BI116=0,ROUNDUP((2*(Retailers!AL115+Distributors_Cap!$P$47)-BD116)^0.5,0),ROUNDUP((2*(Retailers!AL115+Distributors_Cap!$P$47)-BD116)^0.5,0)))))))))</f>
        <v/>
      </c>
      <c r="W116" s="64" t="n">
        <v>120</v>
      </c>
      <c r="X116" s="9" t="n">
        <v>0</v>
      </c>
      <c r="Y116" s="9" t="n">
        <v>14</v>
      </c>
      <c r="Z116" s="9" t="n">
        <v>13</v>
      </c>
      <c r="AB116" s="2">
        <f>ROUNDDOWN(LOG((X116+1),2),0)</f>
        <v/>
      </c>
      <c r="AC116" s="2">
        <f>ROUNDDOWN(LOG((Y116+1),2),0)</f>
        <v/>
      </c>
      <c r="AD116" s="2">
        <f>ROUNDDOWN(LOG((Z116+1),2),0)</f>
        <v/>
      </c>
      <c r="AG116" s="64" t="n">
        <v>120</v>
      </c>
      <c r="AH116" s="9" t="n">
        <v>0</v>
      </c>
      <c r="AI116" s="9" t="n">
        <v>3</v>
      </c>
      <c r="AJ116" s="9" t="n">
        <v>3</v>
      </c>
      <c r="AQ116" s="64" t="n">
        <v>120</v>
      </c>
      <c r="AR116" s="64" t="n">
        <v>46.669</v>
      </c>
      <c r="AS116" s="64" t="n">
        <v>78.35899999999999</v>
      </c>
      <c r="AT116" s="64" t="n">
        <v>74.94</v>
      </c>
      <c r="AV116" s="64" t="n">
        <v>120</v>
      </c>
      <c r="AW116" s="64">
        <f>Beginning_stock!AT144</f>
        <v/>
      </c>
      <c r="AX116" s="64">
        <f>Beginning_stock!AU144</f>
        <v/>
      </c>
      <c r="AY116" s="64">
        <f>Beginning_stock!AV144</f>
        <v/>
      </c>
      <c r="BA116" s="64" t="n">
        <v>120</v>
      </c>
      <c r="BB116" s="64">
        <f>IF(Demand!AU133=Retailers_Cap!N116,"ret=0",(AW116/(Demand!AU133-Retailers_Cap!N116)))</f>
        <v/>
      </c>
      <c r="BC116" s="64">
        <f>IF(Demand!AV133=Retailers_Cap!O116,"ret=0",(AX116/(Demand!AV133-Retailers_Cap!O116)))</f>
        <v/>
      </c>
      <c r="BD116" s="64">
        <f>IF(Demand!AW133=Retailers_Cap!P116,"ret=0",(AY116/(Demand!AW133-Retailers_Cap!P116)))</f>
        <v/>
      </c>
      <c r="BF116" s="64" t="n">
        <v>120</v>
      </c>
      <c r="BG116" s="2">
        <f>IF(Demand!AU133&lt;=Retailers_Cap!N116,"ret=0",(IF(BB116&lt;=AR116+Distributors_Cap!$P$47,1,0)))</f>
        <v/>
      </c>
      <c r="BH116" s="2">
        <f>IF(Demand!AV133&lt;=Retailers_Cap!O116,"ret=0",(IF(BC116&lt;=AS116+Distributors_Cap!$P$47,1,0)))</f>
        <v/>
      </c>
      <c r="BI116" s="2">
        <f>IF(Demand!AW133&lt;=Retailers_Cap!P116,"ret=0",(IF(BD116&lt;=AT116+Distributors_Cap!$P$47,1,0)))</f>
        <v/>
      </c>
      <c r="BK116" s="64" t="n">
        <v>120</v>
      </c>
      <c r="BL116" s="64">
        <f>Retailers!BH115</f>
        <v/>
      </c>
      <c r="BM116" s="64">
        <f>Retailers!BI115</f>
        <v/>
      </c>
      <c r="BN116" s="64">
        <f>Retailers!BJ115</f>
        <v/>
      </c>
      <c r="BP116" s="64" t="n">
        <v>120</v>
      </c>
      <c r="BQ116" s="64">
        <f>#REF!</f>
        <v/>
      </c>
      <c r="BR116" s="64">
        <f>#REF!</f>
        <v/>
      </c>
      <c r="BS116" s="64">
        <f>#REF!</f>
        <v/>
      </c>
      <c r="BU116" s="64" t="n">
        <v>120</v>
      </c>
      <c r="BV116" s="64">
        <f>Retailers!AS115</f>
        <v/>
      </c>
      <c r="BW116" s="64">
        <f>Retailers!AT115</f>
        <v/>
      </c>
      <c r="BX116" s="64">
        <f>Retailers!AU115</f>
        <v/>
      </c>
      <c r="BZ116" s="64" t="n">
        <v>120</v>
      </c>
      <c r="CA116" s="64">
        <f>Results!#REF!</f>
        <v/>
      </c>
      <c r="CB116" s="64">
        <f>Results!#REF!</f>
        <v/>
      </c>
      <c r="CC116" s="64">
        <f>Results!#REF!</f>
        <v/>
      </c>
      <c r="CE116" s="64" t="n">
        <v>120</v>
      </c>
      <c r="CF116" s="64">
        <f>Retailers!BN115</f>
        <v/>
      </c>
      <c r="CG116" s="64">
        <f>Retailers!BO115</f>
        <v/>
      </c>
      <c r="CH116" s="64">
        <f>Retailers!BP115</f>
        <v/>
      </c>
      <c r="CJ116" s="64" t="n">
        <v>120</v>
      </c>
      <c r="CK116" s="64">
        <f>IF(BB116="ret=0",0,IF(BB116&gt;0,AR116+Distributors_Cap!$P$47-BB116,0))</f>
        <v/>
      </c>
      <c r="CL116" s="64">
        <f>IF(BC116="ret=0",0,IF(BC116&gt;0,AS116+Distributors_Cap!$P$47-BC116,0))</f>
        <v/>
      </c>
      <c r="CM116" s="64">
        <f>IF(BD116="ret=0",0,IF(BD116&gt;0,AT116+Distributors_Cap!$P$47-BD116,0))</f>
        <v/>
      </c>
    </row>
    <row r="117">
      <c r="G117" s="64" t="n">
        <v>121</v>
      </c>
      <c r="H117" s="64" t="n">
        <v>56.824</v>
      </c>
      <c r="I117" s="64" t="n">
        <v>73.136</v>
      </c>
      <c r="J117" s="64" t="n">
        <v>53.779</v>
      </c>
      <c r="L117" s="64">
        <f>TRUNC((_xlfn.NORM.INV((RAND()),$K$7,$K$8)),0)</f>
        <v/>
      </c>
      <c r="M117" s="64" t="n">
        <v>121</v>
      </c>
      <c r="N117" s="5" t="n">
        <v>29</v>
      </c>
      <c r="O117" s="5" t="n">
        <v>23</v>
      </c>
      <c r="P117" s="5" t="n">
        <v>32</v>
      </c>
      <c r="R117" s="2">
        <f>IF(N117&gt;Demand!AU134,0,(IF(((2*(Retailers!AJ116+Distributors_Cap!$P$47)-Retailers_Cap!$BB$7)*(Demand!AU134-Retailers_Cap!N117))&lt;0,0,((IF(BB117&gt;2*(Retailers!AJ116+Distributors_Cap!$P$47),0,(IF(BG117=0,ROUNDUP((2*(Retailers!AJ116+Distributors_Cap!$P$47)-BB117)^0.5,0),ROUNDUP((2*(Retailers!AJ116+Distributors_Cap!$P$47)-BB117)^0.5,0)))))))))</f>
        <v/>
      </c>
      <c r="S117" s="2">
        <f>IF(O117&gt;Demand!AV134,0,(IF(((2*(Retailers!AK116+Distributors_Cap!$P$47)-Retailers_Cap!$BB$7)*(Demand!AV134-Retailers_Cap!O117))&lt;0,0,((IF(BC117&gt;2*(Retailers!AK116+Distributors_Cap!$P$47),0,(IF(BH117=0,ROUNDUP((2*(Retailers!AK116+Distributors_Cap!$P$47)-BC117)^0.5,0),ROUNDUP((2*(Retailers!AK116+Distributors_Cap!$P$47)-BC117)^0.5,0)))))))))</f>
        <v/>
      </c>
      <c r="T117" s="2">
        <f>IF(P117&gt;Demand!AW134,0,(IF(((2*(Retailers!AL116+Distributors_Cap!$P$47)-Retailers_Cap!$BB$7)*(Demand!AW134-Retailers_Cap!P117))&lt;0,0,((IF(BD117&gt;2*(Retailers!AL116+Distributors_Cap!$P$47),0,(IF(BI117=0,ROUNDUP((2*(Retailers!AL116+Distributors_Cap!$P$47)-BD117)^0.5,0),ROUNDUP((2*(Retailers!AL116+Distributors_Cap!$P$47)-BD117)^0.5,0)))))))))</f>
        <v/>
      </c>
      <c r="W117" s="64" t="n">
        <v>121</v>
      </c>
      <c r="X117" s="9" t="n">
        <v>13</v>
      </c>
      <c r="Y117" s="9" t="n">
        <v>0</v>
      </c>
      <c r="Z117" s="9" t="n">
        <v>0</v>
      </c>
      <c r="AB117" s="2">
        <f>ROUNDDOWN(LOG((X117+1),2),0)</f>
        <v/>
      </c>
      <c r="AC117" s="2">
        <f>ROUNDDOWN(LOG((Y117+1),2),0)</f>
        <v/>
      </c>
      <c r="AD117" s="2">
        <f>ROUNDDOWN(LOG((Z117+1),2),0)</f>
        <v/>
      </c>
      <c r="AG117" s="64" t="n">
        <v>121</v>
      </c>
      <c r="AH117" s="9" t="n">
        <v>3</v>
      </c>
      <c r="AI117" s="9" t="n">
        <v>0</v>
      </c>
      <c r="AJ117" s="9" t="n">
        <v>0</v>
      </c>
      <c r="AQ117" s="64" t="n">
        <v>121</v>
      </c>
      <c r="AR117" s="64" t="n">
        <v>56.824</v>
      </c>
      <c r="AS117" s="64" t="n">
        <v>73.136</v>
      </c>
      <c r="AT117" s="64" t="n">
        <v>53.779</v>
      </c>
      <c r="AV117" s="64" t="n">
        <v>121</v>
      </c>
      <c r="AW117" s="64">
        <f>Beginning_stock!AT145</f>
        <v/>
      </c>
      <c r="AX117" s="64">
        <f>Beginning_stock!AU145</f>
        <v/>
      </c>
      <c r="AY117" s="64">
        <f>Beginning_stock!AV145</f>
        <v/>
      </c>
      <c r="BA117" s="64" t="n">
        <v>121</v>
      </c>
      <c r="BB117" s="64">
        <f>IF(Demand!AU134=Retailers_Cap!N117,"ret=0",(AW117/(Demand!AU134-Retailers_Cap!N117)))</f>
        <v/>
      </c>
      <c r="BC117" s="64">
        <f>IF(Demand!AV134=Retailers_Cap!O117,"ret=0",(AX117/(Demand!AV134-Retailers_Cap!O117)))</f>
        <v/>
      </c>
      <c r="BD117" s="64">
        <f>IF(Demand!AW134=Retailers_Cap!P117,"ret=0",(AY117/(Demand!AW134-Retailers_Cap!P117)))</f>
        <v/>
      </c>
      <c r="BF117" s="64" t="n">
        <v>121</v>
      </c>
      <c r="BG117" s="2">
        <f>IF(Demand!AU134&lt;=Retailers_Cap!N117,"ret=0",(IF(BB117&lt;=AR117+Distributors_Cap!$P$47,1,0)))</f>
        <v/>
      </c>
      <c r="BH117" s="2">
        <f>IF(Demand!AV134&lt;=Retailers_Cap!O117,"ret=0",(IF(BC117&lt;=AS117+Distributors_Cap!$P$47,1,0)))</f>
        <v/>
      </c>
      <c r="BI117" s="2">
        <f>IF(Demand!AW134&lt;=Retailers_Cap!P117,"ret=0",(IF(BD117&lt;=AT117+Distributors_Cap!$P$47,1,0)))</f>
        <v/>
      </c>
      <c r="BK117" s="64" t="n">
        <v>121</v>
      </c>
      <c r="BL117" s="64">
        <f>Retailers!BH116</f>
        <v/>
      </c>
      <c r="BM117" s="64">
        <f>Retailers!BI116</f>
        <v/>
      </c>
      <c r="BN117" s="64">
        <f>Retailers!BJ116</f>
        <v/>
      </c>
      <c r="BP117" s="64" t="n">
        <v>121</v>
      </c>
      <c r="BQ117" s="64">
        <f>#REF!</f>
        <v/>
      </c>
      <c r="BR117" s="64">
        <f>#REF!</f>
        <v/>
      </c>
      <c r="BS117" s="64">
        <f>#REF!</f>
        <v/>
      </c>
      <c r="BU117" s="64" t="n">
        <v>121</v>
      </c>
      <c r="BV117" s="64">
        <f>Retailers!AS116</f>
        <v/>
      </c>
      <c r="BW117" s="64">
        <f>Retailers!AT116</f>
        <v/>
      </c>
      <c r="BX117" s="64">
        <f>Retailers!AU116</f>
        <v/>
      </c>
      <c r="BZ117" s="64" t="n">
        <v>121</v>
      </c>
      <c r="CA117" s="64">
        <f>Results!#REF!</f>
        <v/>
      </c>
      <c r="CB117" s="64">
        <f>Results!#REF!</f>
        <v/>
      </c>
      <c r="CC117" s="64">
        <f>Results!#REF!</f>
        <v/>
      </c>
      <c r="CE117" s="64" t="n">
        <v>121</v>
      </c>
      <c r="CF117" s="64">
        <f>Retailers!BN116</f>
        <v/>
      </c>
      <c r="CG117" s="64">
        <f>Retailers!BO116</f>
        <v/>
      </c>
      <c r="CH117" s="64">
        <f>Retailers!BP116</f>
        <v/>
      </c>
      <c r="CJ117" s="64" t="n">
        <v>121</v>
      </c>
      <c r="CK117" s="64">
        <f>IF(BB117="ret=0",0,IF(BB117&gt;0,AR117+Distributors_Cap!$P$47-BB117,0))</f>
        <v/>
      </c>
      <c r="CL117" s="64">
        <f>IF(BC117="ret=0",0,IF(BC117&gt;0,AS117+Distributors_Cap!$P$47-BC117,0))</f>
        <v/>
      </c>
      <c r="CM117" s="64">
        <f>IF(BD117="ret=0",0,IF(BD117&gt;0,AT117+Distributors_Cap!$P$47-BD117,0))</f>
        <v/>
      </c>
    </row>
    <row r="118">
      <c r="G118" s="64" t="n">
        <v>122</v>
      </c>
      <c r="H118" s="64" t="n">
        <v>47.044</v>
      </c>
      <c r="I118" s="64" t="n">
        <v>48.311</v>
      </c>
      <c r="J118" s="64" t="n">
        <v>63.514</v>
      </c>
      <c r="L118" s="64">
        <f>TRUNC((_xlfn.NORM.INV((RAND()),$K$7,$K$8)),0)</f>
        <v/>
      </c>
      <c r="M118" s="64" t="n">
        <v>122</v>
      </c>
      <c r="N118" s="5" t="n">
        <v>24</v>
      </c>
      <c r="O118" s="5" t="n">
        <v>36</v>
      </c>
      <c r="P118" s="5" t="n">
        <v>38</v>
      </c>
      <c r="R118" s="2">
        <f>IF(N118&gt;Demand!AU135,0,(IF(((2*(Retailers!AJ117+Distributors_Cap!$P$47)-Retailers_Cap!$BB$7)*(Demand!AU135-Retailers_Cap!N118))&lt;0,0,((IF(BB118&gt;2*(Retailers!AJ117+Distributors_Cap!$P$47),0,(IF(BG118=0,ROUNDUP((2*(Retailers!AJ117+Distributors_Cap!$P$47)-BB118)^0.5,0),ROUNDUP((2*(Retailers!AJ117+Distributors_Cap!$P$47)-BB118)^0.5,0)))))))))</f>
        <v/>
      </c>
      <c r="S118" s="2">
        <f>IF(O118&gt;Demand!AV135,0,(IF(((2*(Retailers!AK117+Distributors_Cap!$P$47)-Retailers_Cap!$BB$7)*(Demand!AV135-Retailers_Cap!O118))&lt;0,0,((IF(BC118&gt;2*(Retailers!AK117+Distributors_Cap!$P$47),0,(IF(BH118=0,ROUNDUP((2*(Retailers!AK117+Distributors_Cap!$P$47)-BC118)^0.5,0),ROUNDUP((2*(Retailers!AK117+Distributors_Cap!$P$47)-BC118)^0.5,0)))))))))</f>
        <v/>
      </c>
      <c r="T118" s="2">
        <f>IF(P118&gt;Demand!AW135,0,(IF(((2*(Retailers!AL117+Distributors_Cap!$P$47)-Retailers_Cap!$BB$7)*(Demand!AW135-Retailers_Cap!P118))&lt;0,0,((IF(BD118&gt;2*(Retailers!AL117+Distributors_Cap!$P$47),0,(IF(BI118=0,ROUNDUP((2*(Retailers!AL117+Distributors_Cap!$P$47)-BD118)^0.5,0),ROUNDUP((2*(Retailers!AL117+Distributors_Cap!$P$47)-BD118)^0.5,0)))))))))</f>
        <v/>
      </c>
      <c r="W118" s="64" t="n">
        <v>122</v>
      </c>
      <c r="X118" s="9" t="n">
        <v>10</v>
      </c>
      <c r="Y118" s="9" t="n">
        <v>0</v>
      </c>
      <c r="Z118" s="9" t="n">
        <v>0</v>
      </c>
      <c r="AB118" s="2">
        <f>ROUNDDOWN(LOG((X118+1),2),0)</f>
        <v/>
      </c>
      <c r="AC118" s="2">
        <f>ROUNDDOWN(LOG((Y118+1),2),0)</f>
        <v/>
      </c>
      <c r="AD118" s="2">
        <f>ROUNDDOWN(LOG((Z118+1),2),0)</f>
        <v/>
      </c>
      <c r="AG118" s="64" t="n">
        <v>122</v>
      </c>
      <c r="AH118" s="9" t="n">
        <v>3</v>
      </c>
      <c r="AI118" s="9" t="n">
        <v>0</v>
      </c>
      <c r="AJ118" s="9" t="n">
        <v>0</v>
      </c>
      <c r="AQ118" s="64" t="n">
        <v>122</v>
      </c>
      <c r="AR118" s="64" t="n">
        <v>47.044</v>
      </c>
      <c r="AS118" s="64" t="n">
        <v>48.311</v>
      </c>
      <c r="AT118" s="64" t="n">
        <v>63.514</v>
      </c>
      <c r="AV118" s="64" t="n">
        <v>122</v>
      </c>
      <c r="AW118" s="64">
        <f>Beginning_stock!AT146</f>
        <v/>
      </c>
      <c r="AX118" s="64">
        <f>Beginning_stock!AU146</f>
        <v/>
      </c>
      <c r="AY118" s="64">
        <f>Beginning_stock!AV146</f>
        <v/>
      </c>
      <c r="BA118" s="64" t="n">
        <v>122</v>
      </c>
      <c r="BB118" s="64">
        <f>IF(Demand!AU135=Retailers_Cap!N118,"ret=0",(AW118/(Demand!AU135-Retailers_Cap!N118)))</f>
        <v/>
      </c>
      <c r="BC118" s="64">
        <f>IF(Demand!AV135=Retailers_Cap!O118,"ret=0",(AX118/(Demand!AV135-Retailers_Cap!O118)))</f>
        <v/>
      </c>
      <c r="BD118" s="64">
        <f>IF(Demand!AW135=Retailers_Cap!P118,"ret=0",(AY118/(Demand!AW135-Retailers_Cap!P118)))</f>
        <v/>
      </c>
      <c r="BF118" s="64" t="n">
        <v>122</v>
      </c>
      <c r="BG118" s="2">
        <f>IF(Demand!AU135&lt;=Retailers_Cap!N118,"ret=0",(IF(BB118&lt;=AR118+Distributors_Cap!$P$47,1,0)))</f>
        <v/>
      </c>
      <c r="BH118" s="2">
        <f>IF(Demand!AV135&lt;=Retailers_Cap!O118,"ret=0",(IF(BC118&lt;=AS118+Distributors_Cap!$P$47,1,0)))</f>
        <v/>
      </c>
      <c r="BI118" s="2">
        <f>IF(Demand!AW135&lt;=Retailers_Cap!P118,"ret=0",(IF(BD118&lt;=AT118+Distributors_Cap!$P$47,1,0)))</f>
        <v/>
      </c>
      <c r="BK118" s="64" t="n">
        <v>122</v>
      </c>
      <c r="BL118" s="64">
        <f>Retailers!BH117</f>
        <v/>
      </c>
      <c r="BM118" s="64">
        <f>Retailers!BI117</f>
        <v/>
      </c>
      <c r="BN118" s="64">
        <f>Retailers!BJ117</f>
        <v/>
      </c>
      <c r="BP118" s="64" t="n">
        <v>122</v>
      </c>
      <c r="BQ118" s="64">
        <f>#REF!</f>
        <v/>
      </c>
      <c r="BR118" s="64">
        <f>#REF!</f>
        <v/>
      </c>
      <c r="BS118" s="64">
        <f>#REF!</f>
        <v/>
      </c>
      <c r="BU118" s="64" t="n">
        <v>122</v>
      </c>
      <c r="BV118" s="64">
        <f>Retailers!AS117</f>
        <v/>
      </c>
      <c r="BW118" s="64">
        <f>Retailers!AT117</f>
        <v/>
      </c>
      <c r="BX118" s="64">
        <f>Retailers!AU117</f>
        <v/>
      </c>
      <c r="BZ118" s="64" t="n">
        <v>122</v>
      </c>
      <c r="CA118" s="64">
        <f>Results!#REF!</f>
        <v/>
      </c>
      <c r="CB118" s="64">
        <f>Results!#REF!</f>
        <v/>
      </c>
      <c r="CC118" s="64">
        <f>Results!#REF!</f>
        <v/>
      </c>
      <c r="CE118" s="64" t="n">
        <v>122</v>
      </c>
      <c r="CF118" s="64">
        <f>Retailers!BN117</f>
        <v/>
      </c>
      <c r="CG118" s="64">
        <f>Retailers!BO117</f>
        <v/>
      </c>
      <c r="CH118" s="64">
        <f>Retailers!BP117</f>
        <v/>
      </c>
      <c r="CJ118" s="64" t="n">
        <v>122</v>
      </c>
      <c r="CK118" s="64">
        <f>IF(BB118="ret=0",0,IF(BB118&gt;0,AR118+Distributors_Cap!$P$47-BB118,0))</f>
        <v/>
      </c>
      <c r="CL118" s="64">
        <f>IF(BC118="ret=0",0,IF(BC118&gt;0,AS118+Distributors_Cap!$P$47-BC118,0))</f>
        <v/>
      </c>
      <c r="CM118" s="64">
        <f>IF(BD118="ret=0",0,IF(BD118&gt;0,AT118+Distributors_Cap!$P$47-BD118,0))</f>
        <v/>
      </c>
    </row>
    <row r="119">
      <c r="G119" s="64" t="n">
        <v>123</v>
      </c>
      <c r="H119" s="64" t="n">
        <v>55.637</v>
      </c>
      <c r="I119" s="64" t="n">
        <v>52.979</v>
      </c>
      <c r="J119" s="64" t="n">
        <v>45.17</v>
      </c>
      <c r="L119" s="64">
        <f>TRUNC((_xlfn.NORM.INV((RAND()),$K$7,$K$8)),0)</f>
        <v/>
      </c>
      <c r="M119" s="64" t="n">
        <v>123</v>
      </c>
      <c r="N119" s="5" t="n">
        <v>32</v>
      </c>
      <c r="O119" s="5" t="n">
        <v>32</v>
      </c>
      <c r="P119" s="5" t="n">
        <v>25</v>
      </c>
      <c r="R119" s="2">
        <f>IF(N119&gt;Demand!AU136,0,(IF(((2*(Retailers!AJ118+Distributors_Cap!$P$47)-Retailers_Cap!$BB$7)*(Demand!AU136-Retailers_Cap!N119))&lt;0,0,((IF(BB119&gt;2*(Retailers!AJ118+Distributors_Cap!$P$47),0,(IF(BG119=0,ROUNDUP((2*(Retailers!AJ118+Distributors_Cap!$P$47)-BB119)^0.5,0),ROUNDUP((2*(Retailers!AJ118+Distributors_Cap!$P$47)-BB119)^0.5,0)))))))))</f>
        <v/>
      </c>
      <c r="S119" s="2">
        <f>IF(O119&gt;Demand!AV136,0,(IF(((2*(Retailers!AK118+Distributors_Cap!$P$47)-Retailers_Cap!$BB$7)*(Demand!AV136-Retailers_Cap!O119))&lt;0,0,((IF(BC119&gt;2*(Retailers!AK118+Distributors_Cap!$P$47),0,(IF(BH119=0,ROUNDUP((2*(Retailers!AK118+Distributors_Cap!$P$47)-BC119)^0.5,0),ROUNDUP((2*(Retailers!AK118+Distributors_Cap!$P$47)-BC119)^0.5,0)))))))))</f>
        <v/>
      </c>
      <c r="T119" s="2">
        <f>IF(P119&gt;Demand!AW136,0,(IF(((2*(Retailers!AL118+Distributors_Cap!$P$47)-Retailers_Cap!$BB$7)*(Demand!AW136-Retailers_Cap!P119))&lt;0,0,((IF(BD119&gt;2*(Retailers!AL118+Distributors_Cap!$P$47),0,(IF(BI119=0,ROUNDUP((2*(Retailers!AL118+Distributors_Cap!$P$47)-BD119)^0.5,0),ROUNDUP((2*(Retailers!AL118+Distributors_Cap!$P$47)-BD119)^0.5,0)))))))))</f>
        <v/>
      </c>
      <c r="W119" s="64" t="n">
        <v>123</v>
      </c>
      <c r="X119" s="9" t="n">
        <v>0</v>
      </c>
      <c r="Y119" s="9" t="n">
        <v>2</v>
      </c>
      <c r="Z119" s="9" t="n">
        <v>0</v>
      </c>
      <c r="AB119" s="2">
        <f>ROUNDDOWN(LOG((X119+1),2),0)</f>
        <v/>
      </c>
      <c r="AC119" s="2">
        <f>ROUNDDOWN(LOG((Y119+1),2),0)</f>
        <v/>
      </c>
      <c r="AD119" s="2">
        <f>ROUNDDOWN(LOG((Z119+1),2),0)</f>
        <v/>
      </c>
      <c r="AG119" s="64" t="n">
        <v>123</v>
      </c>
      <c r="AH119" s="9" t="n">
        <v>0</v>
      </c>
      <c r="AI119" s="9" t="n">
        <v>1</v>
      </c>
      <c r="AJ119" s="9" t="n">
        <v>0</v>
      </c>
      <c r="AQ119" s="64" t="n">
        <v>123</v>
      </c>
      <c r="AR119" s="64" t="n">
        <v>55.637</v>
      </c>
      <c r="AS119" s="64" t="n">
        <v>52.979</v>
      </c>
      <c r="AT119" s="64" t="n">
        <v>45.17</v>
      </c>
      <c r="AV119" s="64" t="n">
        <v>123</v>
      </c>
      <c r="AW119" s="64">
        <f>Beginning_stock!AT147</f>
        <v/>
      </c>
      <c r="AX119" s="64">
        <f>Beginning_stock!AU147</f>
        <v/>
      </c>
      <c r="AY119" s="64">
        <f>Beginning_stock!AV147</f>
        <v/>
      </c>
      <c r="BA119" s="64" t="n">
        <v>123</v>
      </c>
      <c r="BB119" s="64">
        <f>IF(Demand!AU136=Retailers_Cap!N119,"ret=0",(AW119/(Demand!AU136-Retailers_Cap!N119)))</f>
        <v/>
      </c>
      <c r="BC119" s="64">
        <f>IF(Demand!AV136=Retailers_Cap!O119,"ret=0",(AX119/(Demand!AV136-Retailers_Cap!O119)))</f>
        <v/>
      </c>
      <c r="BD119" s="64">
        <f>IF(Demand!AW136=Retailers_Cap!P119,"ret=0",(AY119/(Demand!AW136-Retailers_Cap!P119)))</f>
        <v/>
      </c>
      <c r="BF119" s="64" t="n">
        <v>123</v>
      </c>
      <c r="BG119" s="2">
        <f>IF(Demand!AU136&lt;=Retailers_Cap!N119,"ret=0",(IF(BB119&lt;=AR119+Distributors_Cap!$P$47,1,0)))</f>
        <v/>
      </c>
      <c r="BH119" s="2">
        <f>IF(Demand!AV136&lt;=Retailers_Cap!O119,"ret=0",(IF(BC119&lt;=AS119+Distributors_Cap!$P$47,1,0)))</f>
        <v/>
      </c>
      <c r="BI119" s="2">
        <f>IF(Demand!AW136&lt;=Retailers_Cap!P119,"ret=0",(IF(BD119&lt;=AT119+Distributors_Cap!$P$47,1,0)))</f>
        <v/>
      </c>
      <c r="BK119" s="64" t="n">
        <v>123</v>
      </c>
      <c r="BL119" s="64">
        <f>Retailers!BH118</f>
        <v/>
      </c>
      <c r="BM119" s="64">
        <f>Retailers!BI118</f>
        <v/>
      </c>
      <c r="BN119" s="64">
        <f>Retailers!BJ118</f>
        <v/>
      </c>
      <c r="BP119" s="64" t="n">
        <v>123</v>
      </c>
      <c r="BQ119" s="64">
        <f>#REF!</f>
        <v/>
      </c>
      <c r="BR119" s="64">
        <f>#REF!</f>
        <v/>
      </c>
      <c r="BS119" s="64">
        <f>#REF!</f>
        <v/>
      </c>
      <c r="BU119" s="64" t="n">
        <v>123</v>
      </c>
      <c r="BV119" s="64">
        <f>Retailers!AS118</f>
        <v/>
      </c>
      <c r="BW119" s="64">
        <f>Retailers!AT118</f>
        <v/>
      </c>
      <c r="BX119" s="64">
        <f>Retailers!AU118</f>
        <v/>
      </c>
      <c r="BZ119" s="64" t="n">
        <v>123</v>
      </c>
      <c r="CA119" s="64">
        <f>Results!#REF!</f>
        <v/>
      </c>
      <c r="CB119" s="64">
        <f>Results!#REF!</f>
        <v/>
      </c>
      <c r="CC119" s="64">
        <f>Results!#REF!</f>
        <v/>
      </c>
      <c r="CE119" s="64" t="n">
        <v>123</v>
      </c>
      <c r="CF119" s="64">
        <f>Retailers!BN118</f>
        <v/>
      </c>
      <c r="CG119" s="64">
        <f>Retailers!BO118</f>
        <v/>
      </c>
      <c r="CH119" s="64">
        <f>Retailers!BP118</f>
        <v/>
      </c>
      <c r="CJ119" s="64" t="n">
        <v>123</v>
      </c>
      <c r="CK119" s="64">
        <f>IF(BB119="ret=0",0,IF(BB119&gt;0,AR119+Distributors_Cap!$P$47-BB119,0))</f>
        <v/>
      </c>
      <c r="CL119" s="64">
        <f>IF(BC119="ret=0",0,IF(BC119&gt;0,AS119+Distributors_Cap!$P$47-BC119,0))</f>
        <v/>
      </c>
      <c r="CM119" s="64">
        <f>IF(BD119="ret=0",0,IF(BD119&gt;0,AT119+Distributors_Cap!$P$47-BD119,0))</f>
        <v/>
      </c>
    </row>
    <row r="120">
      <c r="G120" s="64" t="n">
        <v>124</v>
      </c>
      <c r="H120" s="64" t="n">
        <v>77.369</v>
      </c>
      <c r="I120" s="64" t="n">
        <v>61.853</v>
      </c>
      <c r="J120" s="64" t="n">
        <v>64.526</v>
      </c>
      <c r="L120" s="64">
        <f>TRUNC((_xlfn.NORM.INV((RAND()),$K$7,$K$8)),0)</f>
        <v/>
      </c>
      <c r="M120" s="64" t="n">
        <v>124</v>
      </c>
      <c r="N120" s="5" t="n">
        <v>27</v>
      </c>
      <c r="O120" s="5" t="n">
        <v>30</v>
      </c>
      <c r="P120" s="5" t="n">
        <v>41</v>
      </c>
      <c r="R120" s="2">
        <f>IF(N120&gt;Demand!AU137,0,(IF(((2*(Retailers!AJ119+Distributors_Cap!$P$47)-Retailers_Cap!$BB$7)*(Demand!AU137-Retailers_Cap!N120))&lt;0,0,((IF(BB120&gt;2*(Retailers!AJ119+Distributors_Cap!$P$47),0,(IF(BG120=0,ROUNDUP((2*(Retailers!AJ119+Distributors_Cap!$P$47)-BB120)^0.5,0),ROUNDUP((2*(Retailers!AJ119+Distributors_Cap!$P$47)-BB120)^0.5,0)))))))))</f>
        <v/>
      </c>
      <c r="S120" s="2">
        <f>IF(O120&gt;Demand!AV137,0,(IF(((2*(Retailers!AK119+Distributors_Cap!$P$47)-Retailers_Cap!$BB$7)*(Demand!AV137-Retailers_Cap!O120))&lt;0,0,((IF(BC120&gt;2*(Retailers!AK119+Distributors_Cap!$P$47),0,(IF(BH120=0,ROUNDUP((2*(Retailers!AK119+Distributors_Cap!$P$47)-BC120)^0.5,0),ROUNDUP((2*(Retailers!AK119+Distributors_Cap!$P$47)-BC120)^0.5,0)))))))))</f>
        <v/>
      </c>
      <c r="T120" s="2">
        <f>IF(P120&gt;Demand!AW137,0,(IF(((2*(Retailers!AL119+Distributors_Cap!$P$47)-Retailers_Cap!$BB$7)*(Demand!AW137-Retailers_Cap!P120))&lt;0,0,((IF(BD120&gt;2*(Retailers!AL119+Distributors_Cap!$P$47),0,(IF(BI120=0,ROUNDUP((2*(Retailers!AL119+Distributors_Cap!$P$47)-BD120)^0.5,0),ROUNDUP((2*(Retailers!AL119+Distributors_Cap!$P$47)-BD120)^0.5,0)))))))))</f>
        <v/>
      </c>
      <c r="W120" s="64" t="n">
        <v>124</v>
      </c>
      <c r="X120" s="9" t="n">
        <v>0</v>
      </c>
      <c r="Y120" s="9" t="n">
        <v>0</v>
      </c>
      <c r="Z120" s="9" t="n">
        <v>0</v>
      </c>
      <c r="AB120" s="2">
        <f>ROUNDDOWN(LOG((X120+1),2),0)</f>
        <v/>
      </c>
      <c r="AC120" s="2">
        <f>ROUNDDOWN(LOG((Y120+1),2),0)</f>
        <v/>
      </c>
      <c r="AD120" s="2">
        <f>ROUNDDOWN(LOG((Z120+1),2),0)</f>
        <v/>
      </c>
      <c r="AG120" s="64" t="n">
        <v>124</v>
      </c>
      <c r="AH120" s="9" t="n">
        <v>0</v>
      </c>
      <c r="AI120" s="9" t="n">
        <v>0</v>
      </c>
      <c r="AJ120" s="9" t="n">
        <v>0</v>
      </c>
      <c r="AQ120" s="64" t="n">
        <v>124</v>
      </c>
      <c r="AR120" s="64" t="n">
        <v>77.369</v>
      </c>
      <c r="AS120" s="64" t="n">
        <v>61.853</v>
      </c>
      <c r="AT120" s="64" t="n">
        <v>64.526</v>
      </c>
      <c r="AV120" s="64" t="n">
        <v>124</v>
      </c>
      <c r="AW120" s="64">
        <f>Beginning_stock!AT148</f>
        <v/>
      </c>
      <c r="AX120" s="64">
        <f>Beginning_stock!AU148</f>
        <v/>
      </c>
      <c r="AY120" s="64">
        <f>Beginning_stock!AV148</f>
        <v/>
      </c>
      <c r="BA120" s="64" t="n">
        <v>124</v>
      </c>
      <c r="BB120" s="64">
        <f>IF(Demand!AU137=Retailers_Cap!N120,"ret=0",(AW120/(Demand!AU137-Retailers_Cap!N120)))</f>
        <v/>
      </c>
      <c r="BC120" s="64">
        <f>IF(Demand!AV137=Retailers_Cap!O120,"ret=0",(AX120/(Demand!AV137-Retailers_Cap!O120)))</f>
        <v/>
      </c>
      <c r="BD120" s="64">
        <f>IF(Demand!AW137=Retailers_Cap!P120,"ret=0",(AY120/(Demand!AW137-Retailers_Cap!P120)))</f>
        <v/>
      </c>
      <c r="BF120" s="64" t="n">
        <v>124</v>
      </c>
      <c r="BG120" s="2">
        <f>IF(Demand!AU137&lt;=Retailers_Cap!N120,"ret=0",(IF(BB120&lt;=AR120+Distributors_Cap!$P$47,1,0)))</f>
        <v/>
      </c>
      <c r="BH120" s="2">
        <f>IF(Demand!AV137&lt;=Retailers_Cap!O120,"ret=0",(IF(BC120&lt;=AS120+Distributors_Cap!$P$47,1,0)))</f>
        <v/>
      </c>
      <c r="BI120" s="2">
        <f>IF(Demand!AW137&lt;=Retailers_Cap!P120,"ret=0",(IF(BD120&lt;=AT120+Distributors_Cap!$P$47,1,0)))</f>
        <v/>
      </c>
      <c r="BK120" s="64" t="n">
        <v>124</v>
      </c>
      <c r="BL120" s="64">
        <f>Retailers!BH119</f>
        <v/>
      </c>
      <c r="BM120" s="64">
        <f>Retailers!BI119</f>
        <v/>
      </c>
      <c r="BN120" s="64">
        <f>Retailers!BJ119</f>
        <v/>
      </c>
      <c r="BP120" s="64" t="n">
        <v>124</v>
      </c>
      <c r="BQ120" s="64">
        <f>#REF!</f>
        <v/>
      </c>
      <c r="BR120" s="64">
        <f>#REF!</f>
        <v/>
      </c>
      <c r="BS120" s="64">
        <f>#REF!</f>
        <v/>
      </c>
      <c r="BU120" s="64" t="n">
        <v>124</v>
      </c>
      <c r="BV120" s="64">
        <f>Retailers!AS119</f>
        <v/>
      </c>
      <c r="BW120" s="64">
        <f>Retailers!AT119</f>
        <v/>
      </c>
      <c r="BX120" s="64">
        <f>Retailers!AU119</f>
        <v/>
      </c>
      <c r="BZ120" s="64" t="n">
        <v>124</v>
      </c>
      <c r="CA120" s="64">
        <f>Results!#REF!</f>
        <v/>
      </c>
      <c r="CB120" s="64">
        <f>Results!#REF!</f>
        <v/>
      </c>
      <c r="CC120" s="64">
        <f>Results!#REF!</f>
        <v/>
      </c>
      <c r="CE120" s="64" t="n">
        <v>124</v>
      </c>
      <c r="CF120" s="64">
        <f>Retailers!BN119</f>
        <v/>
      </c>
      <c r="CG120" s="64">
        <f>Retailers!BO119</f>
        <v/>
      </c>
      <c r="CH120" s="64">
        <f>Retailers!BP119</f>
        <v/>
      </c>
      <c r="CJ120" s="64" t="n">
        <v>124</v>
      </c>
      <c r="CK120" s="64">
        <f>IF(BB120="ret=0",0,IF(BB120&gt;0,AR120+Distributors_Cap!$P$47-BB120,0))</f>
        <v/>
      </c>
      <c r="CL120" s="64">
        <f>IF(BC120="ret=0",0,IF(BC120&gt;0,AS120+Distributors_Cap!$P$47-BC120,0))</f>
        <v/>
      </c>
      <c r="CM120" s="64">
        <f>IF(BD120="ret=0",0,IF(BD120&gt;0,AT120+Distributors_Cap!$P$47-BD120,0))</f>
        <v/>
      </c>
    </row>
    <row r="121">
      <c r="G121" s="64" t="n">
        <v>125</v>
      </c>
      <c r="H121" s="64" t="n">
        <v>64.322</v>
      </c>
      <c r="I121" s="64" t="n">
        <v>50.551</v>
      </c>
      <c r="J121" s="64" t="n">
        <v>55.886</v>
      </c>
      <c r="L121" s="64">
        <f>TRUNC((_xlfn.NORM.INV((RAND()),$K$7,$K$8)),0)</f>
        <v/>
      </c>
      <c r="M121" s="64" t="n">
        <v>125</v>
      </c>
      <c r="N121" s="5" t="n">
        <v>34</v>
      </c>
      <c r="O121" s="5" t="n">
        <v>35</v>
      </c>
      <c r="P121" s="5" t="n">
        <v>15</v>
      </c>
      <c r="R121" s="2">
        <f>IF(N121&gt;Demand!AU138,0,(IF(((2*(Retailers!AJ120+Distributors_Cap!$P$47)-Retailers_Cap!$BB$7)*(Demand!AU138-Retailers_Cap!N121))&lt;0,0,((IF(BB121&gt;2*(Retailers!AJ120+Distributors_Cap!$P$47),0,(IF(BG121=0,ROUNDUP((2*(Retailers!AJ120+Distributors_Cap!$P$47)-BB121)^0.5,0),ROUNDUP((2*(Retailers!AJ120+Distributors_Cap!$P$47)-BB121)^0.5,0)))))))))</f>
        <v/>
      </c>
      <c r="S121" s="2">
        <f>IF(O121&gt;Demand!AV138,0,(IF(((2*(Retailers!AK120+Distributors_Cap!$P$47)-Retailers_Cap!$BB$7)*(Demand!AV138-Retailers_Cap!O121))&lt;0,0,((IF(BC121&gt;2*(Retailers!AK120+Distributors_Cap!$P$47),0,(IF(BH121=0,ROUNDUP((2*(Retailers!AK120+Distributors_Cap!$P$47)-BC121)^0.5,0),ROUNDUP((2*(Retailers!AK120+Distributors_Cap!$P$47)-BC121)^0.5,0)))))))))</f>
        <v/>
      </c>
      <c r="T121" s="2">
        <f>IF(P121&gt;Demand!AW138,0,(IF(((2*(Retailers!AL120+Distributors_Cap!$P$47)-Retailers_Cap!$BB$7)*(Demand!AW138-Retailers_Cap!P121))&lt;0,0,((IF(BD121&gt;2*(Retailers!AL120+Distributors_Cap!$P$47),0,(IF(BI121=0,ROUNDUP((2*(Retailers!AL120+Distributors_Cap!$P$47)-BD121)^0.5,0),ROUNDUP((2*(Retailers!AL120+Distributors_Cap!$P$47)-BD121)^0.5,0)))))))))</f>
        <v/>
      </c>
      <c r="W121" s="64" t="n">
        <v>125</v>
      </c>
      <c r="X121" s="9" t="n">
        <v>0</v>
      </c>
      <c r="Y121" s="9" t="n">
        <v>10</v>
      </c>
      <c r="Z121" s="9" t="n">
        <v>9</v>
      </c>
      <c r="AB121" s="2">
        <f>ROUNDDOWN(LOG((X121+1),2),0)</f>
        <v/>
      </c>
      <c r="AC121" s="2">
        <f>ROUNDDOWN(LOG((Y121+1),2),0)</f>
        <v/>
      </c>
      <c r="AD121" s="2">
        <f>ROUNDDOWN(LOG((Z121+1),2),0)</f>
        <v/>
      </c>
      <c r="AG121" s="64" t="n">
        <v>125</v>
      </c>
      <c r="AH121" s="9" t="n">
        <v>0</v>
      </c>
      <c r="AI121" s="9" t="n">
        <v>3</v>
      </c>
      <c r="AJ121" s="9" t="n">
        <v>3</v>
      </c>
      <c r="AQ121" s="64" t="n">
        <v>125</v>
      </c>
      <c r="AR121" s="64" t="n">
        <v>64.322</v>
      </c>
      <c r="AS121" s="64" t="n">
        <v>50.551</v>
      </c>
      <c r="AT121" s="64" t="n">
        <v>55.886</v>
      </c>
      <c r="AV121" s="64" t="n">
        <v>125</v>
      </c>
      <c r="AW121" s="64">
        <f>Beginning_stock!AT149</f>
        <v/>
      </c>
      <c r="AX121" s="64">
        <f>Beginning_stock!AU149</f>
        <v/>
      </c>
      <c r="AY121" s="64">
        <f>Beginning_stock!AV149</f>
        <v/>
      </c>
      <c r="BA121" s="64" t="n">
        <v>125</v>
      </c>
      <c r="BB121" s="64">
        <f>IF(Demand!AU138=Retailers_Cap!N121,"ret=0",(AW121/(Demand!AU138-Retailers_Cap!N121)))</f>
        <v/>
      </c>
      <c r="BC121" s="64">
        <f>IF(Demand!AV138=Retailers_Cap!O121,"ret=0",(AX121/(Demand!AV138-Retailers_Cap!O121)))</f>
        <v/>
      </c>
      <c r="BD121" s="64">
        <f>IF(Demand!AW138=Retailers_Cap!P121,"ret=0",(AY121/(Demand!AW138-Retailers_Cap!P121)))</f>
        <v/>
      </c>
      <c r="BF121" s="64" t="n">
        <v>125</v>
      </c>
      <c r="BG121" s="2">
        <f>IF(Demand!AU138&lt;=Retailers_Cap!N121,"ret=0",(IF(BB121&lt;=AR121+Distributors_Cap!$P$47,1,0)))</f>
        <v/>
      </c>
      <c r="BH121" s="2">
        <f>IF(Demand!AV138&lt;=Retailers_Cap!O121,"ret=0",(IF(BC121&lt;=AS121+Distributors_Cap!$P$47,1,0)))</f>
        <v/>
      </c>
      <c r="BI121" s="2">
        <f>IF(Demand!AW138&lt;=Retailers_Cap!P121,"ret=0",(IF(BD121&lt;=AT121+Distributors_Cap!$P$47,1,0)))</f>
        <v/>
      </c>
      <c r="BK121" s="64" t="n">
        <v>125</v>
      </c>
      <c r="BL121" s="64">
        <f>Retailers!BH120</f>
        <v/>
      </c>
      <c r="BM121" s="64">
        <f>Retailers!BI120</f>
        <v/>
      </c>
      <c r="BN121" s="64">
        <f>Retailers!BJ120</f>
        <v/>
      </c>
      <c r="BP121" s="64" t="n">
        <v>125</v>
      </c>
      <c r="BQ121" s="64">
        <f>#REF!</f>
        <v/>
      </c>
      <c r="BR121" s="64">
        <f>#REF!</f>
        <v/>
      </c>
      <c r="BS121" s="64">
        <f>#REF!</f>
        <v/>
      </c>
      <c r="BU121" s="64" t="n">
        <v>125</v>
      </c>
      <c r="BV121" s="64">
        <f>Retailers!AS120</f>
        <v/>
      </c>
      <c r="BW121" s="64">
        <f>Retailers!AT120</f>
        <v/>
      </c>
      <c r="BX121" s="64">
        <f>Retailers!AU120</f>
        <v/>
      </c>
      <c r="BZ121" s="64" t="n">
        <v>125</v>
      </c>
      <c r="CA121" s="64">
        <f>Results!#REF!</f>
        <v/>
      </c>
      <c r="CB121" s="64">
        <f>Results!#REF!</f>
        <v/>
      </c>
      <c r="CC121" s="64">
        <f>Results!#REF!</f>
        <v/>
      </c>
      <c r="CE121" s="64" t="n">
        <v>125</v>
      </c>
      <c r="CF121" s="64">
        <f>Retailers!BN120</f>
        <v/>
      </c>
      <c r="CG121" s="64">
        <f>Retailers!BO120</f>
        <v/>
      </c>
      <c r="CH121" s="64">
        <f>Retailers!BP120</f>
        <v/>
      </c>
      <c r="CJ121" s="64" t="n">
        <v>125</v>
      </c>
      <c r="CK121" s="64">
        <f>IF(BB121="ret=0",0,IF(BB121&gt;0,AR121+Distributors_Cap!$P$47-BB121,0))</f>
        <v/>
      </c>
      <c r="CL121" s="64">
        <f>IF(BC121="ret=0",0,IF(BC121&gt;0,AS121+Distributors_Cap!$P$47-BC121,0))</f>
        <v/>
      </c>
      <c r="CM121" s="64">
        <f>IF(BD121="ret=0",0,IF(BD121&gt;0,AT121+Distributors_Cap!$P$47-BD121,0))</f>
        <v/>
      </c>
    </row>
    <row r="122">
      <c r="G122" s="64" t="n">
        <v>126</v>
      </c>
      <c r="H122" s="64" t="n">
        <v>58.5</v>
      </c>
      <c r="I122" s="64" t="n">
        <v>65.29300000000001</v>
      </c>
      <c r="J122" s="64" t="n">
        <v>71.91</v>
      </c>
      <c r="L122" s="64">
        <f>TRUNC((_xlfn.NORM.INV((RAND()),$K$7,$K$8)),0)</f>
        <v/>
      </c>
      <c r="M122" s="64" t="n">
        <v>126</v>
      </c>
      <c r="N122" s="5" t="n">
        <v>27</v>
      </c>
      <c r="O122" s="5" t="n">
        <v>45</v>
      </c>
      <c r="P122" s="5" t="n">
        <v>20</v>
      </c>
      <c r="R122" s="2">
        <f>IF(N122&gt;Demand!AU139,0,(IF(((2*(Retailers!AJ121+Distributors_Cap!$P$47)-Retailers_Cap!$BB$7)*(Demand!AU139-Retailers_Cap!N122))&lt;0,0,((IF(BB122&gt;2*(Retailers!AJ121+Distributors_Cap!$P$47),0,(IF(BG122=0,ROUNDUP((2*(Retailers!AJ121+Distributors_Cap!$P$47)-BB122)^0.5,0),ROUNDUP((2*(Retailers!AJ121+Distributors_Cap!$P$47)-BB122)^0.5,0)))))))))</f>
        <v/>
      </c>
      <c r="S122" s="2">
        <f>IF(O122&gt;Demand!AV139,0,(IF(((2*(Retailers!AK121+Distributors_Cap!$P$47)-Retailers_Cap!$BB$7)*(Demand!AV139-Retailers_Cap!O122))&lt;0,0,((IF(BC122&gt;2*(Retailers!AK121+Distributors_Cap!$P$47),0,(IF(BH122=0,ROUNDUP((2*(Retailers!AK121+Distributors_Cap!$P$47)-BC122)^0.5,0),ROUNDUP((2*(Retailers!AK121+Distributors_Cap!$P$47)-BC122)^0.5,0)))))))))</f>
        <v/>
      </c>
      <c r="T122" s="2">
        <f>IF(P122&gt;Demand!AW139,0,(IF(((2*(Retailers!AL121+Distributors_Cap!$P$47)-Retailers_Cap!$BB$7)*(Demand!AW139-Retailers_Cap!P122))&lt;0,0,((IF(BD122&gt;2*(Retailers!AL121+Distributors_Cap!$P$47),0,(IF(BI122=0,ROUNDUP((2*(Retailers!AL121+Distributors_Cap!$P$47)-BD122)^0.5,0),ROUNDUP((2*(Retailers!AL121+Distributors_Cap!$P$47)-BD122)^0.5,0)))))))))</f>
        <v/>
      </c>
      <c r="W122" s="64" t="n">
        <v>126</v>
      </c>
      <c r="X122" s="9" t="n">
        <v>0</v>
      </c>
      <c r="Y122" s="9" t="n">
        <v>0</v>
      </c>
      <c r="Z122" s="9" t="n">
        <v>13</v>
      </c>
      <c r="AB122" s="2">
        <f>ROUNDDOWN(LOG((X122+1),2),0)</f>
        <v/>
      </c>
      <c r="AC122" s="2">
        <f>ROUNDDOWN(LOG((Y122+1),2),0)</f>
        <v/>
      </c>
      <c r="AD122" s="2">
        <f>ROUNDDOWN(LOG((Z122+1),2),0)</f>
        <v/>
      </c>
      <c r="AG122" s="64" t="n">
        <v>126</v>
      </c>
      <c r="AH122" s="9" t="n">
        <v>0</v>
      </c>
      <c r="AI122" s="9" t="n">
        <v>0</v>
      </c>
      <c r="AJ122" s="9" t="n">
        <v>3</v>
      </c>
      <c r="AQ122" s="64" t="n">
        <v>126</v>
      </c>
      <c r="AR122" s="64" t="n">
        <v>58.5</v>
      </c>
      <c r="AS122" s="64" t="n">
        <v>65.29300000000001</v>
      </c>
      <c r="AT122" s="64" t="n">
        <v>71.91</v>
      </c>
      <c r="AV122" s="64" t="n">
        <v>126</v>
      </c>
      <c r="AW122" s="64">
        <f>Beginning_stock!AT150</f>
        <v/>
      </c>
      <c r="AX122" s="64">
        <f>Beginning_stock!AU150</f>
        <v/>
      </c>
      <c r="AY122" s="64">
        <f>Beginning_stock!AV150</f>
        <v/>
      </c>
      <c r="BA122" s="64" t="n">
        <v>126</v>
      </c>
      <c r="BB122" s="64">
        <f>IF(Demand!AU139=Retailers_Cap!N122,"ret=0",(AW122/(Demand!AU139-Retailers_Cap!N122)))</f>
        <v/>
      </c>
      <c r="BC122" s="64">
        <f>IF(Demand!AV139=Retailers_Cap!O122,"ret=0",(AX122/(Demand!AV139-Retailers_Cap!O122)))</f>
        <v/>
      </c>
      <c r="BD122" s="64">
        <f>IF(Demand!AW139=Retailers_Cap!P122,"ret=0",(AY122/(Demand!AW139-Retailers_Cap!P122)))</f>
        <v/>
      </c>
      <c r="BF122" s="64" t="n">
        <v>126</v>
      </c>
      <c r="BG122" s="2">
        <f>IF(Demand!AU139&lt;=Retailers_Cap!N122,"ret=0",(IF(BB122&lt;=AR122+Distributors_Cap!$P$47,1,0)))</f>
        <v/>
      </c>
      <c r="BH122" s="2">
        <f>IF(Demand!AV139&lt;=Retailers_Cap!O122,"ret=0",(IF(BC122&lt;=AS122+Distributors_Cap!$P$47,1,0)))</f>
        <v/>
      </c>
      <c r="BI122" s="2">
        <f>IF(Demand!AW139&lt;=Retailers_Cap!P122,"ret=0",(IF(BD122&lt;=AT122+Distributors_Cap!$P$47,1,0)))</f>
        <v/>
      </c>
      <c r="BK122" s="64" t="n">
        <v>126</v>
      </c>
      <c r="BL122" s="64">
        <f>Retailers!BH121</f>
        <v/>
      </c>
      <c r="BM122" s="64">
        <f>Retailers!BI121</f>
        <v/>
      </c>
      <c r="BN122" s="64">
        <f>Retailers!BJ121</f>
        <v/>
      </c>
      <c r="BP122" s="64" t="n">
        <v>126</v>
      </c>
      <c r="BQ122" s="64">
        <f>#REF!</f>
        <v/>
      </c>
      <c r="BR122" s="64">
        <f>#REF!</f>
        <v/>
      </c>
      <c r="BS122" s="64">
        <f>#REF!</f>
        <v/>
      </c>
      <c r="BU122" s="64" t="n">
        <v>126</v>
      </c>
      <c r="BV122" s="64">
        <f>Retailers!AS121</f>
        <v/>
      </c>
      <c r="BW122" s="64">
        <f>Retailers!AT121</f>
        <v/>
      </c>
      <c r="BX122" s="64">
        <f>Retailers!AU121</f>
        <v/>
      </c>
      <c r="BZ122" s="64" t="n">
        <v>126</v>
      </c>
      <c r="CA122" s="64">
        <f>Results!#REF!</f>
        <v/>
      </c>
      <c r="CB122" s="64">
        <f>Results!#REF!</f>
        <v/>
      </c>
      <c r="CC122" s="64">
        <f>Results!#REF!</f>
        <v/>
      </c>
      <c r="CE122" s="64" t="n">
        <v>126</v>
      </c>
      <c r="CF122" s="64">
        <f>Retailers!BN121</f>
        <v/>
      </c>
      <c r="CG122" s="64">
        <f>Retailers!BO121</f>
        <v/>
      </c>
      <c r="CH122" s="64">
        <f>Retailers!BP121</f>
        <v/>
      </c>
      <c r="CJ122" s="64" t="n">
        <v>126</v>
      </c>
      <c r="CK122" s="64">
        <f>IF(BB122="ret=0",0,IF(BB122&gt;0,AR122+Distributors_Cap!$P$47-BB122,0))</f>
        <v/>
      </c>
      <c r="CL122" s="64">
        <f>IF(BC122="ret=0",0,IF(BC122&gt;0,AS122+Distributors_Cap!$P$47-BC122,0))</f>
        <v/>
      </c>
      <c r="CM122" s="64">
        <f>IF(BD122="ret=0",0,IF(BD122&gt;0,AT122+Distributors_Cap!$P$47-BD122,0))</f>
        <v/>
      </c>
    </row>
    <row r="123">
      <c r="G123" s="64" t="n">
        <v>127</v>
      </c>
      <c r="H123" s="64" t="n">
        <v>82.133</v>
      </c>
      <c r="I123" s="64" t="n">
        <v>58.774</v>
      </c>
      <c r="J123" s="64" t="n">
        <v>75.09099999999999</v>
      </c>
      <c r="L123" s="64">
        <f>TRUNC((_xlfn.NORM.INV((RAND()),$K$7,$K$8)),0)</f>
        <v/>
      </c>
      <c r="M123" s="64" t="n">
        <v>127</v>
      </c>
      <c r="N123" s="5" t="n">
        <v>24</v>
      </c>
      <c r="O123" s="5" t="n">
        <v>32</v>
      </c>
      <c r="P123" s="5" t="n">
        <v>37</v>
      </c>
      <c r="R123" s="2">
        <f>IF(N123&gt;Demand!AU140,0,(IF(((2*(Retailers!AJ122+Distributors_Cap!$P$47)-Retailers_Cap!$BB$7)*(Demand!AU140-Retailers_Cap!N123))&lt;0,0,((IF(BB123&gt;2*(Retailers!AJ122+Distributors_Cap!$P$47),0,(IF(BG123=0,ROUNDUP((2*(Retailers!AJ122+Distributors_Cap!$P$47)-BB123)^0.5,0),ROUNDUP((2*(Retailers!AJ122+Distributors_Cap!$P$47)-BB123)^0.5,0)))))))))</f>
        <v/>
      </c>
      <c r="S123" s="2">
        <f>IF(O123&gt;Demand!AV140,0,(IF(((2*(Retailers!AK122+Distributors_Cap!$P$47)-Retailers_Cap!$BB$7)*(Demand!AV140-Retailers_Cap!O123))&lt;0,0,((IF(BC123&gt;2*(Retailers!AK122+Distributors_Cap!$P$47),0,(IF(BH123=0,ROUNDUP((2*(Retailers!AK122+Distributors_Cap!$P$47)-BC123)^0.5,0),ROUNDUP((2*(Retailers!AK122+Distributors_Cap!$P$47)-BC123)^0.5,0)))))))))</f>
        <v/>
      </c>
      <c r="T123" s="2">
        <f>IF(P123&gt;Demand!AW140,0,(IF(((2*(Retailers!AL122+Distributors_Cap!$P$47)-Retailers_Cap!$BB$7)*(Demand!AW140-Retailers_Cap!P123))&lt;0,0,((IF(BD123&gt;2*(Retailers!AL122+Distributors_Cap!$P$47),0,(IF(BI123=0,ROUNDUP((2*(Retailers!AL122+Distributors_Cap!$P$47)-BD123)^0.5,0),ROUNDUP((2*(Retailers!AL122+Distributors_Cap!$P$47)-BD123)^0.5,0)))))))))</f>
        <v/>
      </c>
      <c r="W123" s="64" t="n">
        <v>127</v>
      </c>
      <c r="X123" s="9" t="n">
        <v>15</v>
      </c>
      <c r="Y123" s="9" t="n">
        <v>0</v>
      </c>
      <c r="Z123" s="9" t="n">
        <v>0</v>
      </c>
      <c r="AB123" s="2">
        <f>ROUNDDOWN(LOG((X123+1),2),0)</f>
        <v/>
      </c>
      <c r="AC123" s="2">
        <f>ROUNDDOWN(LOG((Y123+1),2),0)</f>
        <v/>
      </c>
      <c r="AD123" s="2">
        <f>ROUNDDOWN(LOG((Z123+1),2),0)</f>
        <v/>
      </c>
      <c r="AG123" s="64" t="n">
        <v>127</v>
      </c>
      <c r="AH123" s="9" t="n">
        <v>4</v>
      </c>
      <c r="AI123" s="9" t="n">
        <v>0</v>
      </c>
      <c r="AJ123" s="9" t="n">
        <v>0</v>
      </c>
      <c r="AQ123" s="64" t="n">
        <v>127</v>
      </c>
      <c r="AR123" s="64" t="n">
        <v>82.133</v>
      </c>
      <c r="AS123" s="64" t="n">
        <v>58.774</v>
      </c>
      <c r="AT123" s="64" t="n">
        <v>75.09099999999999</v>
      </c>
      <c r="AV123" s="64" t="n">
        <v>127</v>
      </c>
      <c r="AW123" s="64">
        <f>Beginning_stock!AT151</f>
        <v/>
      </c>
      <c r="AX123" s="64">
        <f>Beginning_stock!AU151</f>
        <v/>
      </c>
      <c r="AY123" s="64">
        <f>Beginning_stock!AV151</f>
        <v/>
      </c>
      <c r="BA123" s="64" t="n">
        <v>127</v>
      </c>
      <c r="BB123" s="64">
        <f>IF(Demand!AU140=Retailers_Cap!N123,"ret=0",(AW123/(Demand!AU140-Retailers_Cap!N123)))</f>
        <v/>
      </c>
      <c r="BC123" s="64">
        <f>IF(Demand!AV140=Retailers_Cap!O123,"ret=0",(AX123/(Demand!AV140-Retailers_Cap!O123)))</f>
        <v/>
      </c>
      <c r="BD123" s="64">
        <f>IF(Demand!AW140=Retailers_Cap!P123,"ret=0",(AY123/(Demand!AW140-Retailers_Cap!P123)))</f>
        <v/>
      </c>
      <c r="BF123" s="64" t="n">
        <v>127</v>
      </c>
      <c r="BG123" s="2">
        <f>IF(Demand!AU140&lt;=Retailers_Cap!N123,"ret=0",(IF(BB123&lt;=AR123+Distributors_Cap!$P$47,1,0)))</f>
        <v/>
      </c>
      <c r="BH123" s="2">
        <f>IF(Demand!AV140&lt;=Retailers_Cap!O123,"ret=0",(IF(BC123&lt;=AS123+Distributors_Cap!$P$47,1,0)))</f>
        <v/>
      </c>
      <c r="BI123" s="2">
        <f>IF(Demand!AW140&lt;=Retailers_Cap!P123,"ret=0",(IF(BD123&lt;=AT123+Distributors_Cap!$P$47,1,0)))</f>
        <v/>
      </c>
      <c r="BK123" s="64" t="n">
        <v>127</v>
      </c>
      <c r="BL123" s="64">
        <f>Retailers!BH122</f>
        <v/>
      </c>
      <c r="BM123" s="64">
        <f>Retailers!BI122</f>
        <v/>
      </c>
      <c r="BN123" s="64">
        <f>Retailers!BJ122</f>
        <v/>
      </c>
      <c r="BP123" s="64" t="n">
        <v>127</v>
      </c>
      <c r="BQ123" s="64">
        <f>#REF!</f>
        <v/>
      </c>
      <c r="BR123" s="64">
        <f>#REF!</f>
        <v/>
      </c>
      <c r="BS123" s="64">
        <f>#REF!</f>
        <v/>
      </c>
      <c r="BU123" s="64" t="n">
        <v>127</v>
      </c>
      <c r="BV123" s="64">
        <f>Retailers!AS122</f>
        <v/>
      </c>
      <c r="BW123" s="64">
        <f>Retailers!AT122</f>
        <v/>
      </c>
      <c r="BX123" s="64">
        <f>Retailers!AU122</f>
        <v/>
      </c>
      <c r="BZ123" s="64" t="n">
        <v>127</v>
      </c>
      <c r="CA123" s="64">
        <f>Results!#REF!</f>
        <v/>
      </c>
      <c r="CB123" s="64">
        <f>Results!#REF!</f>
        <v/>
      </c>
      <c r="CC123" s="64">
        <f>Results!#REF!</f>
        <v/>
      </c>
      <c r="CE123" s="64" t="n">
        <v>127</v>
      </c>
      <c r="CF123" s="64">
        <f>Retailers!BN122</f>
        <v/>
      </c>
      <c r="CG123" s="64">
        <f>Retailers!BO122</f>
        <v/>
      </c>
      <c r="CH123" s="64">
        <f>Retailers!BP122</f>
        <v/>
      </c>
      <c r="CJ123" s="64" t="n">
        <v>127</v>
      </c>
      <c r="CK123" s="64">
        <f>IF(BB123="ret=0",0,IF(BB123&gt;0,AR123+Distributors_Cap!$P$47-BB123,0))</f>
        <v/>
      </c>
      <c r="CL123" s="64">
        <f>IF(BC123="ret=0",0,IF(BC123&gt;0,AS123+Distributors_Cap!$P$47-BC123,0))</f>
        <v/>
      </c>
      <c r="CM123" s="64">
        <f>IF(BD123="ret=0",0,IF(BD123&gt;0,AT123+Distributors_Cap!$P$47-BD123,0))</f>
        <v/>
      </c>
    </row>
    <row r="124">
      <c r="G124" s="64" t="n">
        <v>128</v>
      </c>
      <c r="H124" s="64" t="n">
        <v>40.735</v>
      </c>
      <c r="I124" s="64" t="n">
        <v>46.714</v>
      </c>
      <c r="J124" s="64" t="n">
        <v>59.459</v>
      </c>
      <c r="L124" s="64">
        <f>TRUNC((_xlfn.NORM.INV((RAND()),$K$7,$K$8)),0)</f>
        <v/>
      </c>
      <c r="M124" s="64" t="n">
        <v>128</v>
      </c>
      <c r="N124" s="5" t="n">
        <v>31</v>
      </c>
      <c r="O124" s="5" t="n">
        <v>36</v>
      </c>
      <c r="P124" s="5" t="n">
        <v>22</v>
      </c>
      <c r="R124" s="2">
        <f>IF(N124&gt;Demand!AU141,0,(IF(((2*(Retailers!AJ123+Distributors_Cap!$P$47)-Retailers_Cap!$BB$7)*(Demand!AU141-Retailers_Cap!N124))&lt;0,0,((IF(BB124&gt;2*(Retailers!AJ123+Distributors_Cap!$P$47),0,(IF(BG124=0,ROUNDUP((2*(Retailers!AJ123+Distributors_Cap!$P$47)-BB124)^0.5,0),ROUNDUP((2*(Retailers!AJ123+Distributors_Cap!$P$47)-BB124)^0.5,0)))))))))</f>
        <v/>
      </c>
      <c r="S124" s="2">
        <f>IF(O124&gt;Demand!AV141,0,(IF(((2*(Retailers!AK123+Distributors_Cap!$P$47)-Retailers_Cap!$BB$7)*(Demand!AV141-Retailers_Cap!O124))&lt;0,0,((IF(BC124&gt;2*(Retailers!AK123+Distributors_Cap!$P$47),0,(IF(BH124=0,ROUNDUP((2*(Retailers!AK123+Distributors_Cap!$P$47)-BC124)^0.5,0),ROUNDUP((2*(Retailers!AK123+Distributors_Cap!$P$47)-BC124)^0.5,0)))))))))</f>
        <v/>
      </c>
      <c r="T124" s="2">
        <f>IF(P124&gt;Demand!AW141,0,(IF(((2*(Retailers!AL123+Distributors_Cap!$P$47)-Retailers_Cap!$BB$7)*(Demand!AW141-Retailers_Cap!P124))&lt;0,0,((IF(BD124&gt;2*(Retailers!AL123+Distributors_Cap!$P$47),0,(IF(BI124=0,ROUNDUP((2*(Retailers!AL123+Distributors_Cap!$P$47)-BD124)^0.5,0),ROUNDUP((2*(Retailers!AL123+Distributors_Cap!$P$47)-BD124)^0.5,0)))))))))</f>
        <v/>
      </c>
      <c r="W124" s="64" t="n">
        <v>128</v>
      </c>
      <c r="X124" s="9" t="n">
        <v>0</v>
      </c>
      <c r="Y124" s="9" t="n">
        <v>0</v>
      </c>
      <c r="Z124" s="9" t="n">
        <v>0</v>
      </c>
      <c r="AB124" s="2">
        <f>ROUNDDOWN(LOG((X124+1),2),0)</f>
        <v/>
      </c>
      <c r="AC124" s="2">
        <f>ROUNDDOWN(LOG((Y124+1),2),0)</f>
        <v/>
      </c>
      <c r="AD124" s="2">
        <f>ROUNDDOWN(LOG((Z124+1),2),0)</f>
        <v/>
      </c>
      <c r="AG124" s="64" t="n">
        <v>128</v>
      </c>
      <c r="AH124" s="9" t="n">
        <v>0</v>
      </c>
      <c r="AI124" s="9" t="n">
        <v>0</v>
      </c>
      <c r="AJ124" s="9" t="n">
        <v>0</v>
      </c>
      <c r="AQ124" s="64" t="n">
        <v>128</v>
      </c>
      <c r="AR124" s="64" t="n">
        <v>40.735</v>
      </c>
      <c r="AS124" s="64" t="n">
        <v>46.714</v>
      </c>
      <c r="AT124" s="64" t="n">
        <v>59.459</v>
      </c>
      <c r="AV124" s="64" t="n">
        <v>128</v>
      </c>
      <c r="AW124" s="64">
        <f>Beginning_stock!AT152</f>
        <v/>
      </c>
      <c r="AX124" s="64">
        <f>Beginning_stock!AU152</f>
        <v/>
      </c>
      <c r="AY124" s="64">
        <f>Beginning_stock!AV152</f>
        <v/>
      </c>
      <c r="BA124" s="64" t="n">
        <v>128</v>
      </c>
      <c r="BB124" s="64">
        <f>IF(Demand!AU141=Retailers_Cap!N124,"ret=0",(AW124/(Demand!AU141-Retailers_Cap!N124)))</f>
        <v/>
      </c>
      <c r="BC124" s="64">
        <f>IF(Demand!AV141=Retailers_Cap!O124,"ret=0",(AX124/(Demand!AV141-Retailers_Cap!O124)))</f>
        <v/>
      </c>
      <c r="BD124" s="64">
        <f>IF(Demand!AW141=Retailers_Cap!P124,"ret=0",(AY124/(Demand!AW141-Retailers_Cap!P124)))</f>
        <v/>
      </c>
      <c r="BF124" s="64" t="n">
        <v>128</v>
      </c>
      <c r="BG124" s="2">
        <f>IF(Demand!AU141&lt;=Retailers_Cap!N124,"ret=0",(IF(BB124&lt;=AR124+Distributors_Cap!$P$47,1,0)))</f>
        <v/>
      </c>
      <c r="BH124" s="2">
        <f>IF(Demand!AV141&lt;=Retailers_Cap!O124,"ret=0",(IF(BC124&lt;=AS124+Distributors_Cap!$P$47,1,0)))</f>
        <v/>
      </c>
      <c r="BI124" s="2">
        <f>IF(Demand!AW141&lt;=Retailers_Cap!P124,"ret=0",(IF(BD124&lt;=AT124+Distributors_Cap!$P$47,1,0)))</f>
        <v/>
      </c>
      <c r="BK124" s="64" t="n">
        <v>128</v>
      </c>
      <c r="BL124" s="64">
        <f>Retailers!BH123</f>
        <v/>
      </c>
      <c r="BM124" s="64">
        <f>Retailers!BI123</f>
        <v/>
      </c>
      <c r="BN124" s="64">
        <f>Retailers!BJ123</f>
        <v/>
      </c>
      <c r="BP124" s="64" t="n">
        <v>128</v>
      </c>
      <c r="BQ124" s="64">
        <f>#REF!</f>
        <v/>
      </c>
      <c r="BR124" s="64">
        <f>#REF!</f>
        <v/>
      </c>
      <c r="BS124" s="64">
        <f>#REF!</f>
        <v/>
      </c>
      <c r="BU124" s="64" t="n">
        <v>128</v>
      </c>
      <c r="BV124" s="64">
        <f>Retailers!AS123</f>
        <v/>
      </c>
      <c r="BW124" s="64">
        <f>Retailers!AT123</f>
        <v/>
      </c>
      <c r="BX124" s="64">
        <f>Retailers!AU123</f>
        <v/>
      </c>
      <c r="BZ124" s="64" t="n">
        <v>128</v>
      </c>
      <c r="CA124" s="64">
        <f>Results!#REF!</f>
        <v/>
      </c>
      <c r="CB124" s="64">
        <f>Results!#REF!</f>
        <v/>
      </c>
      <c r="CC124" s="64">
        <f>Results!#REF!</f>
        <v/>
      </c>
      <c r="CE124" s="64" t="n">
        <v>128</v>
      </c>
      <c r="CF124" s="64">
        <f>Retailers!BN123</f>
        <v/>
      </c>
      <c r="CG124" s="64">
        <f>Retailers!BO123</f>
        <v/>
      </c>
      <c r="CH124" s="64">
        <f>Retailers!BP123</f>
        <v/>
      </c>
      <c r="CJ124" s="64" t="n">
        <v>128</v>
      </c>
      <c r="CK124" s="64">
        <f>IF(BB124="ret=0",0,IF(BB124&gt;0,AR124+Distributors_Cap!$P$47-BB124,0))</f>
        <v/>
      </c>
      <c r="CL124" s="64">
        <f>IF(BC124="ret=0",0,IF(BC124&gt;0,AS124+Distributors_Cap!$P$47-BC124,0))</f>
        <v/>
      </c>
      <c r="CM124" s="64">
        <f>IF(BD124="ret=0",0,IF(BD124&gt;0,AT124+Distributors_Cap!$P$47-BD124,0))</f>
        <v/>
      </c>
    </row>
    <row r="125">
      <c r="G125" s="64" t="n">
        <v>129</v>
      </c>
      <c r="H125" s="64" t="n">
        <v>52.521</v>
      </c>
      <c r="I125" s="64" t="n">
        <v>44.615</v>
      </c>
      <c r="J125" s="64" t="n">
        <v>62.786</v>
      </c>
      <c r="L125" s="64">
        <f>TRUNC((_xlfn.NORM.INV((RAND()),$K$7,$K$8)),0)</f>
        <v/>
      </c>
      <c r="M125" s="64" t="n">
        <v>129</v>
      </c>
      <c r="N125" s="5" t="n">
        <v>35</v>
      </c>
      <c r="O125" s="5" t="n">
        <v>15</v>
      </c>
      <c r="P125" s="5" t="n">
        <v>33</v>
      </c>
      <c r="R125" s="2">
        <f>IF(N125&gt;Demand!AU142,0,(IF(((2*(Retailers!AJ124+Distributors_Cap!$P$47)-Retailers_Cap!$BB$7)*(Demand!AU142-Retailers_Cap!N125))&lt;0,0,((IF(BB125&gt;2*(Retailers!AJ124+Distributors_Cap!$P$47),0,(IF(BG125=0,ROUNDUP((2*(Retailers!AJ124+Distributors_Cap!$P$47)-BB125)^0.5,0),ROUNDUP((2*(Retailers!AJ124+Distributors_Cap!$P$47)-BB125)^0.5,0)))))))))</f>
        <v/>
      </c>
      <c r="S125" s="2">
        <f>IF(O125&gt;Demand!AV142,0,(IF(((2*(Retailers!AK124+Distributors_Cap!$P$47)-Retailers_Cap!$BB$7)*(Demand!AV142-Retailers_Cap!O125))&lt;0,0,((IF(BC125&gt;2*(Retailers!AK124+Distributors_Cap!$P$47),0,(IF(BH125=0,ROUNDUP((2*(Retailers!AK124+Distributors_Cap!$P$47)-BC125)^0.5,0),ROUNDUP((2*(Retailers!AK124+Distributors_Cap!$P$47)-BC125)^0.5,0)))))))))</f>
        <v/>
      </c>
      <c r="T125" s="2">
        <f>IF(P125&gt;Demand!AW142,0,(IF(((2*(Retailers!AL124+Distributors_Cap!$P$47)-Retailers_Cap!$BB$7)*(Demand!AW142-Retailers_Cap!P125))&lt;0,0,((IF(BD125&gt;2*(Retailers!AL124+Distributors_Cap!$P$47),0,(IF(BI125=0,ROUNDUP((2*(Retailers!AL124+Distributors_Cap!$P$47)-BD125)^0.5,0),ROUNDUP((2*(Retailers!AL124+Distributors_Cap!$P$47)-BD125)^0.5,0)))))))))</f>
        <v/>
      </c>
      <c r="W125" s="64" t="n">
        <v>129</v>
      </c>
      <c r="X125" s="9" t="n">
        <v>0</v>
      </c>
      <c r="Y125" s="9" t="n">
        <v>11</v>
      </c>
      <c r="Z125" s="9" t="n">
        <v>0</v>
      </c>
      <c r="AB125" s="2">
        <f>ROUNDDOWN(LOG((X125+1),2),0)</f>
        <v/>
      </c>
      <c r="AC125" s="2">
        <f>ROUNDDOWN(LOG((Y125+1),2),0)</f>
        <v/>
      </c>
      <c r="AD125" s="2">
        <f>ROUNDDOWN(LOG((Z125+1),2),0)</f>
        <v/>
      </c>
      <c r="AG125" s="64" t="n">
        <v>129</v>
      </c>
      <c r="AH125" s="9" t="n">
        <v>0</v>
      </c>
      <c r="AI125" s="9" t="n">
        <v>3</v>
      </c>
      <c r="AJ125" s="9" t="n">
        <v>0</v>
      </c>
      <c r="AQ125" s="64" t="n">
        <v>129</v>
      </c>
      <c r="AR125" s="64" t="n">
        <v>52.521</v>
      </c>
      <c r="AS125" s="64" t="n">
        <v>44.615</v>
      </c>
      <c r="AT125" s="64" t="n">
        <v>62.786</v>
      </c>
      <c r="AV125" s="64" t="n">
        <v>129</v>
      </c>
      <c r="AW125" s="64">
        <f>Beginning_stock!AT153</f>
        <v/>
      </c>
      <c r="AX125" s="64">
        <f>Beginning_stock!AU153</f>
        <v/>
      </c>
      <c r="AY125" s="64">
        <f>Beginning_stock!AV153</f>
        <v/>
      </c>
      <c r="BA125" s="64" t="n">
        <v>129</v>
      </c>
      <c r="BB125" s="64">
        <f>IF(Demand!AU142=Retailers_Cap!N125,"ret=0",(AW125/(Demand!AU142-Retailers_Cap!N125)))</f>
        <v/>
      </c>
      <c r="BC125" s="64">
        <f>IF(Demand!AV142=Retailers_Cap!O125,"ret=0",(AX125/(Demand!AV142-Retailers_Cap!O125)))</f>
        <v/>
      </c>
      <c r="BD125" s="64">
        <f>IF(Demand!AW142=Retailers_Cap!P125,"ret=0",(AY125/(Demand!AW142-Retailers_Cap!P125)))</f>
        <v/>
      </c>
      <c r="BF125" s="64" t="n">
        <v>129</v>
      </c>
      <c r="BG125" s="2">
        <f>IF(Demand!AU142&lt;=Retailers_Cap!N125,"ret=0",(IF(BB125&lt;=AR125+Distributors_Cap!$P$47,1,0)))</f>
        <v/>
      </c>
      <c r="BH125" s="2">
        <f>IF(Demand!AV142&lt;=Retailers_Cap!O125,"ret=0",(IF(BC125&lt;=AS125+Distributors_Cap!$P$47,1,0)))</f>
        <v/>
      </c>
      <c r="BI125" s="2">
        <f>IF(Demand!AW142&lt;=Retailers_Cap!P125,"ret=0",(IF(BD125&lt;=AT125+Distributors_Cap!$P$47,1,0)))</f>
        <v/>
      </c>
      <c r="BK125" s="64" t="n">
        <v>129</v>
      </c>
      <c r="BL125" s="64">
        <f>Retailers!BH124</f>
        <v/>
      </c>
      <c r="BM125" s="64">
        <f>Retailers!BI124</f>
        <v/>
      </c>
      <c r="BN125" s="64">
        <f>Retailers!BJ124</f>
        <v/>
      </c>
      <c r="BP125" s="64" t="n">
        <v>129</v>
      </c>
      <c r="BQ125" s="64">
        <f>#REF!</f>
        <v/>
      </c>
      <c r="BR125" s="64">
        <f>#REF!</f>
        <v/>
      </c>
      <c r="BS125" s="64">
        <f>#REF!</f>
        <v/>
      </c>
      <c r="BU125" s="64" t="n">
        <v>129</v>
      </c>
      <c r="BV125" s="64">
        <f>Retailers!AS124</f>
        <v/>
      </c>
      <c r="BW125" s="64">
        <f>Retailers!AT124</f>
        <v/>
      </c>
      <c r="BX125" s="64">
        <f>Retailers!AU124</f>
        <v/>
      </c>
      <c r="BZ125" s="64" t="n">
        <v>129</v>
      </c>
      <c r="CA125" s="64">
        <f>Results!#REF!</f>
        <v/>
      </c>
      <c r="CB125" s="64">
        <f>Results!#REF!</f>
        <v/>
      </c>
      <c r="CC125" s="64">
        <f>Results!#REF!</f>
        <v/>
      </c>
      <c r="CE125" s="64" t="n">
        <v>129</v>
      </c>
      <c r="CF125" s="64">
        <f>Retailers!BN124</f>
        <v/>
      </c>
      <c r="CG125" s="64">
        <f>Retailers!BO124</f>
        <v/>
      </c>
      <c r="CH125" s="64">
        <f>Retailers!BP124</f>
        <v/>
      </c>
      <c r="CJ125" s="64" t="n">
        <v>129</v>
      </c>
      <c r="CK125" s="64">
        <f>IF(BB125="ret=0",0,IF(BB125&gt;0,AR125+Distributors_Cap!$P$47-BB125,0))</f>
        <v/>
      </c>
      <c r="CL125" s="64">
        <f>IF(BC125="ret=0",0,IF(BC125&gt;0,AS125+Distributors_Cap!$P$47-BC125,0))</f>
        <v/>
      </c>
      <c r="CM125" s="64">
        <f>IF(BD125="ret=0",0,IF(BD125&gt;0,AT125+Distributors_Cap!$P$47-BD125,0))</f>
        <v/>
      </c>
    </row>
    <row r="126">
      <c r="G126" s="64" t="n">
        <v>130</v>
      </c>
      <c r="H126" s="64" t="n">
        <v>63.304</v>
      </c>
      <c r="I126" s="64" t="n">
        <v>52.59</v>
      </c>
      <c r="J126" s="64" t="n">
        <v>64.55</v>
      </c>
      <c r="L126" s="64">
        <f>TRUNC((_xlfn.NORM.INV((RAND()),$K$7,$K$8)),0)</f>
        <v/>
      </c>
      <c r="M126" s="64" t="n">
        <v>130</v>
      </c>
      <c r="N126" s="5" t="n">
        <v>34</v>
      </c>
      <c r="O126" s="5" t="n">
        <v>36</v>
      </c>
      <c r="P126" s="5" t="n">
        <v>33</v>
      </c>
      <c r="R126" s="2">
        <f>IF(N126&gt;Demand!AU143,0,(IF(((2*(Retailers!AJ125+Distributors_Cap!$P$47)-Retailers_Cap!$BB$7)*(Demand!AU143-Retailers_Cap!N126))&lt;0,0,((IF(BB126&gt;2*(Retailers!AJ125+Distributors_Cap!$P$47),0,(IF(BG126=0,ROUNDUP((2*(Retailers!AJ125+Distributors_Cap!$P$47)-BB126)^0.5,0),ROUNDUP((2*(Retailers!AJ125+Distributors_Cap!$P$47)-BB126)^0.5,0)))))))))</f>
        <v/>
      </c>
      <c r="S126" s="2">
        <f>IF(O126&gt;Demand!AV143,0,(IF(((2*(Retailers!AK125+Distributors_Cap!$P$47)-Retailers_Cap!$BB$7)*(Demand!AV143-Retailers_Cap!O126))&lt;0,0,((IF(BC126&gt;2*(Retailers!AK125+Distributors_Cap!$P$47),0,(IF(BH126=0,ROUNDUP((2*(Retailers!AK125+Distributors_Cap!$P$47)-BC126)^0.5,0),ROUNDUP((2*(Retailers!AK125+Distributors_Cap!$P$47)-BC126)^0.5,0)))))))))</f>
        <v/>
      </c>
      <c r="T126" s="2">
        <f>IF(P126&gt;Demand!AW143,0,(IF(((2*(Retailers!AL125+Distributors_Cap!$P$47)-Retailers_Cap!$BB$7)*(Demand!AW143-Retailers_Cap!P126))&lt;0,0,((IF(BD126&gt;2*(Retailers!AL125+Distributors_Cap!$P$47),0,(IF(BI126=0,ROUNDUP((2*(Retailers!AL125+Distributors_Cap!$P$47)-BD126)^0.5,0),ROUNDUP((2*(Retailers!AL125+Distributors_Cap!$P$47)-BD126)^0.5,0)))))))))</f>
        <v/>
      </c>
      <c r="W126" s="64" t="n">
        <v>130</v>
      </c>
      <c r="X126" s="9" t="n">
        <v>0</v>
      </c>
      <c r="Y126" s="9" t="n">
        <v>0</v>
      </c>
      <c r="Z126" s="9" t="n">
        <v>0</v>
      </c>
      <c r="AB126" s="2">
        <f>ROUNDDOWN(LOG((X126+1),2),0)</f>
        <v/>
      </c>
      <c r="AC126" s="2">
        <f>ROUNDDOWN(LOG((Y126+1),2),0)</f>
        <v/>
      </c>
      <c r="AD126" s="2">
        <f>ROUNDDOWN(LOG((Z126+1),2),0)</f>
        <v/>
      </c>
      <c r="AG126" s="64" t="n">
        <v>130</v>
      </c>
      <c r="AH126" s="9" t="n">
        <v>0</v>
      </c>
      <c r="AI126" s="9" t="n">
        <v>0</v>
      </c>
      <c r="AJ126" s="9" t="n">
        <v>0</v>
      </c>
      <c r="AQ126" s="64" t="n">
        <v>130</v>
      </c>
      <c r="AR126" s="64" t="n">
        <v>63.304</v>
      </c>
      <c r="AS126" s="64" t="n">
        <v>52.59</v>
      </c>
      <c r="AT126" s="64" t="n">
        <v>64.55</v>
      </c>
      <c r="AV126" s="64" t="n">
        <v>130</v>
      </c>
      <c r="AW126" s="64">
        <f>Beginning_stock!AT154</f>
        <v/>
      </c>
      <c r="AX126" s="64">
        <f>Beginning_stock!AU154</f>
        <v/>
      </c>
      <c r="AY126" s="64">
        <f>Beginning_stock!AV154</f>
        <v/>
      </c>
      <c r="BA126" s="64" t="n">
        <v>130</v>
      </c>
      <c r="BB126" s="64">
        <f>IF(Demand!AU143=Retailers_Cap!N126,"ret=0",(AW126/(Demand!AU143-Retailers_Cap!N126)))</f>
        <v/>
      </c>
      <c r="BC126" s="64">
        <f>IF(Demand!AV143=Retailers_Cap!O126,"ret=0",(AX126/(Demand!AV143-Retailers_Cap!O126)))</f>
        <v/>
      </c>
      <c r="BD126" s="64">
        <f>IF(Demand!AW143=Retailers_Cap!P126,"ret=0",(AY126/(Demand!AW143-Retailers_Cap!P126)))</f>
        <v/>
      </c>
      <c r="BF126" s="64" t="n">
        <v>130</v>
      </c>
      <c r="BG126" s="2">
        <f>IF(Demand!AU143&lt;=Retailers_Cap!N126,"ret=0",(IF(BB126&lt;=AR126+Distributors_Cap!$P$47,1,0)))</f>
        <v/>
      </c>
      <c r="BH126" s="2">
        <f>IF(Demand!AV143&lt;=Retailers_Cap!O126,"ret=0",(IF(BC126&lt;=AS126+Distributors_Cap!$P$47,1,0)))</f>
        <v/>
      </c>
      <c r="BI126" s="2">
        <f>IF(Demand!AW143&lt;=Retailers_Cap!P126,"ret=0",(IF(BD126&lt;=AT126+Distributors_Cap!$P$47,1,0)))</f>
        <v/>
      </c>
      <c r="BK126" s="64" t="n">
        <v>130</v>
      </c>
      <c r="BL126" s="64">
        <f>Retailers!BH125</f>
        <v/>
      </c>
      <c r="BM126" s="64">
        <f>Retailers!BI125</f>
        <v/>
      </c>
      <c r="BN126" s="64">
        <f>Retailers!BJ125</f>
        <v/>
      </c>
      <c r="BP126" s="64" t="n">
        <v>130</v>
      </c>
      <c r="BQ126" s="64">
        <f>#REF!</f>
        <v/>
      </c>
      <c r="BR126" s="64">
        <f>#REF!</f>
        <v/>
      </c>
      <c r="BS126" s="64">
        <f>#REF!</f>
        <v/>
      </c>
      <c r="BU126" s="64" t="n">
        <v>130</v>
      </c>
      <c r="BV126" s="64">
        <f>Retailers!AS125</f>
        <v/>
      </c>
      <c r="BW126" s="64">
        <f>Retailers!AT125</f>
        <v/>
      </c>
      <c r="BX126" s="64">
        <f>Retailers!AU125</f>
        <v/>
      </c>
      <c r="BZ126" s="64" t="n">
        <v>130</v>
      </c>
      <c r="CA126" s="64">
        <f>Results!#REF!</f>
        <v/>
      </c>
      <c r="CB126" s="64">
        <f>Results!#REF!</f>
        <v/>
      </c>
      <c r="CC126" s="64">
        <f>Results!#REF!</f>
        <v/>
      </c>
      <c r="CE126" s="64" t="n">
        <v>130</v>
      </c>
      <c r="CF126" s="64">
        <f>Retailers!BN125</f>
        <v/>
      </c>
      <c r="CG126" s="64">
        <f>Retailers!BO125</f>
        <v/>
      </c>
      <c r="CH126" s="64">
        <f>Retailers!BP125</f>
        <v/>
      </c>
      <c r="CJ126" s="64" t="n">
        <v>130</v>
      </c>
      <c r="CK126" s="64">
        <f>IF(BB126="ret=0",0,IF(BB126&gt;0,AR126+Distributors_Cap!$P$47-BB126,0))</f>
        <v/>
      </c>
      <c r="CL126" s="64">
        <f>IF(BC126="ret=0",0,IF(BC126&gt;0,AS126+Distributors_Cap!$P$47-BC126,0))</f>
        <v/>
      </c>
      <c r="CM126" s="64">
        <f>IF(BD126="ret=0",0,IF(BD126&gt;0,AT126+Distributors_Cap!$P$47-BD126,0))</f>
        <v/>
      </c>
    </row>
    <row r="127">
      <c r="G127" s="64" t="n">
        <v>131</v>
      </c>
      <c r="H127" s="64" t="n">
        <v>51.298</v>
      </c>
      <c r="I127" s="64" t="n">
        <v>53.645</v>
      </c>
      <c r="J127" s="64" t="n">
        <v>66.53</v>
      </c>
      <c r="L127" s="64">
        <f>TRUNC((_xlfn.NORM.INV((RAND()),$K$7,$K$8)),0)</f>
        <v/>
      </c>
      <c r="M127" s="64" t="n">
        <v>131</v>
      </c>
      <c r="N127" s="5" t="n">
        <v>40</v>
      </c>
      <c r="O127" s="5" t="n">
        <v>28</v>
      </c>
      <c r="P127" s="5" t="n">
        <v>19</v>
      </c>
      <c r="R127" s="2">
        <f>IF(N127&gt;Demand!AU144,0,(IF(((2*(Retailers!AJ126+Distributors_Cap!$P$47)-Retailers_Cap!$BB$7)*(Demand!AU144-Retailers_Cap!N127))&lt;0,0,((IF(BB127&gt;2*(Retailers!AJ126+Distributors_Cap!$P$47),0,(IF(BG127=0,ROUNDUP((2*(Retailers!AJ126+Distributors_Cap!$P$47)-BB127)^0.5,0),ROUNDUP((2*(Retailers!AJ126+Distributors_Cap!$P$47)-BB127)^0.5,0)))))))))</f>
        <v/>
      </c>
      <c r="S127" s="2">
        <f>IF(O127&gt;Demand!AV144,0,(IF(((2*(Retailers!AK126+Distributors_Cap!$P$47)-Retailers_Cap!$BB$7)*(Demand!AV144-Retailers_Cap!O127))&lt;0,0,((IF(BC127&gt;2*(Retailers!AK126+Distributors_Cap!$P$47),0,(IF(BH127=0,ROUNDUP((2*(Retailers!AK126+Distributors_Cap!$P$47)-BC127)^0.5,0),ROUNDUP((2*(Retailers!AK126+Distributors_Cap!$P$47)-BC127)^0.5,0)))))))))</f>
        <v/>
      </c>
      <c r="T127" s="2">
        <f>IF(P127&gt;Demand!AW144,0,(IF(((2*(Retailers!AL126+Distributors_Cap!$P$47)-Retailers_Cap!$BB$7)*(Demand!AW144-Retailers_Cap!P127))&lt;0,0,((IF(BD127&gt;2*(Retailers!AL126+Distributors_Cap!$P$47),0,(IF(BI127=0,ROUNDUP((2*(Retailers!AL126+Distributors_Cap!$P$47)-BD127)^0.5,0),ROUNDUP((2*(Retailers!AL126+Distributors_Cap!$P$47)-BD127)^0.5,0)))))))))</f>
        <v/>
      </c>
      <c r="W127" s="64" t="n">
        <v>131</v>
      </c>
      <c r="X127" s="9" t="n">
        <v>0</v>
      </c>
      <c r="Y127" s="9" t="n">
        <v>12</v>
      </c>
      <c r="Z127" s="9" t="n">
        <v>14</v>
      </c>
      <c r="AB127" s="2">
        <f>ROUNDDOWN(LOG((X127+1),2),0)</f>
        <v/>
      </c>
      <c r="AC127" s="2">
        <f>ROUNDDOWN(LOG((Y127+1),2),0)</f>
        <v/>
      </c>
      <c r="AD127" s="2">
        <f>ROUNDDOWN(LOG((Z127+1),2),0)</f>
        <v/>
      </c>
      <c r="AG127" s="64" t="n">
        <v>131</v>
      </c>
      <c r="AH127" s="9" t="n">
        <v>0</v>
      </c>
      <c r="AI127" s="9" t="n">
        <v>3</v>
      </c>
      <c r="AJ127" s="9" t="n">
        <v>3</v>
      </c>
      <c r="AQ127" s="64" t="n">
        <v>131</v>
      </c>
      <c r="AR127" s="64" t="n">
        <v>51.298</v>
      </c>
      <c r="AS127" s="64" t="n">
        <v>53.645</v>
      </c>
      <c r="AT127" s="64" t="n">
        <v>66.53</v>
      </c>
      <c r="AV127" s="64" t="n">
        <v>131</v>
      </c>
      <c r="AW127" s="64">
        <f>Beginning_stock!AT155</f>
        <v/>
      </c>
      <c r="AX127" s="64">
        <f>Beginning_stock!AU155</f>
        <v/>
      </c>
      <c r="AY127" s="64">
        <f>Beginning_stock!AV155</f>
        <v/>
      </c>
      <c r="BA127" s="64" t="n">
        <v>131</v>
      </c>
      <c r="BB127" s="64">
        <f>IF(Demand!AU144=Retailers_Cap!N127,"ret=0",(AW127/(Demand!AU144-Retailers_Cap!N127)))</f>
        <v/>
      </c>
      <c r="BC127" s="64">
        <f>IF(Demand!AV144=Retailers_Cap!O127,"ret=0",(AX127/(Demand!AV144-Retailers_Cap!O127)))</f>
        <v/>
      </c>
      <c r="BD127" s="64">
        <f>IF(Demand!AW144=Retailers_Cap!P127,"ret=0",(AY127/(Demand!AW144-Retailers_Cap!P127)))</f>
        <v/>
      </c>
      <c r="BF127" s="64" t="n">
        <v>131</v>
      </c>
      <c r="BG127" s="2">
        <f>IF(Demand!AU144&lt;=Retailers_Cap!N127,"ret=0",(IF(BB127&lt;=AR127+Distributors_Cap!$P$47,1,0)))</f>
        <v/>
      </c>
      <c r="BH127" s="2">
        <f>IF(Demand!AV144&lt;=Retailers_Cap!O127,"ret=0",(IF(BC127&lt;=AS127+Distributors_Cap!$P$47,1,0)))</f>
        <v/>
      </c>
      <c r="BI127" s="2">
        <f>IF(Demand!AW144&lt;=Retailers_Cap!P127,"ret=0",(IF(BD127&lt;=AT127+Distributors_Cap!$P$47,1,0)))</f>
        <v/>
      </c>
      <c r="BK127" s="64" t="n">
        <v>131</v>
      </c>
      <c r="BL127" s="64">
        <f>Retailers!BH126</f>
        <v/>
      </c>
      <c r="BM127" s="64">
        <f>Retailers!BI126</f>
        <v/>
      </c>
      <c r="BN127" s="64">
        <f>Retailers!BJ126</f>
        <v/>
      </c>
      <c r="BP127" s="64" t="n">
        <v>131</v>
      </c>
      <c r="BQ127" s="64">
        <f>#REF!</f>
        <v/>
      </c>
      <c r="BR127" s="64">
        <f>#REF!</f>
        <v/>
      </c>
      <c r="BS127" s="64">
        <f>#REF!</f>
        <v/>
      </c>
      <c r="BU127" s="64" t="n">
        <v>131</v>
      </c>
      <c r="BV127" s="64">
        <f>Retailers!AS126</f>
        <v/>
      </c>
      <c r="BW127" s="64">
        <f>Retailers!AT126</f>
        <v/>
      </c>
      <c r="BX127" s="64">
        <f>Retailers!AU126</f>
        <v/>
      </c>
      <c r="BZ127" s="64" t="n">
        <v>131</v>
      </c>
      <c r="CA127" s="64">
        <f>Results!#REF!</f>
        <v/>
      </c>
      <c r="CB127" s="64">
        <f>Results!#REF!</f>
        <v/>
      </c>
      <c r="CC127" s="64">
        <f>Results!#REF!</f>
        <v/>
      </c>
      <c r="CE127" s="64" t="n">
        <v>131</v>
      </c>
      <c r="CF127" s="64">
        <f>Retailers!BN126</f>
        <v/>
      </c>
      <c r="CG127" s="64">
        <f>Retailers!BO126</f>
        <v/>
      </c>
      <c r="CH127" s="64">
        <f>Retailers!BP126</f>
        <v/>
      </c>
      <c r="CJ127" s="64" t="n">
        <v>131</v>
      </c>
      <c r="CK127" s="64">
        <f>IF(BB127="ret=0",0,IF(BB127&gt;0,AR127+Distributors_Cap!$P$47-BB127,0))</f>
        <v/>
      </c>
      <c r="CL127" s="64">
        <f>IF(BC127="ret=0",0,IF(BC127&gt;0,AS127+Distributors_Cap!$P$47-BC127,0))</f>
        <v/>
      </c>
      <c r="CM127" s="64">
        <f>IF(BD127="ret=0",0,IF(BD127&gt;0,AT127+Distributors_Cap!$P$47-BD127,0))</f>
        <v/>
      </c>
    </row>
    <row r="128">
      <c r="G128" s="64" t="n">
        <v>132</v>
      </c>
      <c r="H128" s="64" t="n">
        <v>42.887</v>
      </c>
      <c r="I128" s="64" t="n">
        <v>71.17</v>
      </c>
      <c r="J128" s="64" t="n">
        <v>46.726</v>
      </c>
      <c r="L128" s="64">
        <f>TRUNC((_xlfn.NORM.INV((RAND()),$K$7,$K$8)),0)</f>
        <v/>
      </c>
      <c r="M128" s="64" t="n">
        <v>132</v>
      </c>
      <c r="N128" s="5" t="n">
        <v>13</v>
      </c>
      <c r="O128" s="5" t="n">
        <v>40</v>
      </c>
      <c r="P128" s="5" t="n">
        <v>36</v>
      </c>
      <c r="R128" s="2">
        <f>IF(N128&gt;Demand!AU145,0,(IF(((2*(Retailers!AJ127+Distributors_Cap!$P$47)-Retailers_Cap!$BB$7)*(Demand!AU145-Retailers_Cap!N128))&lt;0,0,((IF(BB128&gt;2*(Retailers!AJ127+Distributors_Cap!$P$47),0,(IF(BG128=0,ROUNDUP((2*(Retailers!AJ127+Distributors_Cap!$P$47)-BB128)^0.5,0),ROUNDUP((2*(Retailers!AJ127+Distributors_Cap!$P$47)-BB128)^0.5,0)))))))))</f>
        <v/>
      </c>
      <c r="S128" s="2">
        <f>IF(O128&gt;Demand!AV145,0,(IF(((2*(Retailers!AK127+Distributors_Cap!$P$47)-Retailers_Cap!$BB$7)*(Demand!AV145-Retailers_Cap!O128))&lt;0,0,((IF(BC128&gt;2*(Retailers!AK127+Distributors_Cap!$P$47),0,(IF(BH128=0,ROUNDUP((2*(Retailers!AK127+Distributors_Cap!$P$47)-BC128)^0.5,0),ROUNDUP((2*(Retailers!AK127+Distributors_Cap!$P$47)-BC128)^0.5,0)))))))))</f>
        <v/>
      </c>
      <c r="T128" s="2">
        <f>IF(P128&gt;Demand!AW145,0,(IF(((2*(Retailers!AL127+Distributors_Cap!$P$47)-Retailers_Cap!$BB$7)*(Demand!AW145-Retailers_Cap!P128))&lt;0,0,((IF(BD128&gt;2*(Retailers!AL127+Distributors_Cap!$P$47),0,(IF(BI128=0,ROUNDUP((2*(Retailers!AL127+Distributors_Cap!$P$47)-BD128)^0.5,0),ROUNDUP((2*(Retailers!AL127+Distributors_Cap!$P$47)-BD128)^0.5,0)))))))))</f>
        <v/>
      </c>
      <c r="W128" s="64" t="n">
        <v>132</v>
      </c>
      <c r="X128" s="9" t="n">
        <v>12</v>
      </c>
      <c r="Y128" s="9" t="n">
        <v>0</v>
      </c>
      <c r="Z128" s="9" t="n">
        <v>0</v>
      </c>
      <c r="AB128" s="2">
        <f>ROUNDDOWN(LOG((X128+1),2),0)</f>
        <v/>
      </c>
      <c r="AC128" s="2">
        <f>ROUNDDOWN(LOG((Y128+1),2),0)</f>
        <v/>
      </c>
      <c r="AD128" s="2">
        <f>ROUNDDOWN(LOG((Z128+1),2),0)</f>
        <v/>
      </c>
      <c r="AG128" s="64" t="n">
        <v>132</v>
      </c>
      <c r="AH128" s="9" t="n">
        <v>3</v>
      </c>
      <c r="AI128" s="9" t="n">
        <v>0</v>
      </c>
      <c r="AJ128" s="9" t="n">
        <v>0</v>
      </c>
      <c r="AQ128" s="64" t="n">
        <v>132</v>
      </c>
      <c r="AR128" s="64" t="n">
        <v>42.887</v>
      </c>
      <c r="AS128" s="64" t="n">
        <v>71.17</v>
      </c>
      <c r="AT128" s="64" t="n">
        <v>46.726</v>
      </c>
      <c r="AV128" s="64" t="n">
        <v>132</v>
      </c>
      <c r="AW128" s="64">
        <f>Beginning_stock!AT156</f>
        <v/>
      </c>
      <c r="AX128" s="64">
        <f>Beginning_stock!AU156</f>
        <v/>
      </c>
      <c r="AY128" s="64">
        <f>Beginning_stock!AV156</f>
        <v/>
      </c>
      <c r="BA128" s="64" t="n">
        <v>132</v>
      </c>
      <c r="BB128" s="64">
        <f>IF(Demand!AU145=Retailers_Cap!N128,"ret=0",(AW128/(Demand!AU145-Retailers_Cap!N128)))</f>
        <v/>
      </c>
      <c r="BC128" s="64">
        <f>IF(Demand!AV145=Retailers_Cap!O128,"ret=0",(AX128/(Demand!AV145-Retailers_Cap!O128)))</f>
        <v/>
      </c>
      <c r="BD128" s="64">
        <f>IF(Demand!AW145=Retailers_Cap!P128,"ret=0",(AY128/(Demand!AW145-Retailers_Cap!P128)))</f>
        <v/>
      </c>
      <c r="BF128" s="64" t="n">
        <v>132</v>
      </c>
      <c r="BG128" s="2">
        <f>IF(Demand!AU145&lt;=Retailers_Cap!N128,"ret=0",(IF(BB128&lt;=AR128+Distributors_Cap!$P$47,1,0)))</f>
        <v/>
      </c>
      <c r="BH128" s="2">
        <f>IF(Demand!AV145&lt;=Retailers_Cap!O128,"ret=0",(IF(BC128&lt;=AS128+Distributors_Cap!$P$47,1,0)))</f>
        <v/>
      </c>
      <c r="BI128" s="2">
        <f>IF(Demand!AW145&lt;=Retailers_Cap!P128,"ret=0",(IF(BD128&lt;=AT128+Distributors_Cap!$P$47,1,0)))</f>
        <v/>
      </c>
      <c r="BK128" s="64" t="n">
        <v>132</v>
      </c>
      <c r="BL128" s="64">
        <f>Retailers!BH127</f>
        <v/>
      </c>
      <c r="BM128" s="64">
        <f>Retailers!BI127</f>
        <v/>
      </c>
      <c r="BN128" s="64">
        <f>Retailers!BJ127</f>
        <v/>
      </c>
      <c r="BP128" s="64" t="n">
        <v>132</v>
      </c>
      <c r="BQ128" s="64">
        <f>#REF!</f>
        <v/>
      </c>
      <c r="BR128" s="64">
        <f>#REF!</f>
        <v/>
      </c>
      <c r="BS128" s="64">
        <f>#REF!</f>
        <v/>
      </c>
      <c r="BU128" s="64" t="n">
        <v>132</v>
      </c>
      <c r="BV128" s="64">
        <f>Retailers!AS127</f>
        <v/>
      </c>
      <c r="BW128" s="64">
        <f>Retailers!AT127</f>
        <v/>
      </c>
      <c r="BX128" s="64">
        <f>Retailers!AU127</f>
        <v/>
      </c>
      <c r="BZ128" s="64" t="n">
        <v>132</v>
      </c>
      <c r="CA128" s="64">
        <f>Results!#REF!</f>
        <v/>
      </c>
      <c r="CB128" s="64">
        <f>Results!#REF!</f>
        <v/>
      </c>
      <c r="CC128" s="64">
        <f>Results!#REF!</f>
        <v/>
      </c>
      <c r="CE128" s="64" t="n">
        <v>132</v>
      </c>
      <c r="CF128" s="64">
        <f>Retailers!BN127</f>
        <v/>
      </c>
      <c r="CG128" s="64">
        <f>Retailers!BO127</f>
        <v/>
      </c>
      <c r="CH128" s="64">
        <f>Retailers!BP127</f>
        <v/>
      </c>
      <c r="CJ128" s="64" t="n">
        <v>132</v>
      </c>
      <c r="CK128" s="64">
        <f>IF(BB128="ret=0",0,IF(BB128&gt;0,AR128+Distributors_Cap!$P$47-BB128,0))</f>
        <v/>
      </c>
      <c r="CL128" s="64">
        <f>IF(BC128="ret=0",0,IF(BC128&gt;0,AS128+Distributors_Cap!$P$47-BC128,0))</f>
        <v/>
      </c>
      <c r="CM128" s="64">
        <f>IF(BD128="ret=0",0,IF(BD128&gt;0,AT128+Distributors_Cap!$P$47-BD128,0))</f>
        <v/>
      </c>
    </row>
    <row r="129">
      <c r="G129" s="64" t="n">
        <v>133</v>
      </c>
      <c r="H129" s="64" t="n">
        <v>60.239</v>
      </c>
      <c r="I129" s="64" t="n">
        <v>72.152</v>
      </c>
      <c r="J129" s="64" t="n">
        <v>72.804</v>
      </c>
      <c r="L129" s="64">
        <f>TRUNC((_xlfn.NORM.INV((RAND()),$K$7,$K$8)),0)</f>
        <v/>
      </c>
      <c r="M129" s="64" t="n">
        <v>133</v>
      </c>
      <c r="N129" s="5" t="n">
        <v>33</v>
      </c>
      <c r="O129" s="5" t="n">
        <v>25</v>
      </c>
      <c r="P129" s="5" t="n">
        <v>13</v>
      </c>
      <c r="R129" s="2">
        <f>IF(N129&gt;Demand!AU146,0,(IF(((2*(Retailers!AJ128+Distributors_Cap!$P$47)-Retailers_Cap!$BB$7)*(Demand!AU146-Retailers_Cap!N129))&lt;0,0,((IF(BB129&gt;2*(Retailers!AJ128+Distributors_Cap!$P$47),0,(IF(BG129=0,ROUNDUP((2*(Retailers!AJ128+Distributors_Cap!$P$47)-BB129)^0.5,0),ROUNDUP((2*(Retailers!AJ128+Distributors_Cap!$P$47)-BB129)^0.5,0)))))))))</f>
        <v/>
      </c>
      <c r="S129" s="2">
        <f>IF(O129&gt;Demand!AV146,0,(IF(((2*(Retailers!AK128+Distributors_Cap!$P$47)-Retailers_Cap!$BB$7)*(Demand!AV146-Retailers_Cap!O129))&lt;0,0,((IF(BC129&gt;2*(Retailers!AK128+Distributors_Cap!$P$47),0,(IF(BH129=0,ROUNDUP((2*(Retailers!AK128+Distributors_Cap!$P$47)-BC129)^0.5,0),ROUNDUP((2*(Retailers!AK128+Distributors_Cap!$P$47)-BC129)^0.5,0)))))))))</f>
        <v/>
      </c>
      <c r="T129" s="2">
        <f>IF(P129&gt;Demand!AW146,0,(IF(((2*(Retailers!AL128+Distributors_Cap!$P$47)-Retailers_Cap!$BB$7)*(Demand!AW146-Retailers_Cap!P129))&lt;0,0,((IF(BD129&gt;2*(Retailers!AL128+Distributors_Cap!$P$47),0,(IF(BI129=0,ROUNDUP((2*(Retailers!AL128+Distributors_Cap!$P$47)-BD129)^0.5,0),ROUNDUP((2*(Retailers!AL128+Distributors_Cap!$P$47)-BD129)^0.5,0)))))))))</f>
        <v/>
      </c>
      <c r="W129" s="64" t="n">
        <v>133</v>
      </c>
      <c r="X129" s="9" t="n">
        <v>8</v>
      </c>
      <c r="Y129" s="9" t="n">
        <v>14</v>
      </c>
      <c r="Z129" s="9" t="n">
        <v>14</v>
      </c>
      <c r="AB129" s="2">
        <f>ROUNDDOWN(LOG((X129+1),2),0)</f>
        <v/>
      </c>
      <c r="AC129" s="2">
        <f>ROUNDDOWN(LOG((Y129+1),2),0)</f>
        <v/>
      </c>
      <c r="AD129" s="2">
        <f>ROUNDDOWN(LOG((Z129+1),2),0)</f>
        <v/>
      </c>
      <c r="AG129" s="64" t="n">
        <v>133</v>
      </c>
      <c r="AH129" s="9" t="n">
        <v>3</v>
      </c>
      <c r="AI129" s="9" t="n">
        <v>3</v>
      </c>
      <c r="AJ129" s="9" t="n">
        <v>3</v>
      </c>
      <c r="AQ129" s="64" t="n">
        <v>133</v>
      </c>
      <c r="AR129" s="64" t="n">
        <v>60.239</v>
      </c>
      <c r="AS129" s="64" t="n">
        <v>72.152</v>
      </c>
      <c r="AT129" s="64" t="n">
        <v>72.804</v>
      </c>
      <c r="AV129" s="64" t="n">
        <v>133</v>
      </c>
      <c r="AW129" s="64">
        <f>Beginning_stock!AT157</f>
        <v/>
      </c>
      <c r="AX129" s="64">
        <f>Beginning_stock!AU157</f>
        <v/>
      </c>
      <c r="AY129" s="64">
        <f>Beginning_stock!AV157</f>
        <v/>
      </c>
      <c r="BA129" s="64" t="n">
        <v>133</v>
      </c>
      <c r="BB129" s="64">
        <f>IF(Demand!AU146=Retailers_Cap!N129,"ret=0",(AW129/(Demand!AU146-Retailers_Cap!N129)))</f>
        <v/>
      </c>
      <c r="BC129" s="64">
        <f>IF(Demand!AV146=Retailers_Cap!O129,"ret=0",(AX129/(Demand!AV146-Retailers_Cap!O129)))</f>
        <v/>
      </c>
      <c r="BD129" s="64">
        <f>IF(Demand!AW146=Retailers_Cap!P129,"ret=0",(AY129/(Demand!AW146-Retailers_Cap!P129)))</f>
        <v/>
      </c>
      <c r="BF129" s="64" t="n">
        <v>133</v>
      </c>
      <c r="BG129" s="2">
        <f>IF(Demand!AU146&lt;=Retailers_Cap!N129,"ret=0",(IF(BB129&lt;=AR129+Distributors_Cap!$P$47,1,0)))</f>
        <v/>
      </c>
      <c r="BH129" s="2">
        <f>IF(Demand!AV146&lt;=Retailers_Cap!O129,"ret=0",(IF(BC129&lt;=AS129+Distributors_Cap!$P$47,1,0)))</f>
        <v/>
      </c>
      <c r="BI129" s="2">
        <f>IF(Demand!AW146&lt;=Retailers_Cap!P129,"ret=0",(IF(BD129&lt;=AT129+Distributors_Cap!$P$47,1,0)))</f>
        <v/>
      </c>
      <c r="BK129" s="64" t="n">
        <v>133</v>
      </c>
      <c r="BL129" s="64">
        <f>Retailers!BH128</f>
        <v/>
      </c>
      <c r="BM129" s="64">
        <f>Retailers!BI128</f>
        <v/>
      </c>
      <c r="BN129" s="64">
        <f>Retailers!BJ128</f>
        <v/>
      </c>
      <c r="BP129" s="64" t="n">
        <v>133</v>
      </c>
      <c r="BQ129" s="64">
        <f>#REF!</f>
        <v/>
      </c>
      <c r="BR129" s="64">
        <f>#REF!</f>
        <v/>
      </c>
      <c r="BS129" s="64">
        <f>#REF!</f>
        <v/>
      </c>
      <c r="BU129" s="64" t="n">
        <v>133</v>
      </c>
      <c r="BV129" s="64">
        <f>Retailers!AS128</f>
        <v/>
      </c>
      <c r="BW129" s="64">
        <f>Retailers!AT128</f>
        <v/>
      </c>
      <c r="BX129" s="64">
        <f>Retailers!AU128</f>
        <v/>
      </c>
      <c r="BZ129" s="64" t="n">
        <v>133</v>
      </c>
      <c r="CA129" s="64">
        <f>Results!#REF!</f>
        <v/>
      </c>
      <c r="CB129" s="64">
        <f>Results!#REF!</f>
        <v/>
      </c>
      <c r="CC129" s="64">
        <f>Results!#REF!</f>
        <v/>
      </c>
      <c r="CE129" s="64" t="n">
        <v>133</v>
      </c>
      <c r="CF129" s="64">
        <f>Retailers!BN128</f>
        <v/>
      </c>
      <c r="CG129" s="64">
        <f>Retailers!BO128</f>
        <v/>
      </c>
      <c r="CH129" s="64">
        <f>Retailers!BP128</f>
        <v/>
      </c>
      <c r="CJ129" s="64" t="n">
        <v>133</v>
      </c>
      <c r="CK129" s="64">
        <f>IF(BB129="ret=0",0,IF(BB129&gt;0,AR129+Distributors_Cap!$P$47-BB129,0))</f>
        <v/>
      </c>
      <c r="CL129" s="64">
        <f>IF(BC129="ret=0",0,IF(BC129&gt;0,AS129+Distributors_Cap!$P$47-BC129,0))</f>
        <v/>
      </c>
      <c r="CM129" s="64">
        <f>IF(BD129="ret=0",0,IF(BD129&gt;0,AT129+Distributors_Cap!$P$47-BD129,0))</f>
        <v/>
      </c>
    </row>
    <row r="130">
      <c r="G130" s="64" t="n">
        <v>134</v>
      </c>
      <c r="H130" s="64" t="n">
        <v>72.489</v>
      </c>
      <c r="I130" s="64" t="n">
        <v>56.559</v>
      </c>
      <c r="J130" s="64" t="n">
        <v>49.761</v>
      </c>
      <c r="L130" s="64">
        <f>TRUNC((_xlfn.NORM.INV((RAND()),$K$7,$K$8)),0)</f>
        <v/>
      </c>
      <c r="M130" s="64" t="n">
        <v>134</v>
      </c>
      <c r="N130" s="5" t="n">
        <v>40</v>
      </c>
      <c r="O130" s="5" t="n">
        <v>23</v>
      </c>
      <c r="P130" s="5" t="n">
        <v>23</v>
      </c>
      <c r="R130" s="2">
        <f>IF(N130&gt;Demand!AU147,0,(IF(((2*(Retailers!AJ129+Distributors_Cap!$P$47)-Retailers_Cap!$BB$7)*(Demand!AU147-Retailers_Cap!N130))&lt;0,0,((IF(BB130&gt;2*(Retailers!AJ129+Distributors_Cap!$P$47),0,(IF(BG130=0,ROUNDUP((2*(Retailers!AJ129+Distributors_Cap!$P$47)-BB130)^0.5,0),ROUNDUP((2*(Retailers!AJ129+Distributors_Cap!$P$47)-BB130)^0.5,0)))))))))</f>
        <v/>
      </c>
      <c r="S130" s="2">
        <f>IF(O130&gt;Demand!AV147,0,(IF(((2*(Retailers!AK129+Distributors_Cap!$P$47)-Retailers_Cap!$BB$7)*(Demand!AV147-Retailers_Cap!O130))&lt;0,0,((IF(BC130&gt;2*(Retailers!AK129+Distributors_Cap!$P$47),0,(IF(BH130=0,ROUNDUP((2*(Retailers!AK129+Distributors_Cap!$P$47)-BC130)^0.5,0),ROUNDUP((2*(Retailers!AK129+Distributors_Cap!$P$47)-BC130)^0.5,0)))))))))</f>
        <v/>
      </c>
      <c r="T130" s="2">
        <f>IF(P130&gt;Demand!AW147,0,(IF(((2*(Retailers!AL129+Distributors_Cap!$P$47)-Retailers_Cap!$BB$7)*(Demand!AW147-Retailers_Cap!P130))&lt;0,0,((IF(BD130&gt;2*(Retailers!AL129+Distributors_Cap!$P$47),0,(IF(BI130=0,ROUNDUP((2*(Retailers!AL129+Distributors_Cap!$P$47)-BD130)^0.5,0),ROUNDUP((2*(Retailers!AL129+Distributors_Cap!$P$47)-BD130)^0.5,0)))))))))</f>
        <v/>
      </c>
      <c r="W130" s="64" t="n">
        <v>134</v>
      </c>
      <c r="X130" s="9" t="n">
        <v>0</v>
      </c>
      <c r="Y130" s="9" t="n">
        <v>12</v>
      </c>
      <c r="Z130" s="9" t="n">
        <v>11</v>
      </c>
      <c r="AB130" s="2">
        <f>ROUNDDOWN(LOG((X130+1),2),0)</f>
        <v/>
      </c>
      <c r="AC130" s="2">
        <f>ROUNDDOWN(LOG((Y130+1),2),0)</f>
        <v/>
      </c>
      <c r="AD130" s="2">
        <f>ROUNDDOWN(LOG((Z130+1),2),0)</f>
        <v/>
      </c>
      <c r="AG130" s="64" t="n">
        <v>134</v>
      </c>
      <c r="AH130" s="9" t="n">
        <v>0</v>
      </c>
      <c r="AI130" s="9" t="n">
        <v>3</v>
      </c>
      <c r="AJ130" s="9" t="n">
        <v>3</v>
      </c>
      <c r="AQ130" s="64" t="n">
        <v>134</v>
      </c>
      <c r="AR130" s="64" t="n">
        <v>72.489</v>
      </c>
      <c r="AS130" s="64" t="n">
        <v>56.559</v>
      </c>
      <c r="AT130" s="64" t="n">
        <v>49.761</v>
      </c>
      <c r="AV130" s="64" t="n">
        <v>134</v>
      </c>
      <c r="AW130" s="64">
        <f>Beginning_stock!AT158</f>
        <v/>
      </c>
      <c r="AX130" s="64">
        <f>Beginning_stock!AU158</f>
        <v/>
      </c>
      <c r="AY130" s="64">
        <f>Beginning_stock!AV158</f>
        <v/>
      </c>
      <c r="BA130" s="64" t="n">
        <v>134</v>
      </c>
      <c r="BB130" s="64">
        <f>IF(Demand!AU147=Retailers_Cap!N130,"ret=0",(AW130/(Demand!AU147-Retailers_Cap!N130)))</f>
        <v/>
      </c>
      <c r="BC130" s="64">
        <f>IF(Demand!AV147=Retailers_Cap!O130,"ret=0",(AX130/(Demand!AV147-Retailers_Cap!O130)))</f>
        <v/>
      </c>
      <c r="BD130" s="64">
        <f>IF(Demand!AW147=Retailers_Cap!P130,"ret=0",(AY130/(Demand!AW147-Retailers_Cap!P130)))</f>
        <v/>
      </c>
      <c r="BF130" s="64" t="n">
        <v>134</v>
      </c>
      <c r="BG130" s="2">
        <f>IF(Demand!AU147&lt;=Retailers_Cap!N130,"ret=0",(IF(BB130&lt;=AR130+Distributors_Cap!$P$47,1,0)))</f>
        <v/>
      </c>
      <c r="BH130" s="2">
        <f>IF(Demand!AV147&lt;=Retailers_Cap!O130,"ret=0",(IF(BC130&lt;=AS130+Distributors_Cap!$P$47,1,0)))</f>
        <v/>
      </c>
      <c r="BI130" s="2">
        <f>IF(Demand!AW147&lt;=Retailers_Cap!P130,"ret=0",(IF(BD130&lt;=AT130+Distributors_Cap!$P$47,1,0)))</f>
        <v/>
      </c>
      <c r="BK130" s="64" t="n">
        <v>134</v>
      </c>
      <c r="BL130" s="64">
        <f>Retailers!BH129</f>
        <v/>
      </c>
      <c r="BM130" s="64">
        <f>Retailers!BI129</f>
        <v/>
      </c>
      <c r="BN130" s="64">
        <f>Retailers!BJ129</f>
        <v/>
      </c>
      <c r="BP130" s="64" t="n">
        <v>134</v>
      </c>
      <c r="BQ130" s="64">
        <f>#REF!</f>
        <v/>
      </c>
      <c r="BR130" s="64">
        <f>#REF!</f>
        <v/>
      </c>
      <c r="BS130" s="64">
        <f>#REF!</f>
        <v/>
      </c>
      <c r="BU130" s="64" t="n">
        <v>134</v>
      </c>
      <c r="BV130" s="64">
        <f>Retailers!AS129</f>
        <v/>
      </c>
      <c r="BW130" s="64">
        <f>Retailers!AT129</f>
        <v/>
      </c>
      <c r="BX130" s="64">
        <f>Retailers!AU129</f>
        <v/>
      </c>
      <c r="BZ130" s="64" t="n">
        <v>134</v>
      </c>
      <c r="CA130" s="64">
        <f>Results!#REF!</f>
        <v/>
      </c>
      <c r="CB130" s="64">
        <f>Results!#REF!</f>
        <v/>
      </c>
      <c r="CC130" s="64">
        <f>Results!#REF!</f>
        <v/>
      </c>
      <c r="CE130" s="64" t="n">
        <v>134</v>
      </c>
      <c r="CF130" s="64">
        <f>Retailers!BN129</f>
        <v/>
      </c>
      <c r="CG130" s="64">
        <f>Retailers!BO129</f>
        <v/>
      </c>
      <c r="CH130" s="64">
        <f>Retailers!BP129</f>
        <v/>
      </c>
      <c r="CJ130" s="64" t="n">
        <v>134</v>
      </c>
      <c r="CK130" s="64">
        <f>IF(BB130="ret=0",0,IF(BB130&gt;0,AR130+Distributors_Cap!$P$47-BB130,0))</f>
        <v/>
      </c>
      <c r="CL130" s="64">
        <f>IF(BC130="ret=0",0,IF(BC130&gt;0,AS130+Distributors_Cap!$P$47-BC130,0))</f>
        <v/>
      </c>
      <c r="CM130" s="64">
        <f>IF(BD130="ret=0",0,IF(BD130&gt;0,AT130+Distributors_Cap!$P$47-BD130,0))</f>
        <v/>
      </c>
    </row>
    <row r="131">
      <c r="G131" s="64" t="n">
        <v>135</v>
      </c>
      <c r="H131" s="64" t="n">
        <v>45.852</v>
      </c>
      <c r="I131" s="64" t="n">
        <v>50.194</v>
      </c>
      <c r="J131" s="64" t="n">
        <v>55.767</v>
      </c>
      <c r="L131" s="64">
        <f>TRUNC((_xlfn.NORM.INV((RAND()),$K$7,$K$8)),0)</f>
        <v/>
      </c>
      <c r="M131" s="64" t="n">
        <v>135</v>
      </c>
      <c r="N131" s="5" t="n">
        <v>36</v>
      </c>
      <c r="O131" s="5" t="n">
        <v>16</v>
      </c>
      <c r="P131" s="5" t="n">
        <v>17</v>
      </c>
      <c r="R131" s="2">
        <f>IF(N131&gt;Demand!AU148,0,(IF(((2*(Retailers!AJ130+Distributors_Cap!$P$47)-Retailers_Cap!$BB$7)*(Demand!AU148-Retailers_Cap!N131))&lt;0,0,((IF(BB131&gt;2*(Retailers!AJ130+Distributors_Cap!$P$47),0,(IF(BG131=0,ROUNDUP((2*(Retailers!AJ130+Distributors_Cap!$P$47)-BB131)^0.5,0),ROUNDUP((2*(Retailers!AJ130+Distributors_Cap!$P$47)-BB131)^0.5,0)))))))))</f>
        <v/>
      </c>
      <c r="S131" s="2">
        <f>IF(O131&gt;Demand!AV148,0,(IF(((2*(Retailers!AK130+Distributors_Cap!$P$47)-Retailers_Cap!$BB$7)*(Demand!AV148-Retailers_Cap!O131))&lt;0,0,((IF(BC131&gt;2*(Retailers!AK130+Distributors_Cap!$P$47),0,(IF(BH131=0,ROUNDUP((2*(Retailers!AK130+Distributors_Cap!$P$47)-BC131)^0.5,0),ROUNDUP((2*(Retailers!AK130+Distributors_Cap!$P$47)-BC131)^0.5,0)))))))))</f>
        <v/>
      </c>
      <c r="T131" s="2">
        <f>IF(P131&gt;Demand!AW148,0,(IF(((2*(Retailers!AL130+Distributors_Cap!$P$47)-Retailers_Cap!$BB$7)*(Demand!AW148-Retailers_Cap!P131))&lt;0,0,((IF(BD131&gt;2*(Retailers!AL130+Distributors_Cap!$P$47),0,(IF(BI131=0,ROUNDUP((2*(Retailers!AL130+Distributors_Cap!$P$47)-BD131)^0.5,0),ROUNDUP((2*(Retailers!AL130+Distributors_Cap!$P$47)-BD131)^0.5,0)))))))))</f>
        <v/>
      </c>
      <c r="W131" s="64" t="n">
        <v>135</v>
      </c>
      <c r="X131" s="9" t="n">
        <v>0</v>
      </c>
      <c r="Y131" s="9" t="n">
        <v>12</v>
      </c>
      <c r="Z131" s="9" t="n">
        <v>13</v>
      </c>
      <c r="AB131" s="2">
        <f>ROUNDDOWN(LOG((X131+1),2),0)</f>
        <v/>
      </c>
      <c r="AC131" s="2">
        <f>ROUNDDOWN(LOG((Y131+1),2),0)</f>
        <v/>
      </c>
      <c r="AD131" s="2">
        <f>ROUNDDOWN(LOG((Z131+1),2),0)</f>
        <v/>
      </c>
      <c r="AG131" s="64" t="n">
        <v>135</v>
      </c>
      <c r="AH131" s="9" t="n">
        <v>0</v>
      </c>
      <c r="AI131" s="9" t="n">
        <v>3</v>
      </c>
      <c r="AJ131" s="9" t="n">
        <v>3</v>
      </c>
      <c r="AQ131" s="64" t="n">
        <v>135</v>
      </c>
      <c r="AR131" s="64" t="n">
        <v>45.852</v>
      </c>
      <c r="AS131" s="64" t="n">
        <v>50.194</v>
      </c>
      <c r="AT131" s="64" t="n">
        <v>55.767</v>
      </c>
      <c r="AV131" s="64" t="n">
        <v>135</v>
      </c>
      <c r="AW131" s="64">
        <f>Beginning_stock!AT159</f>
        <v/>
      </c>
      <c r="AX131" s="64">
        <f>Beginning_stock!AU159</f>
        <v/>
      </c>
      <c r="AY131" s="64">
        <f>Beginning_stock!AV159</f>
        <v/>
      </c>
      <c r="BA131" s="64" t="n">
        <v>135</v>
      </c>
      <c r="BB131" s="64">
        <f>IF(Demand!AU148=Retailers_Cap!N131,"ret=0",(AW131/(Demand!AU148-Retailers_Cap!N131)))</f>
        <v/>
      </c>
      <c r="BC131" s="64">
        <f>IF(Demand!AV148=Retailers_Cap!O131,"ret=0",(AX131/(Demand!AV148-Retailers_Cap!O131)))</f>
        <v/>
      </c>
      <c r="BD131" s="64">
        <f>IF(Demand!AW148=Retailers_Cap!P131,"ret=0",(AY131/(Demand!AW148-Retailers_Cap!P131)))</f>
        <v/>
      </c>
      <c r="BF131" s="64" t="n">
        <v>135</v>
      </c>
      <c r="BG131" s="2">
        <f>IF(Demand!AU148&lt;=Retailers_Cap!N131,"ret=0",(IF(BB131&lt;=AR131+Distributors_Cap!$P$47,1,0)))</f>
        <v/>
      </c>
      <c r="BH131" s="2">
        <f>IF(Demand!AV148&lt;=Retailers_Cap!O131,"ret=0",(IF(BC131&lt;=AS131+Distributors_Cap!$P$47,1,0)))</f>
        <v/>
      </c>
      <c r="BI131" s="2">
        <f>IF(Demand!AW148&lt;=Retailers_Cap!P131,"ret=0",(IF(BD131&lt;=AT131+Distributors_Cap!$P$47,1,0)))</f>
        <v/>
      </c>
      <c r="BK131" s="64" t="n">
        <v>135</v>
      </c>
      <c r="BL131" s="64">
        <f>Retailers!BH130</f>
        <v/>
      </c>
      <c r="BM131" s="64">
        <f>Retailers!BI130</f>
        <v/>
      </c>
      <c r="BN131" s="64">
        <f>Retailers!BJ130</f>
        <v/>
      </c>
      <c r="BP131" s="64" t="n">
        <v>135</v>
      </c>
      <c r="BQ131" s="64">
        <f>#REF!</f>
        <v/>
      </c>
      <c r="BR131" s="64">
        <f>#REF!</f>
        <v/>
      </c>
      <c r="BS131" s="64">
        <f>#REF!</f>
        <v/>
      </c>
      <c r="BU131" s="64" t="n">
        <v>135</v>
      </c>
      <c r="BV131" s="64">
        <f>Retailers!AS130</f>
        <v/>
      </c>
      <c r="BW131" s="64">
        <f>Retailers!AT130</f>
        <v/>
      </c>
      <c r="BX131" s="64">
        <f>Retailers!AU130</f>
        <v/>
      </c>
      <c r="BZ131" s="64" t="n">
        <v>135</v>
      </c>
      <c r="CA131" s="64">
        <f>Results!#REF!</f>
        <v/>
      </c>
      <c r="CB131" s="64">
        <f>Results!#REF!</f>
        <v/>
      </c>
      <c r="CC131" s="64">
        <f>Results!#REF!</f>
        <v/>
      </c>
      <c r="CE131" s="64" t="n">
        <v>135</v>
      </c>
      <c r="CF131" s="64">
        <f>Retailers!BN130</f>
        <v/>
      </c>
      <c r="CG131" s="64">
        <f>Retailers!BO130</f>
        <v/>
      </c>
      <c r="CH131" s="64">
        <f>Retailers!BP130</f>
        <v/>
      </c>
      <c r="CJ131" s="64" t="n">
        <v>135</v>
      </c>
      <c r="CK131" s="64">
        <f>IF(BB131="ret=0",0,IF(BB131&gt;0,AR131+Distributors_Cap!$P$47-BB131,0))</f>
        <v/>
      </c>
      <c r="CL131" s="64">
        <f>IF(BC131="ret=0",0,IF(BC131&gt;0,AS131+Distributors_Cap!$P$47-BC131,0))</f>
        <v/>
      </c>
      <c r="CM131" s="64">
        <f>IF(BD131="ret=0",0,IF(BD131&gt;0,AT131+Distributors_Cap!$P$47-BD131,0))</f>
        <v/>
      </c>
    </row>
    <row r="132">
      <c r="G132" s="64" t="n">
        <v>136</v>
      </c>
      <c r="H132" s="64" t="n">
        <v>75.611</v>
      </c>
      <c r="I132" s="64" t="n">
        <v>75.97799999999999</v>
      </c>
      <c r="J132" s="64" t="n">
        <v>80.19799999999999</v>
      </c>
      <c r="L132" s="64">
        <f>TRUNC((_xlfn.NORM.INV((RAND()),$K$7,$K$8)),0)</f>
        <v/>
      </c>
      <c r="M132" s="64" t="n">
        <v>136</v>
      </c>
      <c r="N132" s="5" t="n">
        <v>20</v>
      </c>
      <c r="O132" s="5" t="n">
        <v>29</v>
      </c>
      <c r="P132" s="5" t="n">
        <v>25</v>
      </c>
      <c r="R132" s="2">
        <f>IF(N132&gt;Demand!AU149,0,(IF(((2*(Retailers!AJ131+Distributors_Cap!$P$47)-Retailers_Cap!$BB$7)*(Demand!AU149-Retailers_Cap!N132))&lt;0,0,((IF(BB132&gt;2*(Retailers!AJ131+Distributors_Cap!$P$47),0,(IF(BG132=0,ROUNDUP((2*(Retailers!AJ131+Distributors_Cap!$P$47)-BB132)^0.5,0),ROUNDUP((2*(Retailers!AJ131+Distributors_Cap!$P$47)-BB132)^0.5,0)))))))))</f>
        <v/>
      </c>
      <c r="S132" s="2">
        <f>IF(O132&gt;Demand!AV149,0,(IF(((2*(Retailers!AK131+Distributors_Cap!$P$47)-Retailers_Cap!$BB$7)*(Demand!AV149-Retailers_Cap!O132))&lt;0,0,((IF(BC132&gt;2*(Retailers!AK131+Distributors_Cap!$P$47),0,(IF(BH132=0,ROUNDUP((2*(Retailers!AK131+Distributors_Cap!$P$47)-BC132)^0.5,0),ROUNDUP((2*(Retailers!AK131+Distributors_Cap!$P$47)-BC132)^0.5,0)))))))))</f>
        <v/>
      </c>
      <c r="T132" s="2">
        <f>IF(P132&gt;Demand!AW149,0,(IF(((2*(Retailers!AL131+Distributors_Cap!$P$47)-Retailers_Cap!$BB$7)*(Demand!AW149-Retailers_Cap!P132))&lt;0,0,((IF(BD132&gt;2*(Retailers!AL131+Distributors_Cap!$P$47),0,(IF(BI132=0,ROUNDUP((2*(Retailers!AL131+Distributors_Cap!$P$47)-BD132)^0.5,0),ROUNDUP((2*(Retailers!AL131+Distributors_Cap!$P$47)-BD132)^0.5,0)))))))))</f>
        <v/>
      </c>
      <c r="W132" s="64" t="n">
        <v>136</v>
      </c>
      <c r="X132" s="9" t="n">
        <v>0</v>
      </c>
      <c r="Y132" s="9" t="n">
        <v>13</v>
      </c>
      <c r="Z132" s="9" t="n">
        <v>15</v>
      </c>
      <c r="AB132" s="2">
        <f>ROUNDDOWN(LOG((X132+1),2),0)</f>
        <v/>
      </c>
      <c r="AC132" s="2">
        <f>ROUNDDOWN(LOG((Y132+1),2),0)</f>
        <v/>
      </c>
      <c r="AD132" s="2">
        <f>ROUNDDOWN(LOG((Z132+1),2),0)</f>
        <v/>
      </c>
      <c r="AG132" s="64" t="n">
        <v>136</v>
      </c>
      <c r="AH132" s="9" t="n">
        <v>0</v>
      </c>
      <c r="AI132" s="9" t="n">
        <v>3</v>
      </c>
      <c r="AJ132" s="9" t="n">
        <v>4</v>
      </c>
      <c r="AQ132" s="64" t="n">
        <v>136</v>
      </c>
      <c r="AR132" s="64" t="n">
        <v>75.611</v>
      </c>
      <c r="AS132" s="64" t="n">
        <v>75.97799999999999</v>
      </c>
      <c r="AT132" s="64" t="n">
        <v>80.19799999999999</v>
      </c>
      <c r="AV132" s="64" t="n">
        <v>136</v>
      </c>
      <c r="AW132" s="64">
        <f>Beginning_stock!AT160</f>
        <v/>
      </c>
      <c r="AX132" s="64">
        <f>Beginning_stock!AU160</f>
        <v/>
      </c>
      <c r="AY132" s="64">
        <f>Beginning_stock!AV160</f>
        <v/>
      </c>
      <c r="BA132" s="64" t="n">
        <v>136</v>
      </c>
      <c r="BB132" s="64">
        <f>IF(Demand!AU149=Retailers_Cap!N132,"ret=0",(AW132/(Demand!AU149-Retailers_Cap!N132)))</f>
        <v/>
      </c>
      <c r="BC132" s="64">
        <f>IF(Demand!AV149=Retailers_Cap!O132,"ret=0",(AX132/(Demand!AV149-Retailers_Cap!O132)))</f>
        <v/>
      </c>
      <c r="BD132" s="64">
        <f>IF(Demand!AW149=Retailers_Cap!P132,"ret=0",(AY132/(Demand!AW149-Retailers_Cap!P132)))</f>
        <v/>
      </c>
      <c r="BF132" s="64" t="n">
        <v>136</v>
      </c>
      <c r="BG132" s="2">
        <f>IF(Demand!AU149&lt;=Retailers_Cap!N132,"ret=0",(IF(BB132&lt;=AR132+Distributors_Cap!$P$47,1,0)))</f>
        <v/>
      </c>
      <c r="BH132" s="2">
        <f>IF(Demand!AV149&lt;=Retailers_Cap!O132,"ret=0",(IF(BC132&lt;=AS132+Distributors_Cap!$P$47,1,0)))</f>
        <v/>
      </c>
      <c r="BI132" s="2">
        <f>IF(Demand!AW149&lt;=Retailers_Cap!P132,"ret=0",(IF(BD132&lt;=AT132+Distributors_Cap!$P$47,1,0)))</f>
        <v/>
      </c>
      <c r="BK132" s="64" t="n">
        <v>136</v>
      </c>
      <c r="BL132" s="64">
        <f>Retailers!BH131</f>
        <v/>
      </c>
      <c r="BM132" s="64">
        <f>Retailers!BI131</f>
        <v/>
      </c>
      <c r="BN132" s="64">
        <f>Retailers!BJ131</f>
        <v/>
      </c>
      <c r="BP132" s="64" t="n">
        <v>136</v>
      </c>
      <c r="BQ132" s="64">
        <f>#REF!</f>
        <v/>
      </c>
      <c r="BR132" s="64">
        <f>#REF!</f>
        <v/>
      </c>
      <c r="BS132" s="64">
        <f>#REF!</f>
        <v/>
      </c>
      <c r="BU132" s="64" t="n">
        <v>136</v>
      </c>
      <c r="BV132" s="64">
        <f>Retailers!AS131</f>
        <v/>
      </c>
      <c r="BW132" s="64">
        <f>Retailers!AT131</f>
        <v/>
      </c>
      <c r="BX132" s="64">
        <f>Retailers!AU131</f>
        <v/>
      </c>
      <c r="BZ132" s="64" t="n">
        <v>136</v>
      </c>
      <c r="CA132" s="64">
        <f>Results!#REF!</f>
        <v/>
      </c>
      <c r="CB132" s="64">
        <f>Results!#REF!</f>
        <v/>
      </c>
      <c r="CC132" s="64">
        <f>Results!#REF!</f>
        <v/>
      </c>
      <c r="CE132" s="64" t="n">
        <v>136</v>
      </c>
      <c r="CF132" s="64">
        <f>Retailers!BN131</f>
        <v/>
      </c>
      <c r="CG132" s="64">
        <f>Retailers!BO131</f>
        <v/>
      </c>
      <c r="CH132" s="64">
        <f>Retailers!BP131</f>
        <v/>
      </c>
      <c r="CJ132" s="64" t="n">
        <v>136</v>
      </c>
      <c r="CK132" s="64">
        <f>IF(BB132="ret=0",0,IF(BB132&gt;0,AR132+Distributors_Cap!$P$47-BB132,0))</f>
        <v/>
      </c>
      <c r="CL132" s="64">
        <f>IF(BC132="ret=0",0,IF(BC132&gt;0,AS132+Distributors_Cap!$P$47-BC132,0))</f>
        <v/>
      </c>
      <c r="CM132" s="64">
        <f>IF(BD132="ret=0",0,IF(BD132&gt;0,AT132+Distributors_Cap!$P$47-BD132,0))</f>
        <v/>
      </c>
    </row>
    <row r="133">
      <c r="G133" s="64" t="n">
        <v>137</v>
      </c>
      <c r="H133" s="64" t="n">
        <v>82.556</v>
      </c>
      <c r="I133" s="64" t="n">
        <v>63.18</v>
      </c>
      <c r="J133" s="64" t="n">
        <v>46.581</v>
      </c>
      <c r="L133" s="64">
        <f>TRUNC((_xlfn.NORM.INV((RAND()),$K$7,$K$8)),0)</f>
        <v/>
      </c>
      <c r="M133" s="64" t="n">
        <v>137</v>
      </c>
      <c r="N133" s="5" t="n">
        <v>18</v>
      </c>
      <c r="O133" s="5" t="n">
        <v>36</v>
      </c>
      <c r="P133" s="5" t="n">
        <v>23</v>
      </c>
      <c r="R133" s="2">
        <f>IF(N133&gt;Demand!AU150,0,(IF(((2*(Retailers!AJ132+Distributors_Cap!$P$47)-Retailers_Cap!$BB$7)*(Demand!AU150-Retailers_Cap!N133))&lt;0,0,((IF(BB133&gt;2*(Retailers!AJ132+Distributors_Cap!$P$47),0,(IF(BG133=0,ROUNDUP((2*(Retailers!AJ132+Distributors_Cap!$P$47)-BB133)^0.5,0),ROUNDUP((2*(Retailers!AJ132+Distributors_Cap!$P$47)-BB133)^0.5,0)))))))))</f>
        <v/>
      </c>
      <c r="S133" s="2">
        <f>IF(O133&gt;Demand!AV150,0,(IF(((2*(Retailers!AK132+Distributors_Cap!$P$47)-Retailers_Cap!$BB$7)*(Demand!AV150-Retailers_Cap!O133))&lt;0,0,((IF(BC133&gt;2*(Retailers!AK132+Distributors_Cap!$P$47),0,(IF(BH133=0,ROUNDUP((2*(Retailers!AK132+Distributors_Cap!$P$47)-BC133)^0.5,0),ROUNDUP((2*(Retailers!AK132+Distributors_Cap!$P$47)-BC133)^0.5,0)))))))))</f>
        <v/>
      </c>
      <c r="T133" s="2">
        <f>IF(P133&gt;Demand!AW150,0,(IF(((2*(Retailers!AL132+Distributors_Cap!$P$47)-Retailers_Cap!$BB$7)*(Demand!AW150-Retailers_Cap!P133))&lt;0,0,((IF(BD133&gt;2*(Retailers!AL132+Distributors_Cap!$P$47),0,(IF(BI133=0,ROUNDUP((2*(Retailers!AL132+Distributors_Cap!$P$47)-BD133)^0.5,0),ROUNDUP((2*(Retailers!AL132+Distributors_Cap!$P$47)-BD133)^0.5,0)))))))))</f>
        <v/>
      </c>
      <c r="W133" s="64" t="n">
        <v>137</v>
      </c>
      <c r="X133" s="9" t="n">
        <v>15</v>
      </c>
      <c r="Y133" s="9" t="n">
        <v>0</v>
      </c>
      <c r="Z133" s="9" t="n">
        <v>12</v>
      </c>
      <c r="AB133" s="2">
        <f>ROUNDDOWN(LOG((X133+1),2),0)</f>
        <v/>
      </c>
      <c r="AC133" s="2">
        <f>ROUNDDOWN(LOG((Y133+1),2),0)</f>
        <v/>
      </c>
      <c r="AD133" s="2">
        <f>ROUNDDOWN(LOG((Z133+1),2),0)</f>
        <v/>
      </c>
      <c r="AG133" s="64" t="n">
        <v>137</v>
      </c>
      <c r="AH133" s="9" t="n">
        <v>4</v>
      </c>
      <c r="AI133" s="9" t="n">
        <v>0</v>
      </c>
      <c r="AJ133" s="9" t="n">
        <v>3</v>
      </c>
      <c r="AQ133" s="64" t="n">
        <v>137</v>
      </c>
      <c r="AR133" s="64" t="n">
        <v>82.556</v>
      </c>
      <c r="AS133" s="64" t="n">
        <v>63.18</v>
      </c>
      <c r="AT133" s="64" t="n">
        <v>46.581</v>
      </c>
      <c r="AV133" s="64" t="n">
        <v>137</v>
      </c>
      <c r="AW133" s="64">
        <f>Beginning_stock!AT161</f>
        <v/>
      </c>
      <c r="AX133" s="64">
        <f>Beginning_stock!AU161</f>
        <v/>
      </c>
      <c r="AY133" s="64">
        <f>Beginning_stock!AV161</f>
        <v/>
      </c>
      <c r="BA133" s="64" t="n">
        <v>137</v>
      </c>
      <c r="BB133" s="64">
        <f>IF(Demand!AU150=Retailers_Cap!N133,"ret=0",(AW133/(Demand!AU150-Retailers_Cap!N133)))</f>
        <v/>
      </c>
      <c r="BC133" s="64">
        <f>IF(Demand!AV150=Retailers_Cap!O133,"ret=0",(AX133/(Demand!AV150-Retailers_Cap!O133)))</f>
        <v/>
      </c>
      <c r="BD133" s="64">
        <f>IF(Demand!AW150=Retailers_Cap!P133,"ret=0",(AY133/(Demand!AW150-Retailers_Cap!P133)))</f>
        <v/>
      </c>
      <c r="BF133" s="64" t="n">
        <v>137</v>
      </c>
      <c r="BG133" s="2">
        <f>IF(Demand!AU150&lt;=Retailers_Cap!N133,"ret=0",(IF(BB133&lt;=AR133+Distributors_Cap!$P$47,1,0)))</f>
        <v/>
      </c>
      <c r="BH133" s="2">
        <f>IF(Demand!AV150&lt;=Retailers_Cap!O133,"ret=0",(IF(BC133&lt;=AS133+Distributors_Cap!$P$47,1,0)))</f>
        <v/>
      </c>
      <c r="BI133" s="2">
        <f>IF(Demand!AW150&lt;=Retailers_Cap!P133,"ret=0",(IF(BD133&lt;=AT133+Distributors_Cap!$P$47,1,0)))</f>
        <v/>
      </c>
      <c r="BK133" s="64" t="n">
        <v>137</v>
      </c>
      <c r="BL133" s="64">
        <f>Retailers!BH132</f>
        <v/>
      </c>
      <c r="BM133" s="64">
        <f>Retailers!BI132</f>
        <v/>
      </c>
      <c r="BN133" s="64">
        <f>Retailers!BJ132</f>
        <v/>
      </c>
      <c r="BP133" s="64" t="n">
        <v>137</v>
      </c>
      <c r="BQ133" s="64">
        <f>#REF!</f>
        <v/>
      </c>
      <c r="BR133" s="64">
        <f>#REF!</f>
        <v/>
      </c>
      <c r="BS133" s="64">
        <f>#REF!</f>
        <v/>
      </c>
      <c r="BU133" s="64" t="n">
        <v>137</v>
      </c>
      <c r="BV133" s="64">
        <f>Retailers!AS132</f>
        <v/>
      </c>
      <c r="BW133" s="64">
        <f>Retailers!AT132</f>
        <v/>
      </c>
      <c r="BX133" s="64">
        <f>Retailers!AU132</f>
        <v/>
      </c>
      <c r="BZ133" s="64" t="n">
        <v>137</v>
      </c>
      <c r="CA133" s="64">
        <f>Results!#REF!</f>
        <v/>
      </c>
      <c r="CB133" s="64">
        <f>Results!#REF!</f>
        <v/>
      </c>
      <c r="CC133" s="64">
        <f>Results!#REF!</f>
        <v/>
      </c>
      <c r="CE133" s="64" t="n">
        <v>137</v>
      </c>
      <c r="CF133" s="64">
        <f>Retailers!BN132</f>
        <v/>
      </c>
      <c r="CG133" s="64">
        <f>Retailers!BO132</f>
        <v/>
      </c>
      <c r="CH133" s="64">
        <f>Retailers!BP132</f>
        <v/>
      </c>
      <c r="CJ133" s="64" t="n">
        <v>137</v>
      </c>
      <c r="CK133" s="64">
        <f>IF(BB133="ret=0",0,IF(BB133&gt;0,AR133+Distributors_Cap!$P$47-BB133,0))</f>
        <v/>
      </c>
      <c r="CL133" s="64">
        <f>IF(BC133="ret=0",0,IF(BC133&gt;0,AS133+Distributors_Cap!$P$47-BC133,0))</f>
        <v/>
      </c>
      <c r="CM133" s="64">
        <f>IF(BD133="ret=0",0,IF(BD133&gt;0,AT133+Distributors_Cap!$P$47-BD133,0))</f>
        <v/>
      </c>
    </row>
    <row r="134">
      <c r="G134" s="64" t="n">
        <v>138</v>
      </c>
      <c r="H134" s="64" t="n">
        <v>47.403</v>
      </c>
      <c r="I134" s="64" t="n">
        <v>73.078</v>
      </c>
      <c r="J134" s="64" t="n">
        <v>66.361</v>
      </c>
      <c r="L134" s="64">
        <f>TRUNC((_xlfn.NORM.INV((RAND()),$K$7,$K$8)),0)</f>
        <v/>
      </c>
      <c r="M134" s="64" t="n">
        <v>138</v>
      </c>
      <c r="N134" s="5" t="n">
        <v>33</v>
      </c>
      <c r="O134" s="5" t="n">
        <v>13</v>
      </c>
      <c r="P134" s="5" t="n">
        <v>18</v>
      </c>
      <c r="R134" s="2">
        <f>IF(N134&gt;Demand!AU151,0,(IF(((2*(Retailers!AJ133+Distributors_Cap!$P$47)-Retailers_Cap!$BB$7)*(Demand!AU151-Retailers_Cap!N134))&lt;0,0,((IF(BB134&gt;2*(Retailers!AJ133+Distributors_Cap!$P$47),0,(IF(BG134=0,ROUNDUP((2*(Retailers!AJ133+Distributors_Cap!$P$47)-BB134)^0.5,0),ROUNDUP((2*(Retailers!AJ133+Distributors_Cap!$P$47)-BB134)^0.5,0)))))))))</f>
        <v/>
      </c>
      <c r="S134" s="2">
        <f>IF(O134&gt;Demand!AV151,0,(IF(((2*(Retailers!AK133+Distributors_Cap!$P$47)-Retailers_Cap!$BB$7)*(Demand!AV151-Retailers_Cap!O134))&lt;0,0,((IF(BC134&gt;2*(Retailers!AK133+Distributors_Cap!$P$47),0,(IF(BH134=0,ROUNDUP((2*(Retailers!AK133+Distributors_Cap!$P$47)-BC134)^0.5,0),ROUNDUP((2*(Retailers!AK133+Distributors_Cap!$P$47)-BC134)^0.5,0)))))))))</f>
        <v/>
      </c>
      <c r="T134" s="2">
        <f>IF(P134&gt;Demand!AW151,0,(IF(((2*(Retailers!AL133+Distributors_Cap!$P$47)-Retailers_Cap!$BB$7)*(Demand!AW151-Retailers_Cap!P134))&lt;0,0,((IF(BD134&gt;2*(Retailers!AL133+Distributors_Cap!$P$47),0,(IF(BI134=0,ROUNDUP((2*(Retailers!AL133+Distributors_Cap!$P$47)-BD134)^0.5,0),ROUNDUP((2*(Retailers!AL133+Distributors_Cap!$P$47)-BD134)^0.5,0)))))))))</f>
        <v/>
      </c>
      <c r="W134" s="64" t="n">
        <v>138</v>
      </c>
      <c r="X134" s="9" t="n">
        <v>0</v>
      </c>
      <c r="Y134" s="9" t="n">
        <v>14</v>
      </c>
      <c r="Z134" s="9" t="n">
        <v>14</v>
      </c>
      <c r="AB134" s="2">
        <f>ROUNDDOWN(LOG((X134+1),2),0)</f>
        <v/>
      </c>
      <c r="AC134" s="2">
        <f>ROUNDDOWN(LOG((Y134+1),2),0)</f>
        <v/>
      </c>
      <c r="AD134" s="2">
        <f>ROUNDDOWN(LOG((Z134+1),2),0)</f>
        <v/>
      </c>
      <c r="AG134" s="64" t="n">
        <v>138</v>
      </c>
      <c r="AH134" s="9" t="n">
        <v>0</v>
      </c>
      <c r="AI134" s="9" t="n">
        <v>3</v>
      </c>
      <c r="AJ134" s="9" t="n">
        <v>3</v>
      </c>
      <c r="AQ134" s="64" t="n">
        <v>138</v>
      </c>
      <c r="AR134" s="64" t="n">
        <v>47.403</v>
      </c>
      <c r="AS134" s="64" t="n">
        <v>73.078</v>
      </c>
      <c r="AT134" s="64" t="n">
        <v>66.361</v>
      </c>
      <c r="AV134" s="64" t="n">
        <v>138</v>
      </c>
      <c r="AW134" s="64">
        <f>Beginning_stock!AT162</f>
        <v/>
      </c>
      <c r="AX134" s="64">
        <f>Beginning_stock!AU162</f>
        <v/>
      </c>
      <c r="AY134" s="64">
        <f>Beginning_stock!AV162</f>
        <v/>
      </c>
      <c r="BA134" s="64" t="n">
        <v>138</v>
      </c>
      <c r="BB134" s="64">
        <f>IF(Demand!AU151=Retailers_Cap!N134,"ret=0",(AW134/(Demand!AU151-Retailers_Cap!N134)))</f>
        <v/>
      </c>
      <c r="BC134" s="64">
        <f>IF(Demand!AV151=Retailers_Cap!O134,"ret=0",(AX134/(Demand!AV151-Retailers_Cap!O134)))</f>
        <v/>
      </c>
      <c r="BD134" s="64">
        <f>IF(Demand!AW151=Retailers_Cap!P134,"ret=0",(AY134/(Demand!AW151-Retailers_Cap!P134)))</f>
        <v/>
      </c>
      <c r="BF134" s="64" t="n">
        <v>138</v>
      </c>
      <c r="BG134" s="2">
        <f>IF(Demand!AU151&lt;=Retailers_Cap!N134,"ret=0",(IF(BB134&lt;=AR134+Distributors_Cap!$P$47,1,0)))</f>
        <v/>
      </c>
      <c r="BH134" s="2">
        <f>IF(Demand!AV151&lt;=Retailers_Cap!O134,"ret=0",(IF(BC134&lt;=AS134+Distributors_Cap!$P$47,1,0)))</f>
        <v/>
      </c>
      <c r="BI134" s="2">
        <f>IF(Demand!AW151&lt;=Retailers_Cap!P134,"ret=0",(IF(BD134&lt;=AT134+Distributors_Cap!$P$47,1,0)))</f>
        <v/>
      </c>
      <c r="BK134" s="64" t="n">
        <v>138</v>
      </c>
      <c r="BL134" s="64">
        <f>Retailers!BH133</f>
        <v/>
      </c>
      <c r="BM134" s="64">
        <f>Retailers!BI133</f>
        <v/>
      </c>
      <c r="BN134" s="64">
        <f>Retailers!BJ133</f>
        <v/>
      </c>
      <c r="BP134" s="64" t="n">
        <v>138</v>
      </c>
      <c r="BQ134" s="64">
        <f>#REF!</f>
        <v/>
      </c>
      <c r="BR134" s="64">
        <f>#REF!</f>
        <v/>
      </c>
      <c r="BS134" s="64">
        <f>#REF!</f>
        <v/>
      </c>
      <c r="BU134" s="64" t="n">
        <v>138</v>
      </c>
      <c r="BV134" s="64">
        <f>Retailers!AS133</f>
        <v/>
      </c>
      <c r="BW134" s="64">
        <f>Retailers!AT133</f>
        <v/>
      </c>
      <c r="BX134" s="64">
        <f>Retailers!AU133</f>
        <v/>
      </c>
      <c r="BZ134" s="64" t="n">
        <v>138</v>
      </c>
      <c r="CA134" s="64">
        <f>Results!#REF!</f>
        <v/>
      </c>
      <c r="CB134" s="64">
        <f>Results!#REF!</f>
        <v/>
      </c>
      <c r="CC134" s="64">
        <f>Results!#REF!</f>
        <v/>
      </c>
      <c r="CE134" s="64" t="n">
        <v>138</v>
      </c>
      <c r="CF134" s="64">
        <f>Retailers!BN133</f>
        <v/>
      </c>
      <c r="CG134" s="64">
        <f>Retailers!BO133</f>
        <v/>
      </c>
      <c r="CH134" s="64">
        <f>Retailers!BP133</f>
        <v/>
      </c>
      <c r="CJ134" s="64" t="n">
        <v>138</v>
      </c>
      <c r="CK134" s="64">
        <f>IF(BB134="ret=0",0,IF(BB134&gt;0,AR134+Distributors_Cap!$P$47-BB134,0))</f>
        <v/>
      </c>
      <c r="CL134" s="64">
        <f>IF(BC134="ret=0",0,IF(BC134&gt;0,AS134+Distributors_Cap!$P$47-BC134,0))</f>
        <v/>
      </c>
      <c r="CM134" s="64">
        <f>IF(BD134="ret=0",0,IF(BD134&gt;0,AT134+Distributors_Cap!$P$47-BD134,0))</f>
        <v/>
      </c>
    </row>
    <row r="135">
      <c r="G135" s="64" t="n">
        <v>139</v>
      </c>
      <c r="H135" s="64" t="n">
        <v>49.062</v>
      </c>
      <c r="I135" s="64" t="n">
        <v>79.155</v>
      </c>
      <c r="J135" s="64" t="n">
        <v>49.729</v>
      </c>
      <c r="L135" s="64">
        <f>TRUNC((_xlfn.NORM.INV((RAND()),$K$7,$K$8)),0)</f>
        <v/>
      </c>
      <c r="M135" s="64" t="n">
        <v>139</v>
      </c>
      <c r="N135" s="5" t="n">
        <v>43</v>
      </c>
      <c r="O135" s="5" t="n">
        <v>33</v>
      </c>
      <c r="P135" s="5" t="n">
        <v>10</v>
      </c>
      <c r="R135" s="2">
        <f>IF(N135&gt;Demand!AU152,0,(IF(((2*(Retailers!AJ134+Distributors_Cap!$P$47)-Retailers_Cap!$BB$7)*(Demand!AU152-Retailers_Cap!N135))&lt;0,0,((IF(BB135&gt;2*(Retailers!AJ134+Distributors_Cap!$P$47),0,(IF(BG135=0,ROUNDUP((2*(Retailers!AJ134+Distributors_Cap!$P$47)-BB135)^0.5,0),ROUNDUP((2*(Retailers!AJ134+Distributors_Cap!$P$47)-BB135)^0.5,0)))))))))</f>
        <v/>
      </c>
      <c r="S135" s="2">
        <f>IF(O135&gt;Demand!AV152,0,(IF(((2*(Retailers!AK134+Distributors_Cap!$P$47)-Retailers_Cap!$BB$7)*(Demand!AV152-Retailers_Cap!O135))&lt;0,0,((IF(BC135&gt;2*(Retailers!AK134+Distributors_Cap!$P$47),0,(IF(BH135=0,ROUNDUP((2*(Retailers!AK134+Distributors_Cap!$P$47)-BC135)^0.5,0),ROUNDUP((2*(Retailers!AK134+Distributors_Cap!$P$47)-BC135)^0.5,0)))))))))</f>
        <v/>
      </c>
      <c r="T135" s="2">
        <f>IF(P135&gt;Demand!AW152,0,(IF(((2*(Retailers!AL134+Distributors_Cap!$P$47)-Retailers_Cap!$BB$7)*(Demand!AW152-Retailers_Cap!P135))&lt;0,0,((IF(BD135&gt;2*(Retailers!AL134+Distributors_Cap!$P$47),0,(IF(BI135=0,ROUNDUP((2*(Retailers!AL134+Distributors_Cap!$P$47)-BD135)^0.5,0),ROUNDUP((2*(Retailers!AL134+Distributors_Cap!$P$47)-BD135)^0.5,0)))))))))</f>
        <v/>
      </c>
      <c r="W135" s="64" t="n">
        <v>139</v>
      </c>
      <c r="X135" s="9" t="n">
        <v>0</v>
      </c>
      <c r="Y135" s="9" t="n">
        <v>0</v>
      </c>
      <c r="Z135" s="9" t="n">
        <v>12</v>
      </c>
      <c r="AB135" s="2">
        <f>ROUNDDOWN(LOG((X135+1),2),0)</f>
        <v/>
      </c>
      <c r="AC135" s="2">
        <f>ROUNDDOWN(LOG((Y135+1),2),0)</f>
        <v/>
      </c>
      <c r="AD135" s="2">
        <f>ROUNDDOWN(LOG((Z135+1),2),0)</f>
        <v/>
      </c>
      <c r="AG135" s="64" t="n">
        <v>139</v>
      </c>
      <c r="AH135" s="9" t="n">
        <v>0</v>
      </c>
      <c r="AI135" s="9" t="n">
        <v>0</v>
      </c>
      <c r="AJ135" s="9" t="n">
        <v>3</v>
      </c>
      <c r="AQ135" s="64" t="n">
        <v>139</v>
      </c>
      <c r="AR135" s="64" t="n">
        <v>49.062</v>
      </c>
      <c r="AS135" s="64" t="n">
        <v>79.155</v>
      </c>
      <c r="AT135" s="64" t="n">
        <v>49.729</v>
      </c>
      <c r="AV135" s="64" t="n">
        <v>139</v>
      </c>
      <c r="AW135" s="64">
        <f>Beginning_stock!AT163</f>
        <v/>
      </c>
      <c r="AX135" s="64">
        <f>Beginning_stock!AU163</f>
        <v/>
      </c>
      <c r="AY135" s="64">
        <f>Beginning_stock!AV163</f>
        <v/>
      </c>
      <c r="BA135" s="64" t="n">
        <v>139</v>
      </c>
      <c r="BB135" s="64">
        <f>IF(Demand!AU152=Retailers_Cap!N135,"ret=0",(AW135/(Demand!AU152-Retailers_Cap!N135)))</f>
        <v/>
      </c>
      <c r="BC135" s="64">
        <f>IF(Demand!AV152=Retailers_Cap!O135,"ret=0",(AX135/(Demand!AV152-Retailers_Cap!O135)))</f>
        <v/>
      </c>
      <c r="BD135" s="64">
        <f>IF(Demand!AW152=Retailers_Cap!P135,"ret=0",(AY135/(Demand!AW152-Retailers_Cap!P135)))</f>
        <v/>
      </c>
      <c r="BF135" s="64" t="n">
        <v>139</v>
      </c>
      <c r="BG135" s="2">
        <f>IF(Demand!AU152&lt;=Retailers_Cap!N135,"ret=0",(IF(BB135&lt;=AR135+Distributors_Cap!$P$47,1,0)))</f>
        <v/>
      </c>
      <c r="BH135" s="2">
        <f>IF(Demand!AV152&lt;=Retailers_Cap!O135,"ret=0",(IF(BC135&lt;=AS135+Distributors_Cap!$P$47,1,0)))</f>
        <v/>
      </c>
      <c r="BI135" s="2">
        <f>IF(Demand!AW152&lt;=Retailers_Cap!P135,"ret=0",(IF(BD135&lt;=AT135+Distributors_Cap!$P$47,1,0)))</f>
        <v/>
      </c>
      <c r="BK135" s="64" t="n">
        <v>139</v>
      </c>
      <c r="BL135" s="64">
        <f>Retailers!BH134</f>
        <v/>
      </c>
      <c r="BM135" s="64">
        <f>Retailers!BI134</f>
        <v/>
      </c>
      <c r="BN135" s="64">
        <f>Retailers!BJ134</f>
        <v/>
      </c>
      <c r="BP135" s="64" t="n">
        <v>139</v>
      </c>
      <c r="BQ135" s="64">
        <f>#REF!</f>
        <v/>
      </c>
      <c r="BR135" s="64">
        <f>#REF!</f>
        <v/>
      </c>
      <c r="BS135" s="64">
        <f>#REF!</f>
        <v/>
      </c>
      <c r="BU135" s="64" t="n">
        <v>139</v>
      </c>
      <c r="BV135" s="64">
        <f>Retailers!AS134</f>
        <v/>
      </c>
      <c r="BW135" s="64">
        <f>Retailers!AT134</f>
        <v/>
      </c>
      <c r="BX135" s="64">
        <f>Retailers!AU134</f>
        <v/>
      </c>
      <c r="BZ135" s="64" t="n">
        <v>139</v>
      </c>
      <c r="CA135" s="64">
        <f>Results!#REF!</f>
        <v/>
      </c>
      <c r="CB135" s="64">
        <f>Results!#REF!</f>
        <v/>
      </c>
      <c r="CC135" s="64">
        <f>Results!#REF!</f>
        <v/>
      </c>
      <c r="CE135" s="64" t="n">
        <v>139</v>
      </c>
      <c r="CF135" s="64">
        <f>Retailers!BN134</f>
        <v/>
      </c>
      <c r="CG135" s="64">
        <f>Retailers!BO134</f>
        <v/>
      </c>
      <c r="CH135" s="64">
        <f>Retailers!BP134</f>
        <v/>
      </c>
      <c r="CJ135" s="64" t="n">
        <v>139</v>
      </c>
      <c r="CK135" s="64">
        <f>IF(BB135="ret=0",0,IF(BB135&gt;0,AR135+Distributors_Cap!$P$47-BB135,0))</f>
        <v/>
      </c>
      <c r="CL135" s="64">
        <f>IF(BC135="ret=0",0,IF(BC135&gt;0,AS135+Distributors_Cap!$P$47-BC135,0))</f>
        <v/>
      </c>
      <c r="CM135" s="64">
        <f>IF(BD135="ret=0",0,IF(BD135&gt;0,AT135+Distributors_Cap!$P$47-BD135,0))</f>
        <v/>
      </c>
    </row>
    <row r="136">
      <c r="G136" s="64" t="n">
        <v>140</v>
      </c>
      <c r="H136" s="64" t="n">
        <v>50.541</v>
      </c>
      <c r="I136" s="64" t="n">
        <v>48.226</v>
      </c>
      <c r="J136" s="64" t="n">
        <v>67.995</v>
      </c>
      <c r="L136" s="64">
        <f>TRUNC((_xlfn.NORM.INV((RAND()),$K$7,$K$8)),0)</f>
        <v/>
      </c>
      <c r="M136" s="64" t="n">
        <v>140</v>
      </c>
      <c r="N136" s="5" t="n">
        <v>17</v>
      </c>
      <c r="O136" s="5" t="n">
        <v>13</v>
      </c>
      <c r="P136" s="5" t="n">
        <v>33</v>
      </c>
      <c r="R136" s="2">
        <f>IF(N136&gt;Demand!AU153,0,(IF(((2*(Retailers!AJ135+Distributors_Cap!$P$47)-Retailers_Cap!$BB$7)*(Demand!AU153-Retailers_Cap!N136))&lt;0,0,((IF(BB136&gt;2*(Retailers!AJ135+Distributors_Cap!$P$47),0,(IF(BG136=0,ROUNDUP((2*(Retailers!AJ135+Distributors_Cap!$P$47)-BB136)^0.5,0),ROUNDUP((2*(Retailers!AJ135+Distributors_Cap!$P$47)-BB136)^0.5,0)))))))))</f>
        <v/>
      </c>
      <c r="S136" s="2">
        <f>IF(O136&gt;Demand!AV153,0,(IF(((2*(Retailers!AK135+Distributors_Cap!$P$47)-Retailers_Cap!$BB$7)*(Demand!AV153-Retailers_Cap!O136))&lt;0,0,((IF(BC136&gt;2*(Retailers!AK135+Distributors_Cap!$P$47),0,(IF(BH136=0,ROUNDUP((2*(Retailers!AK135+Distributors_Cap!$P$47)-BC136)^0.5,0),ROUNDUP((2*(Retailers!AK135+Distributors_Cap!$P$47)-BC136)^0.5,0)))))))))</f>
        <v/>
      </c>
      <c r="T136" s="2">
        <f>IF(P136&gt;Demand!AW153,0,(IF(((2*(Retailers!AL135+Distributors_Cap!$P$47)-Retailers_Cap!$BB$7)*(Demand!AW153-Retailers_Cap!P136))&lt;0,0,((IF(BD136&gt;2*(Retailers!AL135+Distributors_Cap!$P$47),0,(IF(BI136=0,ROUNDUP((2*(Retailers!AL135+Distributors_Cap!$P$47)-BD136)^0.5,0),ROUNDUP((2*(Retailers!AL135+Distributors_Cap!$P$47)-BD136)^0.5,0)))))))))</f>
        <v/>
      </c>
      <c r="W136" s="64" t="n">
        <v>140</v>
      </c>
      <c r="X136" s="9" t="n">
        <v>12</v>
      </c>
      <c r="Y136" s="9" t="n">
        <v>12</v>
      </c>
      <c r="Z136" s="9" t="n">
        <v>0</v>
      </c>
      <c r="AB136" s="2">
        <f>ROUNDDOWN(LOG((X136+1),2),0)</f>
        <v/>
      </c>
      <c r="AC136" s="2">
        <f>ROUNDDOWN(LOG((Y136+1),2),0)</f>
        <v/>
      </c>
      <c r="AD136" s="2">
        <f>ROUNDDOWN(LOG((Z136+1),2),0)</f>
        <v/>
      </c>
      <c r="AG136" s="64" t="n">
        <v>140</v>
      </c>
      <c r="AH136" s="9" t="n">
        <v>3</v>
      </c>
      <c r="AI136" s="9" t="n">
        <v>3</v>
      </c>
      <c r="AJ136" s="9" t="n">
        <v>0</v>
      </c>
      <c r="AQ136" s="64" t="n">
        <v>140</v>
      </c>
      <c r="AR136" s="64" t="n">
        <v>50.541</v>
      </c>
      <c r="AS136" s="64" t="n">
        <v>48.226</v>
      </c>
      <c r="AT136" s="64" t="n">
        <v>67.995</v>
      </c>
      <c r="AV136" s="64" t="n">
        <v>140</v>
      </c>
      <c r="AW136" s="64">
        <f>Beginning_stock!AT164</f>
        <v/>
      </c>
      <c r="AX136" s="64">
        <f>Beginning_stock!AU164</f>
        <v/>
      </c>
      <c r="AY136" s="64">
        <f>Beginning_stock!AV164</f>
        <v/>
      </c>
      <c r="BA136" s="64" t="n">
        <v>140</v>
      </c>
      <c r="BB136" s="64">
        <f>IF(Demand!AU153=Retailers_Cap!N136,"ret=0",(AW136/(Demand!AU153-Retailers_Cap!N136)))</f>
        <v/>
      </c>
      <c r="BC136" s="64">
        <f>IF(Demand!AV153=Retailers_Cap!O136,"ret=0",(AX136/(Demand!AV153-Retailers_Cap!O136)))</f>
        <v/>
      </c>
      <c r="BD136" s="64">
        <f>IF(Demand!AW153=Retailers_Cap!P136,"ret=0",(AY136/(Demand!AW153-Retailers_Cap!P136)))</f>
        <v/>
      </c>
      <c r="BF136" s="64" t="n">
        <v>140</v>
      </c>
      <c r="BG136" s="2">
        <f>IF(Demand!AU153&lt;=Retailers_Cap!N136,"ret=0",(IF(BB136&lt;=AR136+Distributors_Cap!$P$47,1,0)))</f>
        <v/>
      </c>
      <c r="BH136" s="2">
        <f>IF(Demand!AV153&lt;=Retailers_Cap!O136,"ret=0",(IF(BC136&lt;=AS136+Distributors_Cap!$P$47,1,0)))</f>
        <v/>
      </c>
      <c r="BI136" s="2">
        <f>IF(Demand!AW153&lt;=Retailers_Cap!P136,"ret=0",(IF(BD136&lt;=AT136+Distributors_Cap!$P$47,1,0)))</f>
        <v/>
      </c>
      <c r="BK136" s="64" t="n">
        <v>140</v>
      </c>
      <c r="BL136" s="64">
        <f>Retailers!BH135</f>
        <v/>
      </c>
      <c r="BM136" s="64">
        <f>Retailers!BI135</f>
        <v/>
      </c>
      <c r="BN136" s="64">
        <f>Retailers!BJ135</f>
        <v/>
      </c>
      <c r="BP136" s="64" t="n">
        <v>140</v>
      </c>
      <c r="BQ136" s="64">
        <f>#REF!</f>
        <v/>
      </c>
      <c r="BR136" s="64">
        <f>#REF!</f>
        <v/>
      </c>
      <c r="BS136" s="64">
        <f>#REF!</f>
        <v/>
      </c>
      <c r="BU136" s="64" t="n">
        <v>140</v>
      </c>
      <c r="BV136" s="64">
        <f>Retailers!AS135</f>
        <v/>
      </c>
      <c r="BW136" s="64">
        <f>Retailers!AT135</f>
        <v/>
      </c>
      <c r="BX136" s="64">
        <f>Retailers!AU135</f>
        <v/>
      </c>
      <c r="BZ136" s="64" t="n">
        <v>140</v>
      </c>
      <c r="CA136" s="64">
        <f>Results!#REF!</f>
        <v/>
      </c>
      <c r="CB136" s="64">
        <f>Results!#REF!</f>
        <v/>
      </c>
      <c r="CC136" s="64">
        <f>Results!#REF!</f>
        <v/>
      </c>
      <c r="CE136" s="64" t="n">
        <v>140</v>
      </c>
      <c r="CF136" s="64">
        <f>Retailers!BN135</f>
        <v/>
      </c>
      <c r="CG136" s="64">
        <f>Retailers!BO135</f>
        <v/>
      </c>
      <c r="CH136" s="64">
        <f>Retailers!BP135</f>
        <v/>
      </c>
      <c r="CJ136" s="64" t="n">
        <v>140</v>
      </c>
      <c r="CK136" s="64">
        <f>IF(BB136="ret=0",0,IF(BB136&gt;0,AR136+Distributors_Cap!$P$47-BB136,0))</f>
        <v/>
      </c>
      <c r="CL136" s="64">
        <f>IF(BC136="ret=0",0,IF(BC136&gt;0,AS136+Distributors_Cap!$P$47-BC136,0))</f>
        <v/>
      </c>
      <c r="CM136" s="64">
        <f>IF(BD136="ret=0",0,IF(BD136&gt;0,AT136+Distributors_Cap!$P$47-BD136,0))</f>
        <v/>
      </c>
    </row>
    <row r="137">
      <c r="G137" s="64" t="n">
        <v>141</v>
      </c>
      <c r="H137" s="64" t="n">
        <v>76.11</v>
      </c>
      <c r="I137" s="64" t="n">
        <v>57.858</v>
      </c>
      <c r="J137" s="64" t="n">
        <v>46.855</v>
      </c>
      <c r="L137" s="64">
        <f>TRUNC((_xlfn.NORM.INV((RAND()),$K$7,$K$8)),0)</f>
        <v/>
      </c>
      <c r="M137" s="64" t="n">
        <v>141</v>
      </c>
      <c r="N137" s="5" t="n">
        <v>15</v>
      </c>
      <c r="O137" s="5" t="n">
        <v>24</v>
      </c>
      <c r="P137" s="5" t="n">
        <v>34</v>
      </c>
      <c r="R137" s="2">
        <f>IF(N137&gt;Demand!AU154,0,(IF(((2*(Retailers!AJ136+Distributors_Cap!$P$47)-Retailers_Cap!$BB$7)*(Demand!AU154-Retailers_Cap!N137))&lt;0,0,((IF(BB137&gt;2*(Retailers!AJ136+Distributors_Cap!$P$47),0,(IF(BG137=0,ROUNDUP((2*(Retailers!AJ136+Distributors_Cap!$P$47)-BB137)^0.5,0),ROUNDUP((2*(Retailers!AJ136+Distributors_Cap!$P$47)-BB137)^0.5,0)))))))))</f>
        <v/>
      </c>
      <c r="S137" s="2">
        <f>IF(O137&gt;Demand!AV154,0,(IF(((2*(Retailers!AK136+Distributors_Cap!$P$47)-Retailers_Cap!$BB$7)*(Demand!AV154-Retailers_Cap!O137))&lt;0,0,((IF(BC137&gt;2*(Retailers!AK136+Distributors_Cap!$P$47),0,(IF(BH137=0,ROUNDUP((2*(Retailers!AK136+Distributors_Cap!$P$47)-BC137)^0.5,0),ROUNDUP((2*(Retailers!AK136+Distributors_Cap!$P$47)-BC137)^0.5,0)))))))))</f>
        <v/>
      </c>
      <c r="T137" s="2">
        <f>IF(P137&gt;Demand!AW154,0,(IF(((2*(Retailers!AL136+Distributors_Cap!$P$47)-Retailers_Cap!$BB$7)*(Demand!AW154-Retailers_Cap!P137))&lt;0,0,((IF(BD137&gt;2*(Retailers!AL136+Distributors_Cap!$P$47),0,(IF(BI137=0,ROUNDUP((2*(Retailers!AL136+Distributors_Cap!$P$47)-BD137)^0.5,0),ROUNDUP((2*(Retailers!AL136+Distributors_Cap!$P$47)-BD137)^0.5,0)))))))))</f>
        <v/>
      </c>
      <c r="W137" s="64" t="n">
        <v>141</v>
      </c>
      <c r="X137" s="9" t="n">
        <v>14</v>
      </c>
      <c r="Y137" s="9" t="n">
        <v>12</v>
      </c>
      <c r="Z137" s="9" t="n">
        <v>0</v>
      </c>
      <c r="AB137" s="2">
        <f>ROUNDDOWN(LOG((X137+1),2),0)</f>
        <v/>
      </c>
      <c r="AC137" s="2">
        <f>ROUNDDOWN(LOG((Y137+1),2),0)</f>
        <v/>
      </c>
      <c r="AD137" s="2">
        <f>ROUNDDOWN(LOG((Z137+1),2),0)</f>
        <v/>
      </c>
      <c r="AG137" s="64" t="n">
        <v>141</v>
      </c>
      <c r="AH137" s="9" t="n">
        <v>3</v>
      </c>
      <c r="AI137" s="9" t="n">
        <v>3</v>
      </c>
      <c r="AJ137" s="9" t="n">
        <v>0</v>
      </c>
      <c r="AQ137" s="64" t="n">
        <v>141</v>
      </c>
      <c r="AR137" s="64" t="n">
        <v>76.11</v>
      </c>
      <c r="AS137" s="64" t="n">
        <v>57.858</v>
      </c>
      <c r="AT137" s="64" t="n">
        <v>46.855</v>
      </c>
      <c r="AV137" s="64" t="n">
        <v>141</v>
      </c>
      <c r="AW137" s="64">
        <f>Beginning_stock!AT165</f>
        <v/>
      </c>
      <c r="AX137" s="64">
        <f>Beginning_stock!AU165</f>
        <v/>
      </c>
      <c r="AY137" s="64">
        <f>Beginning_stock!AV165</f>
        <v/>
      </c>
      <c r="BA137" s="64" t="n">
        <v>141</v>
      </c>
      <c r="BB137" s="64">
        <f>IF(Demand!AU154=Retailers_Cap!N137,"ret=0",(AW137/(Demand!AU154-Retailers_Cap!N137)))</f>
        <v/>
      </c>
      <c r="BC137" s="64">
        <f>IF(Demand!AV154=Retailers_Cap!O137,"ret=0",(AX137/(Demand!AV154-Retailers_Cap!O137)))</f>
        <v/>
      </c>
      <c r="BD137" s="64">
        <f>IF(Demand!AW154=Retailers_Cap!P137,"ret=0",(AY137/(Demand!AW154-Retailers_Cap!P137)))</f>
        <v/>
      </c>
      <c r="BF137" s="64" t="n">
        <v>141</v>
      </c>
      <c r="BG137" s="2">
        <f>IF(Demand!AU154&lt;=Retailers_Cap!N137,"ret=0",(IF(BB137&lt;=AR137+Distributors_Cap!$P$47,1,0)))</f>
        <v/>
      </c>
      <c r="BH137" s="2">
        <f>IF(Demand!AV154&lt;=Retailers_Cap!O137,"ret=0",(IF(BC137&lt;=AS137+Distributors_Cap!$P$47,1,0)))</f>
        <v/>
      </c>
      <c r="BI137" s="2">
        <f>IF(Demand!AW154&lt;=Retailers_Cap!P137,"ret=0",(IF(BD137&lt;=AT137+Distributors_Cap!$P$47,1,0)))</f>
        <v/>
      </c>
      <c r="BK137" s="64" t="n">
        <v>141</v>
      </c>
      <c r="BL137" s="64">
        <f>Retailers!BH136</f>
        <v/>
      </c>
      <c r="BM137" s="64">
        <f>Retailers!BI136</f>
        <v/>
      </c>
      <c r="BN137" s="64">
        <f>Retailers!BJ136</f>
        <v/>
      </c>
      <c r="BP137" s="64" t="n">
        <v>141</v>
      </c>
      <c r="BQ137" s="64">
        <f>#REF!</f>
        <v/>
      </c>
      <c r="BR137" s="64">
        <f>#REF!</f>
        <v/>
      </c>
      <c r="BS137" s="64">
        <f>#REF!</f>
        <v/>
      </c>
      <c r="BU137" s="64" t="n">
        <v>141</v>
      </c>
      <c r="BV137" s="64">
        <f>Retailers!AS136</f>
        <v/>
      </c>
      <c r="BW137" s="64">
        <f>Retailers!AT136</f>
        <v/>
      </c>
      <c r="BX137" s="64">
        <f>Retailers!AU136</f>
        <v/>
      </c>
      <c r="BZ137" s="64" t="n">
        <v>141</v>
      </c>
      <c r="CA137" s="64">
        <f>Results!#REF!</f>
        <v/>
      </c>
      <c r="CB137" s="64">
        <f>Results!#REF!</f>
        <v/>
      </c>
      <c r="CC137" s="64">
        <f>Results!#REF!</f>
        <v/>
      </c>
      <c r="CE137" s="64" t="n">
        <v>141</v>
      </c>
      <c r="CF137" s="64">
        <f>Retailers!BN136</f>
        <v/>
      </c>
      <c r="CG137" s="64">
        <f>Retailers!BO136</f>
        <v/>
      </c>
      <c r="CH137" s="64">
        <f>Retailers!BP136</f>
        <v/>
      </c>
      <c r="CJ137" s="64" t="n">
        <v>141</v>
      </c>
      <c r="CK137" s="64">
        <f>IF(BB137="ret=0",0,IF(BB137&gt;0,AR137+Distributors_Cap!$P$47-BB137,0))</f>
        <v/>
      </c>
      <c r="CL137" s="64">
        <f>IF(BC137="ret=0",0,IF(BC137&gt;0,AS137+Distributors_Cap!$P$47-BC137,0))</f>
        <v/>
      </c>
      <c r="CM137" s="64">
        <f>IF(BD137="ret=0",0,IF(BD137&gt;0,AT137+Distributors_Cap!$P$47-BD137,0))</f>
        <v/>
      </c>
    </row>
    <row r="138">
      <c r="G138" s="64" t="n">
        <v>142</v>
      </c>
      <c r="H138" s="64" t="n">
        <v>67.871</v>
      </c>
      <c r="I138" s="64" t="n">
        <v>57.163</v>
      </c>
      <c r="J138" s="64" t="n">
        <v>66.72199999999999</v>
      </c>
      <c r="L138" s="64">
        <f>TRUNC((_xlfn.NORM.INV((RAND()),$K$7,$K$8)),0)</f>
        <v/>
      </c>
      <c r="M138" s="64" t="n">
        <v>142</v>
      </c>
      <c r="N138" s="5" t="n">
        <v>36</v>
      </c>
      <c r="O138" s="5" t="n">
        <v>30</v>
      </c>
      <c r="P138" s="5" t="n">
        <v>13</v>
      </c>
      <c r="R138" s="2">
        <f>IF(N138&gt;Demand!AU155,0,(IF(((2*(Retailers!AJ137+Distributors_Cap!$P$47)-Retailers_Cap!$BB$7)*(Demand!AU155-Retailers_Cap!N138))&lt;0,0,((IF(BB138&gt;2*(Retailers!AJ137+Distributors_Cap!$P$47),0,(IF(BG138=0,ROUNDUP((2*(Retailers!AJ137+Distributors_Cap!$P$47)-BB138)^0.5,0),ROUNDUP((2*(Retailers!AJ137+Distributors_Cap!$P$47)-BB138)^0.5,0)))))))))</f>
        <v/>
      </c>
      <c r="S138" s="2">
        <f>IF(O138&gt;Demand!AV155,0,(IF(((2*(Retailers!AK137+Distributors_Cap!$P$47)-Retailers_Cap!$BB$7)*(Demand!AV155-Retailers_Cap!O138))&lt;0,0,((IF(BC138&gt;2*(Retailers!AK137+Distributors_Cap!$P$47),0,(IF(BH138=0,ROUNDUP((2*(Retailers!AK137+Distributors_Cap!$P$47)-BC138)^0.5,0),ROUNDUP((2*(Retailers!AK137+Distributors_Cap!$P$47)-BC138)^0.5,0)))))))))</f>
        <v/>
      </c>
      <c r="T138" s="2">
        <f>IF(P138&gt;Demand!AW155,0,(IF(((2*(Retailers!AL137+Distributors_Cap!$P$47)-Retailers_Cap!$BB$7)*(Demand!AW155-Retailers_Cap!P138))&lt;0,0,((IF(BD138&gt;2*(Retailers!AL137+Distributors_Cap!$P$47),0,(IF(BI138=0,ROUNDUP((2*(Retailers!AL137+Distributors_Cap!$P$47)-BD138)^0.5,0),ROUNDUP((2*(Retailers!AL137+Distributors_Cap!$P$47)-BD138)^0.5,0)))))))))</f>
        <v/>
      </c>
      <c r="W138" s="64" t="n">
        <v>142</v>
      </c>
      <c r="X138" s="9" t="n">
        <v>0</v>
      </c>
      <c r="Y138" s="9" t="n">
        <v>0</v>
      </c>
      <c r="Z138" s="9" t="n">
        <v>13</v>
      </c>
      <c r="AB138" s="2">
        <f>ROUNDDOWN(LOG((X138+1),2),0)</f>
        <v/>
      </c>
      <c r="AC138" s="2">
        <f>ROUNDDOWN(LOG((Y138+1),2),0)</f>
        <v/>
      </c>
      <c r="AD138" s="2">
        <f>ROUNDDOWN(LOG((Z138+1),2),0)</f>
        <v/>
      </c>
      <c r="AG138" s="64" t="n">
        <v>142</v>
      </c>
      <c r="AH138" s="9" t="n">
        <v>0</v>
      </c>
      <c r="AI138" s="9" t="n">
        <v>0</v>
      </c>
      <c r="AJ138" s="9" t="n">
        <v>3</v>
      </c>
      <c r="AQ138" s="64" t="n">
        <v>142</v>
      </c>
      <c r="AR138" s="64" t="n">
        <v>67.871</v>
      </c>
      <c r="AS138" s="64" t="n">
        <v>57.163</v>
      </c>
      <c r="AT138" s="64" t="n">
        <v>66.72199999999999</v>
      </c>
      <c r="AV138" s="64" t="n">
        <v>142</v>
      </c>
      <c r="AW138" s="64">
        <f>Beginning_stock!AT166</f>
        <v/>
      </c>
      <c r="AX138" s="64">
        <f>Beginning_stock!AU166</f>
        <v/>
      </c>
      <c r="AY138" s="64">
        <f>Beginning_stock!AV166</f>
        <v/>
      </c>
      <c r="BA138" s="64" t="n">
        <v>142</v>
      </c>
      <c r="BB138" s="64">
        <f>IF(Demand!AU155=Retailers_Cap!N138,"ret=0",(AW138/(Demand!AU155-Retailers_Cap!N138)))</f>
        <v/>
      </c>
      <c r="BC138" s="64">
        <f>IF(Demand!AV155=Retailers_Cap!O138,"ret=0",(AX138/(Demand!AV155-Retailers_Cap!O138)))</f>
        <v/>
      </c>
      <c r="BD138" s="64">
        <f>IF(Demand!AW155=Retailers_Cap!P138,"ret=0",(AY138/(Demand!AW155-Retailers_Cap!P138)))</f>
        <v/>
      </c>
      <c r="BF138" s="64" t="n">
        <v>142</v>
      </c>
      <c r="BG138" s="2">
        <f>IF(Demand!AU155&lt;=Retailers_Cap!N138,"ret=0",(IF(BB138&lt;=AR138+Distributors_Cap!$P$47,1,0)))</f>
        <v/>
      </c>
      <c r="BH138" s="2">
        <f>IF(Demand!AV155&lt;=Retailers_Cap!O138,"ret=0",(IF(BC138&lt;=AS138+Distributors_Cap!$P$47,1,0)))</f>
        <v/>
      </c>
      <c r="BI138" s="2">
        <f>IF(Demand!AW155&lt;=Retailers_Cap!P138,"ret=0",(IF(BD138&lt;=AT138+Distributors_Cap!$P$47,1,0)))</f>
        <v/>
      </c>
      <c r="BK138" s="64" t="n">
        <v>142</v>
      </c>
      <c r="BL138" s="64">
        <f>Retailers!BH137</f>
        <v/>
      </c>
      <c r="BM138" s="64">
        <f>Retailers!BI137</f>
        <v/>
      </c>
      <c r="BN138" s="64">
        <f>Retailers!BJ137</f>
        <v/>
      </c>
      <c r="BP138" s="64" t="n">
        <v>142</v>
      </c>
      <c r="BQ138" s="64">
        <f>#REF!</f>
        <v/>
      </c>
      <c r="BR138" s="64">
        <f>#REF!</f>
        <v/>
      </c>
      <c r="BS138" s="64">
        <f>#REF!</f>
        <v/>
      </c>
      <c r="BU138" s="64" t="n">
        <v>142</v>
      </c>
      <c r="BV138" s="64">
        <f>Retailers!AS137</f>
        <v/>
      </c>
      <c r="BW138" s="64">
        <f>Retailers!AT137</f>
        <v/>
      </c>
      <c r="BX138" s="64">
        <f>Retailers!AU137</f>
        <v/>
      </c>
      <c r="BZ138" s="64" t="n">
        <v>142</v>
      </c>
      <c r="CA138" s="64">
        <f>Results!#REF!</f>
        <v/>
      </c>
      <c r="CB138" s="64">
        <f>Results!#REF!</f>
        <v/>
      </c>
      <c r="CC138" s="64">
        <f>Results!#REF!</f>
        <v/>
      </c>
      <c r="CE138" s="64" t="n">
        <v>142</v>
      </c>
      <c r="CF138" s="64">
        <f>Retailers!BN137</f>
        <v/>
      </c>
      <c r="CG138" s="64">
        <f>Retailers!BO137</f>
        <v/>
      </c>
      <c r="CH138" s="64">
        <f>Retailers!BP137</f>
        <v/>
      </c>
      <c r="CJ138" s="64" t="n">
        <v>142</v>
      </c>
      <c r="CK138" s="64">
        <f>IF(BB138="ret=0",0,IF(BB138&gt;0,AR138+Distributors_Cap!$P$47-BB138,0))</f>
        <v/>
      </c>
      <c r="CL138" s="64">
        <f>IF(BC138="ret=0",0,IF(BC138&gt;0,AS138+Distributors_Cap!$P$47-BC138,0))</f>
        <v/>
      </c>
      <c r="CM138" s="64">
        <f>IF(BD138="ret=0",0,IF(BD138&gt;0,AT138+Distributors_Cap!$P$47-BD138,0))</f>
        <v/>
      </c>
    </row>
    <row r="139">
      <c r="G139" s="64" t="n">
        <v>143</v>
      </c>
      <c r="H139" s="64" t="n">
        <v>63.995</v>
      </c>
      <c r="I139" s="64" t="n">
        <v>70.626</v>
      </c>
      <c r="J139" s="64" t="n">
        <v>54.772</v>
      </c>
      <c r="L139" s="64">
        <f>TRUNC((_xlfn.NORM.INV((RAND()),$K$7,$K$8)),0)</f>
        <v/>
      </c>
      <c r="M139" s="64" t="n">
        <v>143</v>
      </c>
      <c r="N139" s="5" t="n">
        <v>21</v>
      </c>
      <c r="O139" s="5" t="n">
        <v>25</v>
      </c>
      <c r="P139" s="5" t="n">
        <v>17</v>
      </c>
      <c r="R139" s="2">
        <f>IF(N139&gt;Demand!AU156,0,(IF(((2*(Retailers!AJ138+Distributors_Cap!$P$47)-Retailers_Cap!$BB$7)*(Demand!AU156-Retailers_Cap!N139))&lt;0,0,((IF(BB139&gt;2*(Retailers!AJ138+Distributors_Cap!$P$47),0,(IF(BG139=0,ROUNDUP((2*(Retailers!AJ138+Distributors_Cap!$P$47)-BB139)^0.5,0),ROUNDUP((2*(Retailers!AJ138+Distributors_Cap!$P$47)-BB139)^0.5,0)))))))))</f>
        <v/>
      </c>
      <c r="S139" s="2">
        <f>IF(O139&gt;Demand!AV156,0,(IF(((2*(Retailers!AK138+Distributors_Cap!$P$47)-Retailers_Cap!$BB$7)*(Demand!AV156-Retailers_Cap!O139))&lt;0,0,((IF(BC139&gt;2*(Retailers!AK138+Distributors_Cap!$P$47),0,(IF(BH139=0,ROUNDUP((2*(Retailers!AK138+Distributors_Cap!$P$47)-BC139)^0.5,0),ROUNDUP((2*(Retailers!AK138+Distributors_Cap!$P$47)-BC139)^0.5,0)))))))))</f>
        <v/>
      </c>
      <c r="T139" s="2">
        <f>IF(P139&gt;Demand!AW156,0,(IF(((2*(Retailers!AL138+Distributors_Cap!$P$47)-Retailers_Cap!$BB$7)*(Demand!AW156-Retailers_Cap!P139))&lt;0,0,((IF(BD139&gt;2*(Retailers!AL138+Distributors_Cap!$P$47),0,(IF(BI139=0,ROUNDUP((2*(Retailers!AL138+Distributors_Cap!$P$47)-BD139)^0.5,0),ROUNDUP((2*(Retailers!AL138+Distributors_Cap!$P$47)-BD139)^0.5,0)))))))))</f>
        <v/>
      </c>
      <c r="W139" s="64" t="n">
        <v>143</v>
      </c>
      <c r="X139" s="9" t="n">
        <v>0</v>
      </c>
      <c r="Y139" s="9" t="n">
        <v>0</v>
      </c>
      <c r="Z139" s="9" t="n">
        <v>12</v>
      </c>
      <c r="AB139" s="2">
        <f>ROUNDDOWN(LOG((X139+1),2),0)</f>
        <v/>
      </c>
      <c r="AC139" s="2">
        <f>ROUNDDOWN(LOG((Y139+1),2),0)</f>
        <v/>
      </c>
      <c r="AD139" s="2">
        <f>ROUNDDOWN(LOG((Z139+1),2),0)</f>
        <v/>
      </c>
      <c r="AG139" s="64" t="n">
        <v>143</v>
      </c>
      <c r="AH139" s="9" t="n">
        <v>0</v>
      </c>
      <c r="AI139" s="9" t="n">
        <v>0</v>
      </c>
      <c r="AJ139" s="9" t="n">
        <v>3</v>
      </c>
      <c r="AQ139" s="64" t="n">
        <v>143</v>
      </c>
      <c r="AR139" s="64" t="n">
        <v>63.995</v>
      </c>
      <c r="AS139" s="64" t="n">
        <v>70.626</v>
      </c>
      <c r="AT139" s="64" t="n">
        <v>54.772</v>
      </c>
      <c r="AV139" s="64" t="n">
        <v>143</v>
      </c>
      <c r="AW139" s="64">
        <f>Beginning_stock!AT167</f>
        <v/>
      </c>
      <c r="AX139" s="64">
        <f>Beginning_stock!AU167</f>
        <v/>
      </c>
      <c r="AY139" s="64">
        <f>Beginning_stock!AV167</f>
        <v/>
      </c>
      <c r="BA139" s="64" t="n">
        <v>143</v>
      </c>
      <c r="BB139" s="64">
        <f>IF(Demand!AU156=Retailers_Cap!N139,"ret=0",(AW139/(Demand!AU156-Retailers_Cap!N139)))</f>
        <v/>
      </c>
      <c r="BC139" s="64">
        <f>IF(Demand!AV156=Retailers_Cap!O139,"ret=0",(AX139/(Demand!AV156-Retailers_Cap!O139)))</f>
        <v/>
      </c>
      <c r="BD139" s="64">
        <f>IF(Demand!AW156=Retailers_Cap!P139,"ret=0",(AY139/(Demand!AW156-Retailers_Cap!P139)))</f>
        <v/>
      </c>
      <c r="BF139" s="64" t="n">
        <v>143</v>
      </c>
      <c r="BG139" s="2">
        <f>IF(Demand!AU156&lt;=Retailers_Cap!N139,"ret=0",(IF(BB139&lt;=AR139+Distributors_Cap!$P$47,1,0)))</f>
        <v/>
      </c>
      <c r="BH139" s="2">
        <f>IF(Demand!AV156&lt;=Retailers_Cap!O139,"ret=0",(IF(BC139&lt;=AS139+Distributors_Cap!$P$47,1,0)))</f>
        <v/>
      </c>
      <c r="BI139" s="2">
        <f>IF(Demand!AW156&lt;=Retailers_Cap!P139,"ret=0",(IF(BD139&lt;=AT139+Distributors_Cap!$P$47,1,0)))</f>
        <v/>
      </c>
      <c r="BK139" s="64" t="n">
        <v>143</v>
      </c>
      <c r="BL139" s="64">
        <f>Retailers!BH138</f>
        <v/>
      </c>
      <c r="BM139" s="64">
        <f>Retailers!BI138</f>
        <v/>
      </c>
      <c r="BN139" s="64">
        <f>Retailers!BJ138</f>
        <v/>
      </c>
      <c r="BP139" s="64" t="n">
        <v>143</v>
      </c>
      <c r="BQ139" s="64">
        <f>#REF!</f>
        <v/>
      </c>
      <c r="BR139" s="64">
        <f>#REF!</f>
        <v/>
      </c>
      <c r="BS139" s="64">
        <f>#REF!</f>
        <v/>
      </c>
      <c r="BU139" s="64" t="n">
        <v>143</v>
      </c>
      <c r="BV139" s="64">
        <f>Retailers!AS138</f>
        <v/>
      </c>
      <c r="BW139" s="64">
        <f>Retailers!AT138</f>
        <v/>
      </c>
      <c r="BX139" s="64">
        <f>Retailers!AU138</f>
        <v/>
      </c>
      <c r="BZ139" s="64" t="n">
        <v>143</v>
      </c>
      <c r="CA139" s="64">
        <f>Results!#REF!</f>
        <v/>
      </c>
      <c r="CB139" s="64">
        <f>Results!#REF!</f>
        <v/>
      </c>
      <c r="CC139" s="64">
        <f>Results!#REF!</f>
        <v/>
      </c>
      <c r="CE139" s="64" t="n">
        <v>143</v>
      </c>
      <c r="CF139" s="64">
        <f>Retailers!BN138</f>
        <v/>
      </c>
      <c r="CG139" s="64">
        <f>Retailers!BO138</f>
        <v/>
      </c>
      <c r="CH139" s="64">
        <f>Retailers!BP138</f>
        <v/>
      </c>
      <c r="CJ139" s="64" t="n">
        <v>143</v>
      </c>
      <c r="CK139" s="64">
        <f>IF(BB139="ret=0",0,IF(BB139&gt;0,AR139+Distributors_Cap!$P$47-BB139,0))</f>
        <v/>
      </c>
      <c r="CL139" s="64">
        <f>IF(BC139="ret=0",0,IF(BC139&gt;0,AS139+Distributors_Cap!$P$47-BC139,0))</f>
        <v/>
      </c>
      <c r="CM139" s="64">
        <f>IF(BD139="ret=0",0,IF(BD139&gt;0,AT139+Distributors_Cap!$P$47-BD139,0))</f>
        <v/>
      </c>
    </row>
    <row r="140">
      <c r="G140" s="64" t="n">
        <v>144</v>
      </c>
      <c r="H140" s="64" t="n">
        <v>74.295</v>
      </c>
      <c r="I140" s="64" t="n">
        <v>82.404</v>
      </c>
      <c r="J140" s="64" t="n">
        <v>57.133</v>
      </c>
      <c r="L140" s="64">
        <f>TRUNC((_xlfn.NORM.INV((RAND()),$K$7,$K$8)),0)</f>
        <v/>
      </c>
      <c r="M140" s="64" t="n">
        <v>144</v>
      </c>
      <c r="N140" s="5" t="n">
        <v>24</v>
      </c>
      <c r="O140" s="5" t="n">
        <v>27</v>
      </c>
      <c r="P140" s="5" t="n">
        <v>29</v>
      </c>
      <c r="R140" s="2">
        <f>IF(N140&gt;Demand!AU157,0,(IF(((2*(Retailers!AJ139+Distributors_Cap!$P$47)-Retailers_Cap!$BB$7)*(Demand!AU157-Retailers_Cap!N140))&lt;0,0,((IF(BB140&gt;2*(Retailers!AJ139+Distributors_Cap!$P$47),0,(IF(BG140=0,ROUNDUP((2*(Retailers!AJ139+Distributors_Cap!$P$47)-BB140)^0.5,0),ROUNDUP((2*(Retailers!AJ139+Distributors_Cap!$P$47)-BB140)^0.5,0)))))))))</f>
        <v/>
      </c>
      <c r="S140" s="2">
        <f>IF(O140&gt;Demand!AV157,0,(IF(((2*(Retailers!AK139+Distributors_Cap!$P$47)-Retailers_Cap!$BB$7)*(Demand!AV157-Retailers_Cap!O140))&lt;0,0,((IF(BC140&gt;2*(Retailers!AK139+Distributors_Cap!$P$47),0,(IF(BH140=0,ROUNDUP((2*(Retailers!AK139+Distributors_Cap!$P$47)-BC140)^0.5,0),ROUNDUP((2*(Retailers!AK139+Distributors_Cap!$P$47)-BC140)^0.5,0)))))))))</f>
        <v/>
      </c>
      <c r="T140" s="2">
        <f>IF(P140&gt;Demand!AW157,0,(IF(((2*(Retailers!AL139+Distributors_Cap!$P$47)-Retailers_Cap!$BB$7)*(Demand!AW157-Retailers_Cap!P140))&lt;0,0,((IF(BD140&gt;2*(Retailers!AL139+Distributors_Cap!$P$47),0,(IF(BI140=0,ROUNDUP((2*(Retailers!AL139+Distributors_Cap!$P$47)-BD140)^0.5,0),ROUNDUP((2*(Retailers!AL139+Distributors_Cap!$P$47)-BD140)^0.5,0)))))))))</f>
        <v/>
      </c>
      <c r="W140" s="64" t="n">
        <v>144</v>
      </c>
      <c r="X140" s="9" t="n">
        <v>15</v>
      </c>
      <c r="Y140" s="9" t="n">
        <v>10</v>
      </c>
      <c r="Z140" s="9" t="n">
        <v>0</v>
      </c>
      <c r="AB140" s="2">
        <f>ROUNDDOWN(LOG((X140+1),2),0)</f>
        <v/>
      </c>
      <c r="AC140" s="2">
        <f>ROUNDDOWN(LOG((Y140+1),2),0)</f>
        <v/>
      </c>
      <c r="AD140" s="2">
        <f>ROUNDDOWN(LOG((Z140+1),2),0)</f>
        <v/>
      </c>
      <c r="AG140" s="64" t="n">
        <v>144</v>
      </c>
      <c r="AH140" s="9" t="n">
        <v>4</v>
      </c>
      <c r="AI140" s="9" t="n">
        <v>3</v>
      </c>
      <c r="AJ140" s="9" t="n">
        <v>0</v>
      </c>
      <c r="AQ140" s="64" t="n">
        <v>144</v>
      </c>
      <c r="AR140" s="64" t="n">
        <v>74.295</v>
      </c>
      <c r="AS140" s="64" t="n">
        <v>82.404</v>
      </c>
      <c r="AT140" s="64" t="n">
        <v>57.133</v>
      </c>
      <c r="AV140" s="64" t="n">
        <v>144</v>
      </c>
      <c r="AW140" s="64">
        <f>Beginning_stock!AT168</f>
        <v/>
      </c>
      <c r="AX140" s="64">
        <f>Beginning_stock!AU168</f>
        <v/>
      </c>
      <c r="AY140" s="64">
        <f>Beginning_stock!AV168</f>
        <v/>
      </c>
      <c r="BA140" s="64" t="n">
        <v>144</v>
      </c>
      <c r="BB140" s="64">
        <f>IF(Demand!AU157=Retailers_Cap!N140,"ret=0",(AW140/(Demand!AU157-Retailers_Cap!N140)))</f>
        <v/>
      </c>
      <c r="BC140" s="64">
        <f>IF(Demand!AV157=Retailers_Cap!O140,"ret=0",(AX140/(Demand!AV157-Retailers_Cap!O140)))</f>
        <v/>
      </c>
      <c r="BD140" s="64">
        <f>IF(Demand!AW157=Retailers_Cap!P140,"ret=0",(AY140/(Demand!AW157-Retailers_Cap!P140)))</f>
        <v/>
      </c>
      <c r="BF140" s="64" t="n">
        <v>144</v>
      </c>
      <c r="BG140" s="2">
        <f>IF(Demand!AU157&lt;=Retailers_Cap!N140,"ret=0",(IF(BB140&lt;=AR140+Distributors_Cap!$P$47,1,0)))</f>
        <v/>
      </c>
      <c r="BH140" s="2">
        <f>IF(Demand!AV157&lt;=Retailers_Cap!O140,"ret=0",(IF(BC140&lt;=AS140+Distributors_Cap!$P$47,1,0)))</f>
        <v/>
      </c>
      <c r="BI140" s="2">
        <f>IF(Demand!AW157&lt;=Retailers_Cap!P140,"ret=0",(IF(BD140&lt;=AT140+Distributors_Cap!$P$47,1,0)))</f>
        <v/>
      </c>
      <c r="BK140" s="64" t="n">
        <v>144</v>
      </c>
      <c r="BL140" s="64">
        <f>Retailers!BH139</f>
        <v/>
      </c>
      <c r="BM140" s="64">
        <f>Retailers!BI139</f>
        <v/>
      </c>
      <c r="BN140" s="64">
        <f>Retailers!BJ139</f>
        <v/>
      </c>
      <c r="BP140" s="64" t="n">
        <v>144</v>
      </c>
      <c r="BQ140" s="64">
        <f>#REF!</f>
        <v/>
      </c>
      <c r="BR140" s="64">
        <f>#REF!</f>
        <v/>
      </c>
      <c r="BS140" s="64">
        <f>#REF!</f>
        <v/>
      </c>
      <c r="BU140" s="64" t="n">
        <v>144</v>
      </c>
      <c r="BV140" s="64">
        <f>Retailers!AS139</f>
        <v/>
      </c>
      <c r="BW140" s="64">
        <f>Retailers!AT139</f>
        <v/>
      </c>
      <c r="BX140" s="64">
        <f>Retailers!AU139</f>
        <v/>
      </c>
      <c r="BZ140" s="64" t="n">
        <v>144</v>
      </c>
      <c r="CA140" s="64">
        <f>Results!#REF!</f>
        <v/>
      </c>
      <c r="CB140" s="64">
        <f>Results!#REF!</f>
        <v/>
      </c>
      <c r="CC140" s="64">
        <f>Results!#REF!</f>
        <v/>
      </c>
      <c r="CE140" s="64" t="n">
        <v>144</v>
      </c>
      <c r="CF140" s="64">
        <f>Retailers!BN139</f>
        <v/>
      </c>
      <c r="CG140" s="64">
        <f>Retailers!BO139</f>
        <v/>
      </c>
      <c r="CH140" s="64">
        <f>Retailers!BP139</f>
        <v/>
      </c>
      <c r="CJ140" s="64" t="n">
        <v>144</v>
      </c>
      <c r="CK140" s="64">
        <f>IF(BB140="ret=0",0,IF(BB140&gt;0,AR140+Distributors_Cap!$P$47-BB140,0))</f>
        <v/>
      </c>
      <c r="CL140" s="64">
        <f>IF(BC140="ret=0",0,IF(BC140&gt;0,AS140+Distributors_Cap!$P$47-BC140,0))</f>
        <v/>
      </c>
      <c r="CM140" s="64">
        <f>IF(BD140="ret=0",0,IF(BD140&gt;0,AT140+Distributors_Cap!$P$47-BD140,0))</f>
        <v/>
      </c>
    </row>
    <row r="141">
      <c r="G141" s="64" t="n">
        <v>145</v>
      </c>
      <c r="H141" s="64" t="n">
        <v>75.38500000000001</v>
      </c>
      <c r="I141" s="64" t="n">
        <v>70.164</v>
      </c>
      <c r="J141" s="64" t="n">
        <v>59.14</v>
      </c>
      <c r="L141" s="64">
        <f>TRUNC((_xlfn.NORM.INV((RAND()),$K$7,$K$8)),0)</f>
        <v/>
      </c>
      <c r="M141" s="64" t="n">
        <v>145</v>
      </c>
      <c r="N141" s="5" t="n">
        <v>21</v>
      </c>
      <c r="O141" s="5" t="n">
        <v>30</v>
      </c>
      <c r="P141" s="5" t="n">
        <v>23</v>
      </c>
      <c r="R141" s="2">
        <f>IF(N141&gt;Demand!AU158,0,(IF(((2*(Retailers!AJ140+Distributors_Cap!$P$47)-Retailers_Cap!$BB$7)*(Demand!AU158-Retailers_Cap!N141))&lt;0,0,((IF(BB141&gt;2*(Retailers!AJ140+Distributors_Cap!$P$47),0,(IF(BG141=0,ROUNDUP((2*(Retailers!AJ140+Distributors_Cap!$P$47)-BB141)^0.5,0),ROUNDUP((2*(Retailers!AJ140+Distributors_Cap!$P$47)-BB141)^0.5,0)))))))))</f>
        <v/>
      </c>
      <c r="S141" s="2">
        <f>IF(O141&gt;Demand!AV158,0,(IF(((2*(Retailers!AK140+Distributors_Cap!$P$47)-Retailers_Cap!$BB$7)*(Demand!AV158-Retailers_Cap!O141))&lt;0,0,((IF(BC141&gt;2*(Retailers!AK140+Distributors_Cap!$P$47),0,(IF(BH141=0,ROUNDUP((2*(Retailers!AK140+Distributors_Cap!$P$47)-BC141)^0.5,0),ROUNDUP((2*(Retailers!AK140+Distributors_Cap!$P$47)-BC141)^0.5,0)))))))))</f>
        <v/>
      </c>
      <c r="T141" s="2">
        <f>IF(P141&gt;Demand!AW158,0,(IF(((2*(Retailers!AL140+Distributors_Cap!$P$47)-Retailers_Cap!$BB$7)*(Demand!AW158-Retailers_Cap!P141))&lt;0,0,((IF(BD141&gt;2*(Retailers!AL140+Distributors_Cap!$P$47),0,(IF(BI141=0,ROUNDUP((2*(Retailers!AL140+Distributors_Cap!$P$47)-BD141)^0.5,0),ROUNDUP((2*(Retailers!AL140+Distributors_Cap!$P$47)-BD141)^0.5,0)))))))))</f>
        <v/>
      </c>
      <c r="W141" s="64" t="n">
        <v>145</v>
      </c>
      <c r="X141" s="9" t="n">
        <v>14</v>
      </c>
      <c r="Y141" s="9" t="n">
        <v>13</v>
      </c>
      <c r="Z141" s="9" t="n">
        <v>0</v>
      </c>
      <c r="AB141" s="2">
        <f>ROUNDDOWN(LOG((X141+1),2),0)</f>
        <v/>
      </c>
      <c r="AC141" s="2">
        <f>ROUNDDOWN(LOG((Y141+1),2),0)</f>
        <v/>
      </c>
      <c r="AD141" s="2">
        <f>ROUNDDOWN(LOG((Z141+1),2),0)</f>
        <v/>
      </c>
      <c r="AG141" s="64" t="n">
        <v>145</v>
      </c>
      <c r="AH141" s="9" t="n">
        <v>3</v>
      </c>
      <c r="AI141" s="9" t="n">
        <v>3</v>
      </c>
      <c r="AJ141" s="9" t="n">
        <v>0</v>
      </c>
      <c r="AQ141" s="64" t="n">
        <v>145</v>
      </c>
      <c r="AR141" s="64" t="n">
        <v>75.38500000000001</v>
      </c>
      <c r="AS141" s="64" t="n">
        <v>70.164</v>
      </c>
      <c r="AT141" s="64" t="n">
        <v>59.14</v>
      </c>
      <c r="AV141" s="64" t="n">
        <v>145</v>
      </c>
      <c r="AW141" s="64">
        <f>Beginning_stock!AT169</f>
        <v/>
      </c>
      <c r="AX141" s="64">
        <f>Beginning_stock!AU169</f>
        <v/>
      </c>
      <c r="AY141" s="64">
        <f>Beginning_stock!AV169</f>
        <v/>
      </c>
      <c r="BA141" s="64" t="n">
        <v>145</v>
      </c>
      <c r="BB141" s="64">
        <f>IF(Demand!AU158=Retailers_Cap!N141,"ret=0",(AW141/(Demand!AU158-Retailers_Cap!N141)))</f>
        <v/>
      </c>
      <c r="BC141" s="64">
        <f>IF(Demand!AV158=Retailers_Cap!O141,"ret=0",(AX141/(Demand!AV158-Retailers_Cap!O141)))</f>
        <v/>
      </c>
      <c r="BD141" s="64">
        <f>IF(Demand!AW158=Retailers_Cap!P141,"ret=0",(AY141/(Demand!AW158-Retailers_Cap!P141)))</f>
        <v/>
      </c>
      <c r="BF141" s="64" t="n">
        <v>145</v>
      </c>
      <c r="BG141" s="2">
        <f>IF(Demand!AU158&lt;=Retailers_Cap!N141,"ret=0",(IF(BB141&lt;=AR141+Distributors_Cap!$P$47,1,0)))</f>
        <v/>
      </c>
      <c r="BH141" s="2">
        <f>IF(Demand!AV158&lt;=Retailers_Cap!O141,"ret=0",(IF(BC141&lt;=AS141+Distributors_Cap!$P$47,1,0)))</f>
        <v/>
      </c>
      <c r="BI141" s="2">
        <f>IF(Demand!AW158&lt;=Retailers_Cap!P141,"ret=0",(IF(BD141&lt;=AT141+Distributors_Cap!$P$47,1,0)))</f>
        <v/>
      </c>
      <c r="BK141" s="64" t="n">
        <v>145</v>
      </c>
      <c r="BL141" s="64">
        <f>Retailers!BH140</f>
        <v/>
      </c>
      <c r="BM141" s="64">
        <f>Retailers!BI140</f>
        <v/>
      </c>
      <c r="BN141" s="64">
        <f>Retailers!BJ140</f>
        <v/>
      </c>
      <c r="BP141" s="64" t="n">
        <v>145</v>
      </c>
      <c r="BQ141" s="64">
        <f>#REF!</f>
        <v/>
      </c>
      <c r="BR141" s="64">
        <f>#REF!</f>
        <v/>
      </c>
      <c r="BS141" s="64">
        <f>#REF!</f>
        <v/>
      </c>
      <c r="BU141" s="64" t="n">
        <v>145</v>
      </c>
      <c r="BV141" s="64">
        <f>Retailers!AS140</f>
        <v/>
      </c>
      <c r="BW141" s="64">
        <f>Retailers!AT140</f>
        <v/>
      </c>
      <c r="BX141" s="64">
        <f>Retailers!AU140</f>
        <v/>
      </c>
      <c r="BZ141" s="64" t="n">
        <v>145</v>
      </c>
      <c r="CA141" s="64">
        <f>Results!#REF!</f>
        <v/>
      </c>
      <c r="CB141" s="64">
        <f>Results!#REF!</f>
        <v/>
      </c>
      <c r="CC141" s="64">
        <f>Results!#REF!</f>
        <v/>
      </c>
      <c r="CE141" s="64" t="n">
        <v>145</v>
      </c>
      <c r="CF141" s="64">
        <f>Retailers!BN140</f>
        <v/>
      </c>
      <c r="CG141" s="64">
        <f>Retailers!BO140</f>
        <v/>
      </c>
      <c r="CH141" s="64">
        <f>Retailers!BP140</f>
        <v/>
      </c>
      <c r="CJ141" s="64" t="n">
        <v>145</v>
      </c>
      <c r="CK141" s="64">
        <f>IF(BB141="ret=0",0,IF(BB141&gt;0,AR141+Distributors_Cap!$P$47-BB141,0))</f>
        <v/>
      </c>
      <c r="CL141" s="64">
        <f>IF(BC141="ret=0",0,IF(BC141&gt;0,AS141+Distributors_Cap!$P$47-BC141,0))</f>
        <v/>
      </c>
      <c r="CM141" s="64">
        <f>IF(BD141="ret=0",0,IF(BD141&gt;0,AT141+Distributors_Cap!$P$47-BD141,0))</f>
        <v/>
      </c>
    </row>
    <row r="142">
      <c r="G142" s="64" t="n">
        <v>146</v>
      </c>
      <c r="H142" s="64" t="n">
        <v>43.344</v>
      </c>
      <c r="I142" s="64" t="n">
        <v>69.349</v>
      </c>
      <c r="J142" s="64" t="n">
        <v>40.613</v>
      </c>
      <c r="L142" s="64">
        <f>TRUNC((_xlfn.NORM.INV((RAND()),$K$7,$K$8)),0)</f>
        <v/>
      </c>
      <c r="M142" s="64" t="n">
        <v>146</v>
      </c>
      <c r="N142" s="5" t="n">
        <v>24</v>
      </c>
      <c r="O142" s="5" t="n">
        <v>35</v>
      </c>
      <c r="P142" s="5" t="n">
        <v>20</v>
      </c>
      <c r="R142" s="2">
        <f>IF(N142&gt;Demand!AU159,0,(IF(((2*(Retailers!AJ141+Distributors_Cap!$P$47)-Retailers_Cap!$BB$7)*(Demand!AU159-Retailers_Cap!N142))&lt;0,0,((IF(BB142&gt;2*(Retailers!AJ141+Distributors_Cap!$P$47),0,(IF(BG142=0,ROUNDUP((2*(Retailers!AJ141+Distributors_Cap!$P$47)-BB142)^0.5,0),ROUNDUP((2*(Retailers!AJ141+Distributors_Cap!$P$47)-BB142)^0.5,0)))))))))</f>
        <v/>
      </c>
      <c r="S142" s="2">
        <f>IF(O142&gt;Demand!AV159,0,(IF(((2*(Retailers!AK141+Distributors_Cap!$P$47)-Retailers_Cap!$BB$7)*(Demand!AV159-Retailers_Cap!O142))&lt;0,0,((IF(BC142&gt;2*(Retailers!AK141+Distributors_Cap!$P$47),0,(IF(BH142=0,ROUNDUP((2*(Retailers!AK141+Distributors_Cap!$P$47)-BC142)^0.5,0),ROUNDUP((2*(Retailers!AK141+Distributors_Cap!$P$47)-BC142)^0.5,0)))))))))</f>
        <v/>
      </c>
      <c r="T142" s="2">
        <f>IF(P142&gt;Demand!AW159,0,(IF(((2*(Retailers!AL141+Distributors_Cap!$P$47)-Retailers_Cap!$BB$7)*(Demand!AW159-Retailers_Cap!P142))&lt;0,0,((IF(BD142&gt;2*(Retailers!AL141+Distributors_Cap!$P$47),0,(IF(BI142=0,ROUNDUP((2*(Retailers!AL141+Distributors_Cap!$P$47)-BD142)^0.5,0),ROUNDUP((2*(Retailers!AL141+Distributors_Cap!$P$47)-BD142)^0.5,0)))))))))</f>
        <v/>
      </c>
      <c r="W142" s="64" t="n">
        <v>146</v>
      </c>
      <c r="X142" s="9" t="n">
        <v>10</v>
      </c>
      <c r="Y142" s="9" t="n">
        <v>14</v>
      </c>
      <c r="Z142" s="9" t="n">
        <v>11</v>
      </c>
      <c r="AB142" s="2">
        <f>ROUNDDOWN(LOG((X142+1),2),0)</f>
        <v/>
      </c>
      <c r="AC142" s="2">
        <f>ROUNDDOWN(LOG((Y142+1),2),0)</f>
        <v/>
      </c>
      <c r="AD142" s="2">
        <f>ROUNDDOWN(LOG((Z142+1),2),0)</f>
        <v/>
      </c>
      <c r="AG142" s="64" t="n">
        <v>146</v>
      </c>
      <c r="AH142" s="9" t="n">
        <v>3</v>
      </c>
      <c r="AI142" s="9" t="n">
        <v>3</v>
      </c>
      <c r="AJ142" s="9" t="n">
        <v>3</v>
      </c>
      <c r="AQ142" s="64" t="n">
        <v>146</v>
      </c>
      <c r="AR142" s="64" t="n">
        <v>43.344</v>
      </c>
      <c r="AS142" s="64" t="n">
        <v>69.349</v>
      </c>
      <c r="AT142" s="64" t="n">
        <v>40.613</v>
      </c>
      <c r="AV142" s="64" t="n">
        <v>146</v>
      </c>
      <c r="AW142" s="64">
        <f>Beginning_stock!AT170</f>
        <v/>
      </c>
      <c r="AX142" s="64">
        <f>Beginning_stock!AU170</f>
        <v/>
      </c>
      <c r="AY142" s="64">
        <f>Beginning_stock!AV170</f>
        <v/>
      </c>
      <c r="BA142" s="64" t="n">
        <v>146</v>
      </c>
      <c r="BB142" s="64">
        <f>IF(Demand!AU159=Retailers_Cap!N142,"ret=0",(AW142/(Demand!AU159-Retailers_Cap!N142)))</f>
        <v/>
      </c>
      <c r="BC142" s="64">
        <f>IF(Demand!AV159=Retailers_Cap!O142,"ret=0",(AX142/(Demand!AV159-Retailers_Cap!O142)))</f>
        <v/>
      </c>
      <c r="BD142" s="64">
        <f>IF(Demand!AW159=Retailers_Cap!P142,"ret=0",(AY142/(Demand!AW159-Retailers_Cap!P142)))</f>
        <v/>
      </c>
      <c r="BF142" s="64" t="n">
        <v>146</v>
      </c>
      <c r="BG142" s="2">
        <f>IF(Demand!AU159&lt;=Retailers_Cap!N142,"ret=0",(IF(BB142&lt;=AR142+Distributors_Cap!$P$47,1,0)))</f>
        <v/>
      </c>
      <c r="BH142" s="2">
        <f>IF(Demand!AV159&lt;=Retailers_Cap!O142,"ret=0",(IF(BC142&lt;=AS142+Distributors_Cap!$P$47,1,0)))</f>
        <v/>
      </c>
      <c r="BI142" s="2">
        <f>IF(Demand!AW159&lt;=Retailers_Cap!P142,"ret=0",(IF(BD142&lt;=AT142+Distributors_Cap!$P$47,1,0)))</f>
        <v/>
      </c>
      <c r="BK142" s="64" t="n">
        <v>146</v>
      </c>
      <c r="BL142" s="64">
        <f>Retailers!BH141</f>
        <v/>
      </c>
      <c r="BM142" s="64">
        <f>Retailers!BI141</f>
        <v/>
      </c>
      <c r="BN142" s="64">
        <f>Retailers!BJ141</f>
        <v/>
      </c>
      <c r="BP142" s="64" t="n">
        <v>146</v>
      </c>
      <c r="BQ142" s="64">
        <f>#REF!</f>
        <v/>
      </c>
      <c r="BR142" s="64">
        <f>#REF!</f>
        <v/>
      </c>
      <c r="BS142" s="64">
        <f>#REF!</f>
        <v/>
      </c>
      <c r="BU142" s="64" t="n">
        <v>146</v>
      </c>
      <c r="BV142" s="64">
        <f>Retailers!AS141</f>
        <v/>
      </c>
      <c r="BW142" s="64">
        <f>Retailers!AT141</f>
        <v/>
      </c>
      <c r="BX142" s="64">
        <f>Retailers!AU141</f>
        <v/>
      </c>
      <c r="BZ142" s="64" t="n">
        <v>146</v>
      </c>
      <c r="CA142" s="64">
        <f>Results!#REF!</f>
        <v/>
      </c>
      <c r="CB142" s="64">
        <f>Results!#REF!</f>
        <v/>
      </c>
      <c r="CC142" s="64">
        <f>Results!#REF!</f>
        <v/>
      </c>
      <c r="CE142" s="64" t="n">
        <v>146</v>
      </c>
      <c r="CF142" s="64">
        <f>Retailers!BN141</f>
        <v/>
      </c>
      <c r="CG142" s="64">
        <f>Retailers!BO141</f>
        <v/>
      </c>
      <c r="CH142" s="64">
        <f>Retailers!BP141</f>
        <v/>
      </c>
      <c r="CJ142" s="64" t="n">
        <v>146</v>
      </c>
      <c r="CK142" s="64">
        <f>IF(BB142="ret=0",0,IF(BB142&gt;0,AR142+Distributors_Cap!$P$47-BB142,0))</f>
        <v/>
      </c>
      <c r="CL142" s="64">
        <f>IF(BC142="ret=0",0,IF(BC142&gt;0,AS142+Distributors_Cap!$P$47-BC142,0))</f>
        <v/>
      </c>
      <c r="CM142" s="64">
        <f>IF(BD142="ret=0",0,IF(BD142&gt;0,AT142+Distributors_Cap!$P$47-BD142,0))</f>
        <v/>
      </c>
    </row>
    <row r="143">
      <c r="G143" s="64" t="n">
        <v>147</v>
      </c>
      <c r="H143" s="64" t="n">
        <v>51.188</v>
      </c>
      <c r="I143" s="64" t="n">
        <v>63.994</v>
      </c>
      <c r="J143" s="64" t="n">
        <v>40.286</v>
      </c>
      <c r="L143" s="64">
        <f>TRUNC((_xlfn.NORM.INV((RAND()),$K$7,$K$8)),0)</f>
        <v/>
      </c>
      <c r="M143" s="64" t="n">
        <v>147</v>
      </c>
      <c r="N143" s="5" t="n">
        <v>26</v>
      </c>
      <c r="O143" s="5" t="n">
        <v>21</v>
      </c>
      <c r="P143" s="5" t="n">
        <v>30</v>
      </c>
      <c r="R143" s="2">
        <f>IF(N143&gt;Demand!AU160,0,(IF(((2*(Retailers!AJ142+Distributors_Cap!$P$47)-Retailers_Cap!$BB$7)*(Demand!AU160-Retailers_Cap!N143))&lt;0,0,((IF(BB143&gt;2*(Retailers!AJ142+Distributors_Cap!$P$47),0,(IF(BG143=0,ROUNDUP((2*(Retailers!AJ142+Distributors_Cap!$P$47)-BB143)^0.5,0),ROUNDUP((2*(Retailers!AJ142+Distributors_Cap!$P$47)-BB143)^0.5,0)))))))))</f>
        <v/>
      </c>
      <c r="S143" s="2">
        <f>IF(O143&gt;Demand!AV160,0,(IF(((2*(Retailers!AK142+Distributors_Cap!$P$47)-Retailers_Cap!$BB$7)*(Demand!AV160-Retailers_Cap!O143))&lt;0,0,((IF(BC143&gt;2*(Retailers!AK142+Distributors_Cap!$P$47),0,(IF(BH143=0,ROUNDUP((2*(Retailers!AK142+Distributors_Cap!$P$47)-BC143)^0.5,0),ROUNDUP((2*(Retailers!AK142+Distributors_Cap!$P$47)-BC143)^0.5,0)))))))))</f>
        <v/>
      </c>
      <c r="T143" s="2">
        <f>IF(P143&gt;Demand!AW160,0,(IF(((2*(Retailers!AL142+Distributors_Cap!$P$47)-Retailers_Cap!$BB$7)*(Demand!AW160-Retailers_Cap!P143))&lt;0,0,((IF(BD143&gt;2*(Retailers!AL142+Distributors_Cap!$P$47),0,(IF(BI143=0,ROUNDUP((2*(Retailers!AL142+Distributors_Cap!$P$47)-BD143)^0.5,0),ROUNDUP((2*(Retailers!AL142+Distributors_Cap!$P$47)-BD143)^0.5,0)))))))))</f>
        <v/>
      </c>
      <c r="W143" s="64" t="n">
        <v>147</v>
      </c>
      <c r="X143" s="9" t="n">
        <v>0</v>
      </c>
      <c r="Y143" s="9" t="n">
        <v>0</v>
      </c>
      <c r="Z143" s="9" t="n">
        <v>0</v>
      </c>
      <c r="AB143" s="2">
        <f>ROUNDDOWN(LOG((X143+1),2),0)</f>
        <v/>
      </c>
      <c r="AC143" s="2">
        <f>ROUNDDOWN(LOG((Y143+1),2),0)</f>
        <v/>
      </c>
      <c r="AD143" s="2">
        <f>ROUNDDOWN(LOG((Z143+1),2),0)</f>
        <v/>
      </c>
      <c r="AG143" s="64" t="n">
        <v>147</v>
      </c>
      <c r="AH143" s="9" t="n">
        <v>0</v>
      </c>
      <c r="AI143" s="9" t="n">
        <v>0</v>
      </c>
      <c r="AJ143" s="9" t="n">
        <v>0</v>
      </c>
      <c r="AQ143" s="64" t="n">
        <v>147</v>
      </c>
      <c r="AR143" s="64" t="n">
        <v>51.188</v>
      </c>
      <c r="AS143" s="64" t="n">
        <v>63.994</v>
      </c>
      <c r="AT143" s="64" t="n">
        <v>40.286</v>
      </c>
      <c r="AV143" s="64" t="n">
        <v>147</v>
      </c>
      <c r="AW143" s="64">
        <f>Beginning_stock!AT171</f>
        <v/>
      </c>
      <c r="AX143" s="64">
        <f>Beginning_stock!AU171</f>
        <v/>
      </c>
      <c r="AY143" s="64">
        <f>Beginning_stock!AV171</f>
        <v/>
      </c>
      <c r="BA143" s="64" t="n">
        <v>147</v>
      </c>
      <c r="BB143" s="64">
        <f>IF(Demand!AU160=Retailers_Cap!N143,"ret=0",(AW143/(Demand!AU160-Retailers_Cap!N143)))</f>
        <v/>
      </c>
      <c r="BC143" s="64">
        <f>IF(Demand!AV160=Retailers_Cap!O143,"ret=0",(AX143/(Demand!AV160-Retailers_Cap!O143)))</f>
        <v/>
      </c>
      <c r="BD143" s="64">
        <f>IF(Demand!AW160=Retailers_Cap!P143,"ret=0",(AY143/(Demand!AW160-Retailers_Cap!P143)))</f>
        <v/>
      </c>
      <c r="BF143" s="64" t="n">
        <v>147</v>
      </c>
      <c r="BG143" s="2">
        <f>IF(Demand!AU160&lt;=Retailers_Cap!N143,"ret=0",(IF(BB143&lt;=AR143+Distributors_Cap!$P$47,1,0)))</f>
        <v/>
      </c>
      <c r="BH143" s="2">
        <f>IF(Demand!AV160&lt;=Retailers_Cap!O143,"ret=0",(IF(BC143&lt;=AS143+Distributors_Cap!$P$47,1,0)))</f>
        <v/>
      </c>
      <c r="BI143" s="2">
        <f>IF(Demand!AW160&lt;=Retailers_Cap!P143,"ret=0",(IF(BD143&lt;=AT143+Distributors_Cap!$P$47,1,0)))</f>
        <v/>
      </c>
      <c r="BK143" s="64" t="n">
        <v>147</v>
      </c>
      <c r="BL143" s="64">
        <f>Retailers!BH142</f>
        <v/>
      </c>
      <c r="BM143" s="64">
        <f>Retailers!BI142</f>
        <v/>
      </c>
      <c r="BN143" s="64">
        <f>Retailers!BJ142</f>
        <v/>
      </c>
      <c r="BP143" s="64" t="n">
        <v>147</v>
      </c>
      <c r="BQ143" s="64">
        <f>#REF!</f>
        <v/>
      </c>
      <c r="BR143" s="64">
        <f>#REF!</f>
        <v/>
      </c>
      <c r="BS143" s="64">
        <f>#REF!</f>
        <v/>
      </c>
      <c r="BU143" s="64" t="n">
        <v>147</v>
      </c>
      <c r="BV143" s="64">
        <f>Retailers!AS142</f>
        <v/>
      </c>
      <c r="BW143" s="64">
        <f>Retailers!AT142</f>
        <v/>
      </c>
      <c r="BX143" s="64">
        <f>Retailers!AU142</f>
        <v/>
      </c>
      <c r="BZ143" s="64" t="n">
        <v>147</v>
      </c>
      <c r="CA143" s="64">
        <f>Results!#REF!</f>
        <v/>
      </c>
      <c r="CB143" s="64">
        <f>Results!#REF!</f>
        <v/>
      </c>
      <c r="CC143" s="64">
        <f>Results!#REF!</f>
        <v/>
      </c>
      <c r="CE143" s="64" t="n">
        <v>147</v>
      </c>
      <c r="CF143" s="64">
        <f>Retailers!BN142</f>
        <v/>
      </c>
      <c r="CG143" s="64">
        <f>Retailers!BO142</f>
        <v/>
      </c>
      <c r="CH143" s="64">
        <f>Retailers!BP142</f>
        <v/>
      </c>
      <c r="CJ143" s="64" t="n">
        <v>147</v>
      </c>
      <c r="CK143" s="64">
        <f>IF(BB143="ret=0",0,IF(BB143&gt;0,AR143+Distributors_Cap!$P$47-BB143,0))</f>
        <v/>
      </c>
      <c r="CL143" s="64">
        <f>IF(BC143="ret=0",0,IF(BC143&gt;0,AS143+Distributors_Cap!$P$47-BC143,0))</f>
        <v/>
      </c>
      <c r="CM143" s="64">
        <f>IF(BD143="ret=0",0,IF(BD143&gt;0,AT143+Distributors_Cap!$P$47-BD143,0))</f>
        <v/>
      </c>
    </row>
    <row r="144">
      <c r="G144" s="64" t="n">
        <v>148</v>
      </c>
      <c r="H144" s="64" t="n">
        <v>44.197</v>
      </c>
      <c r="I144" s="64" t="n">
        <v>62.191</v>
      </c>
      <c r="J144" s="64" t="n">
        <v>39.225</v>
      </c>
      <c r="L144" s="64">
        <f>TRUNC((_xlfn.NORM.INV((RAND()),$K$7,$K$8)),0)</f>
        <v/>
      </c>
      <c r="M144" s="64" t="n">
        <v>148</v>
      </c>
      <c r="N144" s="5" t="n">
        <v>30</v>
      </c>
      <c r="O144" s="5" t="n">
        <v>43</v>
      </c>
      <c r="P144" s="5" t="n">
        <v>28</v>
      </c>
      <c r="R144" s="2">
        <f>IF(N144&gt;Demand!AU161,0,(IF(((2*(Retailers!AJ143+Distributors_Cap!$P$47)-Retailers_Cap!$BB$7)*(Demand!AU161-Retailers_Cap!N144))&lt;0,0,((IF(BB144&gt;2*(Retailers!AJ143+Distributors_Cap!$P$47),0,(IF(BG144=0,ROUNDUP((2*(Retailers!AJ143+Distributors_Cap!$P$47)-BB144)^0.5,0),ROUNDUP((2*(Retailers!AJ143+Distributors_Cap!$P$47)-BB144)^0.5,0)))))))))</f>
        <v/>
      </c>
      <c r="S144" s="2">
        <f>IF(O144&gt;Demand!AV161,0,(IF(((2*(Retailers!AK143+Distributors_Cap!$P$47)-Retailers_Cap!$BB$7)*(Demand!AV161-Retailers_Cap!O144))&lt;0,0,((IF(BC144&gt;2*(Retailers!AK143+Distributors_Cap!$P$47),0,(IF(BH144=0,ROUNDUP((2*(Retailers!AK143+Distributors_Cap!$P$47)-BC144)^0.5,0),ROUNDUP((2*(Retailers!AK143+Distributors_Cap!$P$47)-BC144)^0.5,0)))))))))</f>
        <v/>
      </c>
      <c r="T144" s="2">
        <f>IF(P144&gt;Demand!AW161,0,(IF(((2*(Retailers!AL143+Distributors_Cap!$P$47)-Retailers_Cap!$BB$7)*(Demand!AW161-Retailers_Cap!P144))&lt;0,0,((IF(BD144&gt;2*(Retailers!AL143+Distributors_Cap!$P$47),0,(IF(BI144=0,ROUNDUP((2*(Retailers!AL143+Distributors_Cap!$P$47)-BD144)^0.5,0),ROUNDUP((2*(Retailers!AL143+Distributors_Cap!$P$47)-BD144)^0.5,0)))))))))</f>
        <v/>
      </c>
      <c r="W144" s="64" t="n">
        <v>148</v>
      </c>
      <c r="X144" s="9" t="n">
        <v>8</v>
      </c>
      <c r="Y144" s="9" t="n">
        <v>0</v>
      </c>
      <c r="Z144" s="9" t="n">
        <v>0</v>
      </c>
      <c r="AB144" s="2">
        <f>ROUNDDOWN(LOG((X144+1),2),0)</f>
        <v/>
      </c>
      <c r="AC144" s="2">
        <f>ROUNDDOWN(LOG((Y144+1),2),0)</f>
        <v/>
      </c>
      <c r="AD144" s="2">
        <f>ROUNDDOWN(LOG((Z144+1),2),0)</f>
        <v/>
      </c>
      <c r="AG144" s="64" t="n">
        <v>148</v>
      </c>
      <c r="AH144" s="9" t="n">
        <v>3</v>
      </c>
      <c r="AI144" s="9" t="n">
        <v>0</v>
      </c>
      <c r="AJ144" s="9" t="n">
        <v>0</v>
      </c>
      <c r="AQ144" s="64" t="n">
        <v>148</v>
      </c>
      <c r="AR144" s="64" t="n">
        <v>44.197</v>
      </c>
      <c r="AS144" s="64" t="n">
        <v>62.191</v>
      </c>
      <c r="AT144" s="64" t="n">
        <v>39.225</v>
      </c>
      <c r="AV144" s="64" t="n">
        <v>148</v>
      </c>
      <c r="AW144" s="64">
        <f>Beginning_stock!AT172</f>
        <v/>
      </c>
      <c r="AX144" s="64">
        <f>Beginning_stock!AU172</f>
        <v/>
      </c>
      <c r="AY144" s="64">
        <f>Beginning_stock!AV172</f>
        <v/>
      </c>
      <c r="BA144" s="64" t="n">
        <v>148</v>
      </c>
      <c r="BB144" s="64">
        <f>IF(Demand!AU161=Retailers_Cap!N144,"ret=0",(AW144/(Demand!AU161-Retailers_Cap!N144)))</f>
        <v/>
      </c>
      <c r="BC144" s="64">
        <f>IF(Demand!AV161=Retailers_Cap!O144,"ret=0",(AX144/(Demand!AV161-Retailers_Cap!O144)))</f>
        <v/>
      </c>
      <c r="BD144" s="64">
        <f>IF(Demand!AW161=Retailers_Cap!P144,"ret=0",(AY144/(Demand!AW161-Retailers_Cap!P144)))</f>
        <v/>
      </c>
      <c r="BF144" s="64" t="n">
        <v>148</v>
      </c>
      <c r="BG144" s="2">
        <f>IF(Demand!AU161&lt;=Retailers_Cap!N144,"ret=0",(IF(BB144&lt;=AR144+Distributors_Cap!$P$47,1,0)))</f>
        <v/>
      </c>
      <c r="BH144" s="2">
        <f>IF(Demand!AV161&lt;=Retailers_Cap!O144,"ret=0",(IF(BC144&lt;=AS144+Distributors_Cap!$P$47,1,0)))</f>
        <v/>
      </c>
      <c r="BI144" s="2">
        <f>IF(Demand!AW161&lt;=Retailers_Cap!P144,"ret=0",(IF(BD144&lt;=AT144+Distributors_Cap!$P$47,1,0)))</f>
        <v/>
      </c>
      <c r="BK144" s="64" t="n">
        <v>148</v>
      </c>
      <c r="BL144" s="64">
        <f>Retailers!BH143</f>
        <v/>
      </c>
      <c r="BM144" s="64">
        <f>Retailers!BI143</f>
        <v/>
      </c>
      <c r="BN144" s="64">
        <f>Retailers!BJ143</f>
        <v/>
      </c>
      <c r="BP144" s="64" t="n">
        <v>148</v>
      </c>
      <c r="BQ144" s="64">
        <f>#REF!</f>
        <v/>
      </c>
      <c r="BR144" s="64">
        <f>#REF!</f>
        <v/>
      </c>
      <c r="BS144" s="64">
        <f>#REF!</f>
        <v/>
      </c>
      <c r="BU144" s="64" t="n">
        <v>148</v>
      </c>
      <c r="BV144" s="64">
        <f>Retailers!AS143</f>
        <v/>
      </c>
      <c r="BW144" s="64">
        <f>Retailers!AT143</f>
        <v/>
      </c>
      <c r="BX144" s="64">
        <f>Retailers!AU143</f>
        <v/>
      </c>
      <c r="BZ144" s="64" t="n">
        <v>148</v>
      </c>
      <c r="CA144" s="64">
        <f>Results!#REF!</f>
        <v/>
      </c>
      <c r="CB144" s="64">
        <f>Results!#REF!</f>
        <v/>
      </c>
      <c r="CC144" s="64">
        <f>Results!#REF!</f>
        <v/>
      </c>
      <c r="CE144" s="64" t="n">
        <v>148</v>
      </c>
      <c r="CF144" s="64">
        <f>Retailers!BN143</f>
        <v/>
      </c>
      <c r="CG144" s="64">
        <f>Retailers!BO143</f>
        <v/>
      </c>
      <c r="CH144" s="64">
        <f>Retailers!BP143</f>
        <v/>
      </c>
      <c r="CJ144" s="64" t="n">
        <v>148</v>
      </c>
      <c r="CK144" s="64">
        <f>IF(BB144="ret=0",0,IF(BB144&gt;0,AR144+Distributors_Cap!$P$47-BB144,0))</f>
        <v/>
      </c>
      <c r="CL144" s="64">
        <f>IF(BC144="ret=0",0,IF(BC144&gt;0,AS144+Distributors_Cap!$P$47-BC144,0))</f>
        <v/>
      </c>
      <c r="CM144" s="64">
        <f>IF(BD144="ret=0",0,IF(BD144&gt;0,AT144+Distributors_Cap!$P$47-BD144,0))</f>
        <v/>
      </c>
    </row>
    <row r="145">
      <c r="G145" s="64" t="n">
        <v>149</v>
      </c>
      <c r="H145" s="64" t="n">
        <v>65.712</v>
      </c>
      <c r="I145" s="64" t="n">
        <v>58.954</v>
      </c>
      <c r="J145" s="64" t="n">
        <v>59.24</v>
      </c>
      <c r="L145" s="64">
        <f>TRUNC((_xlfn.NORM.INV((RAND()),$K$7,$K$8)),0)</f>
        <v/>
      </c>
      <c r="M145" s="64" t="n">
        <v>149</v>
      </c>
      <c r="N145" s="5" t="n">
        <v>17</v>
      </c>
      <c r="O145" s="5" t="n">
        <v>29</v>
      </c>
      <c r="P145" s="5" t="n">
        <v>27</v>
      </c>
      <c r="R145" s="2">
        <f>IF(N145&gt;Demand!AU162,0,(IF(((2*(Retailers!AJ144+Distributors_Cap!$P$47)-Retailers_Cap!$BB$7)*(Demand!AU162-Retailers_Cap!N145))&lt;0,0,((IF(BB145&gt;2*(Retailers!AJ144+Distributors_Cap!$P$47),0,(IF(BG145=0,ROUNDUP((2*(Retailers!AJ144+Distributors_Cap!$P$47)-BB145)^0.5,0),ROUNDUP((2*(Retailers!AJ144+Distributors_Cap!$P$47)-BB145)^0.5,0)))))))))</f>
        <v/>
      </c>
      <c r="S145" s="2">
        <f>IF(O145&gt;Demand!AV162,0,(IF(((2*(Retailers!AK144+Distributors_Cap!$P$47)-Retailers_Cap!$BB$7)*(Demand!AV162-Retailers_Cap!O145))&lt;0,0,((IF(BC145&gt;2*(Retailers!AK144+Distributors_Cap!$P$47),0,(IF(BH145=0,ROUNDUP((2*(Retailers!AK144+Distributors_Cap!$P$47)-BC145)^0.5,0),ROUNDUP((2*(Retailers!AK144+Distributors_Cap!$P$47)-BC145)^0.5,0)))))))))</f>
        <v/>
      </c>
      <c r="T145" s="2">
        <f>IF(P145&gt;Demand!AW162,0,(IF(((2*(Retailers!AL144+Distributors_Cap!$P$47)-Retailers_Cap!$BB$7)*(Demand!AW162-Retailers_Cap!P145))&lt;0,0,((IF(BD145&gt;2*(Retailers!AL144+Distributors_Cap!$P$47),0,(IF(BI145=0,ROUNDUP((2*(Retailers!AL144+Distributors_Cap!$P$47)-BD145)^0.5,0),ROUNDUP((2*(Retailers!AL144+Distributors_Cap!$P$47)-BD145)^0.5,0)))))))))</f>
        <v/>
      </c>
      <c r="W145" s="64" t="n">
        <v>149</v>
      </c>
      <c r="X145" s="9" t="n">
        <v>14</v>
      </c>
      <c r="Y145" s="9" t="n">
        <v>0</v>
      </c>
      <c r="Z145" s="9" t="n">
        <v>10</v>
      </c>
      <c r="AB145" s="2">
        <f>ROUNDDOWN(LOG((X145+1),2),0)</f>
        <v/>
      </c>
      <c r="AC145" s="2">
        <f>ROUNDDOWN(LOG((Y145+1),2),0)</f>
        <v/>
      </c>
      <c r="AD145" s="2">
        <f>ROUNDDOWN(LOG((Z145+1),2),0)</f>
        <v/>
      </c>
      <c r="AG145" s="64" t="n">
        <v>149</v>
      </c>
      <c r="AH145" s="9" t="n">
        <v>3</v>
      </c>
      <c r="AI145" s="9" t="n">
        <v>0</v>
      </c>
      <c r="AJ145" s="9" t="n">
        <v>3</v>
      </c>
      <c r="AQ145" s="64" t="n">
        <v>149</v>
      </c>
      <c r="AR145" s="64" t="n">
        <v>65.712</v>
      </c>
      <c r="AS145" s="64" t="n">
        <v>58.954</v>
      </c>
      <c r="AT145" s="64" t="n">
        <v>59.24</v>
      </c>
      <c r="AV145" s="64" t="n">
        <v>149</v>
      </c>
      <c r="AW145" s="64">
        <f>Beginning_stock!AT173</f>
        <v/>
      </c>
      <c r="AX145" s="64">
        <f>Beginning_stock!AU173</f>
        <v/>
      </c>
      <c r="AY145" s="64">
        <f>Beginning_stock!AV173</f>
        <v/>
      </c>
      <c r="BA145" s="64" t="n">
        <v>149</v>
      </c>
      <c r="BB145" s="64">
        <f>IF(Demand!AU162=Retailers_Cap!N145,"ret=0",(AW145/(Demand!AU162-Retailers_Cap!N145)))</f>
        <v/>
      </c>
      <c r="BC145" s="64">
        <f>IF(Demand!AV162=Retailers_Cap!O145,"ret=0",(AX145/(Demand!AV162-Retailers_Cap!O145)))</f>
        <v/>
      </c>
      <c r="BD145" s="64">
        <f>IF(Demand!AW162=Retailers_Cap!P145,"ret=0",(AY145/(Demand!AW162-Retailers_Cap!P145)))</f>
        <v/>
      </c>
      <c r="BF145" s="64" t="n">
        <v>149</v>
      </c>
      <c r="BG145" s="2">
        <f>IF(Demand!AU162&lt;=Retailers_Cap!N145,"ret=0",(IF(BB145&lt;=AR145+Distributors_Cap!$P$47,1,0)))</f>
        <v/>
      </c>
      <c r="BH145" s="2">
        <f>IF(Demand!AV162&lt;=Retailers_Cap!O145,"ret=0",(IF(BC145&lt;=AS145+Distributors_Cap!$P$47,1,0)))</f>
        <v/>
      </c>
      <c r="BI145" s="2">
        <f>IF(Demand!AW162&lt;=Retailers_Cap!P145,"ret=0",(IF(BD145&lt;=AT145+Distributors_Cap!$P$47,1,0)))</f>
        <v/>
      </c>
      <c r="BK145" s="64" t="n">
        <v>149</v>
      </c>
      <c r="BL145" s="64">
        <f>Retailers!BH144</f>
        <v/>
      </c>
      <c r="BM145" s="64">
        <f>Retailers!BI144</f>
        <v/>
      </c>
      <c r="BN145" s="64">
        <f>Retailers!BJ144</f>
        <v/>
      </c>
      <c r="BP145" s="64" t="n">
        <v>149</v>
      </c>
      <c r="BQ145" s="64">
        <f>#REF!</f>
        <v/>
      </c>
      <c r="BR145" s="64">
        <f>#REF!</f>
        <v/>
      </c>
      <c r="BS145" s="64">
        <f>#REF!</f>
        <v/>
      </c>
      <c r="BU145" s="64" t="n">
        <v>149</v>
      </c>
      <c r="BV145" s="64">
        <f>Retailers!AS144</f>
        <v/>
      </c>
      <c r="BW145" s="64">
        <f>Retailers!AT144</f>
        <v/>
      </c>
      <c r="BX145" s="64">
        <f>Retailers!AU144</f>
        <v/>
      </c>
      <c r="BZ145" s="64" t="n">
        <v>149</v>
      </c>
      <c r="CA145" s="64">
        <f>Results!#REF!</f>
        <v/>
      </c>
      <c r="CB145" s="64">
        <f>Results!#REF!</f>
        <v/>
      </c>
      <c r="CC145" s="64">
        <f>Results!#REF!</f>
        <v/>
      </c>
      <c r="CE145" s="64" t="n">
        <v>149</v>
      </c>
      <c r="CF145" s="64">
        <f>Retailers!BN144</f>
        <v/>
      </c>
      <c r="CG145" s="64">
        <f>Retailers!BO144</f>
        <v/>
      </c>
      <c r="CH145" s="64">
        <f>Retailers!BP144</f>
        <v/>
      </c>
      <c r="CJ145" s="64" t="n">
        <v>149</v>
      </c>
      <c r="CK145" s="64">
        <f>IF(BB145="ret=0",0,IF(BB145&gt;0,AR145+Distributors_Cap!$P$47-BB145,0))</f>
        <v/>
      </c>
      <c r="CL145" s="64">
        <f>IF(BC145="ret=0",0,IF(BC145&gt;0,AS145+Distributors_Cap!$P$47-BC145,0))</f>
        <v/>
      </c>
      <c r="CM145" s="64">
        <f>IF(BD145="ret=0",0,IF(BD145&gt;0,AT145+Distributors_Cap!$P$47-BD145,0))</f>
        <v/>
      </c>
    </row>
    <row r="146">
      <c r="G146" s="64" t="n">
        <v>150</v>
      </c>
      <c r="H146" s="64" t="n">
        <v>59.492</v>
      </c>
      <c r="I146" s="64" t="n">
        <v>58.161</v>
      </c>
      <c r="J146" s="64" t="n">
        <v>69.736</v>
      </c>
      <c r="L146" s="64">
        <f>TRUNC((_xlfn.NORM.INV((RAND()),$K$7,$K$8)),0)</f>
        <v/>
      </c>
      <c r="M146" s="64" t="n">
        <v>150</v>
      </c>
      <c r="N146" s="5" t="n">
        <v>30</v>
      </c>
      <c r="O146" s="5" t="n">
        <v>36</v>
      </c>
      <c r="P146" s="5" t="n">
        <v>22</v>
      </c>
      <c r="R146" s="2">
        <f>IF(N146&gt;Demand!AU163,0,(IF(((2*(Retailers!AJ145+Distributors_Cap!$P$47)-Retailers_Cap!$BB$7)*(Demand!AU163-Retailers_Cap!N146))&lt;0,0,((IF(BB146&gt;2*(Retailers!AJ145+Distributors_Cap!$P$47),0,(IF(BG146=0,ROUNDUP((2*(Retailers!AJ145+Distributors_Cap!$P$47)-BB146)^0.5,0),ROUNDUP((2*(Retailers!AJ145+Distributors_Cap!$P$47)-BB146)^0.5,0)))))))))</f>
        <v/>
      </c>
      <c r="S146" s="2">
        <f>IF(O146&gt;Demand!AV163,0,(IF(((2*(Retailers!AK145+Distributors_Cap!$P$47)-Retailers_Cap!$BB$7)*(Demand!AV163-Retailers_Cap!O146))&lt;0,0,((IF(BC146&gt;2*(Retailers!AK145+Distributors_Cap!$P$47),0,(IF(BH146=0,ROUNDUP((2*(Retailers!AK145+Distributors_Cap!$P$47)-BC146)^0.5,0),ROUNDUP((2*(Retailers!AK145+Distributors_Cap!$P$47)-BC146)^0.5,0)))))))))</f>
        <v/>
      </c>
      <c r="T146" s="2">
        <f>IF(P146&gt;Demand!AW163,0,(IF(((2*(Retailers!AL145+Distributors_Cap!$P$47)-Retailers_Cap!$BB$7)*(Demand!AW163-Retailers_Cap!P146))&lt;0,0,((IF(BD146&gt;2*(Retailers!AL145+Distributors_Cap!$P$47),0,(IF(BI146=0,ROUNDUP((2*(Retailers!AL145+Distributors_Cap!$P$47)-BD146)^0.5,0),ROUNDUP((2*(Retailers!AL145+Distributors_Cap!$P$47)-BD146)^0.5,0)))))))))</f>
        <v/>
      </c>
      <c r="W146" s="64" t="n">
        <v>150</v>
      </c>
      <c r="X146" s="9" t="n">
        <v>0</v>
      </c>
      <c r="Y146" s="9" t="n">
        <v>0</v>
      </c>
      <c r="Z146" s="9" t="n">
        <v>8</v>
      </c>
      <c r="AB146" s="2">
        <f>ROUNDDOWN(LOG((X146+1),2),0)</f>
        <v/>
      </c>
      <c r="AC146" s="2">
        <f>ROUNDDOWN(LOG((Y146+1),2),0)</f>
        <v/>
      </c>
      <c r="AD146" s="2">
        <f>ROUNDDOWN(LOG((Z146+1),2),0)</f>
        <v/>
      </c>
      <c r="AG146" s="64" t="n">
        <v>150</v>
      </c>
      <c r="AH146" s="9" t="n">
        <v>0</v>
      </c>
      <c r="AI146" s="9" t="n">
        <v>0</v>
      </c>
      <c r="AJ146" s="9" t="n">
        <v>3</v>
      </c>
      <c r="AQ146" s="64" t="n">
        <v>150</v>
      </c>
      <c r="AR146" s="64" t="n">
        <v>59.492</v>
      </c>
      <c r="AS146" s="64" t="n">
        <v>58.161</v>
      </c>
      <c r="AT146" s="64" t="n">
        <v>69.736</v>
      </c>
      <c r="AV146" s="64" t="n">
        <v>150</v>
      </c>
      <c r="AW146" s="64">
        <f>Beginning_stock!AT174</f>
        <v/>
      </c>
      <c r="AX146" s="64">
        <f>Beginning_stock!AU174</f>
        <v/>
      </c>
      <c r="AY146" s="64">
        <f>Beginning_stock!AV174</f>
        <v/>
      </c>
      <c r="BA146" s="64" t="n">
        <v>150</v>
      </c>
      <c r="BB146" s="64">
        <f>IF(Demand!AU163=Retailers_Cap!N146,"ret=0",(AW146/(Demand!AU163-Retailers_Cap!N146)))</f>
        <v/>
      </c>
      <c r="BC146" s="64">
        <f>IF(Demand!AV163=Retailers_Cap!O146,"ret=0",(AX146/(Demand!AV163-Retailers_Cap!O146)))</f>
        <v/>
      </c>
      <c r="BD146" s="64">
        <f>IF(Demand!AW163=Retailers_Cap!P146,"ret=0",(AY146/(Demand!AW163-Retailers_Cap!P146)))</f>
        <v/>
      </c>
      <c r="BF146" s="64" t="n">
        <v>150</v>
      </c>
      <c r="BG146" s="2">
        <f>IF(Demand!AU163&lt;=Retailers_Cap!N146,"ret=0",(IF(BB146&lt;=AR146+Distributors_Cap!$P$47,1,0)))</f>
        <v/>
      </c>
      <c r="BH146" s="2">
        <f>IF(Demand!AV163&lt;=Retailers_Cap!O146,"ret=0",(IF(BC146&lt;=AS146+Distributors_Cap!$P$47,1,0)))</f>
        <v/>
      </c>
      <c r="BI146" s="2">
        <f>IF(Demand!AW163&lt;=Retailers_Cap!P146,"ret=0",(IF(BD146&lt;=AT146+Distributors_Cap!$P$47,1,0)))</f>
        <v/>
      </c>
      <c r="BK146" s="64" t="n">
        <v>150</v>
      </c>
      <c r="BL146" s="64">
        <f>Retailers!BH145</f>
        <v/>
      </c>
      <c r="BM146" s="64">
        <f>Retailers!BI145</f>
        <v/>
      </c>
      <c r="BN146" s="64">
        <f>Retailers!BJ145</f>
        <v/>
      </c>
      <c r="BP146" s="64" t="n">
        <v>150</v>
      </c>
      <c r="BQ146" s="64">
        <f>#REF!</f>
        <v/>
      </c>
      <c r="BR146" s="64">
        <f>#REF!</f>
        <v/>
      </c>
      <c r="BS146" s="64">
        <f>#REF!</f>
        <v/>
      </c>
      <c r="BU146" s="64" t="n">
        <v>150</v>
      </c>
      <c r="BV146" s="64">
        <f>Retailers!AS145</f>
        <v/>
      </c>
      <c r="BW146" s="64">
        <f>Retailers!AT145</f>
        <v/>
      </c>
      <c r="BX146" s="64">
        <f>Retailers!AU145</f>
        <v/>
      </c>
      <c r="BZ146" s="64" t="n">
        <v>150</v>
      </c>
      <c r="CA146" s="64">
        <f>Results!#REF!</f>
        <v/>
      </c>
      <c r="CB146" s="64">
        <f>Results!#REF!</f>
        <v/>
      </c>
      <c r="CC146" s="64">
        <f>Results!#REF!</f>
        <v/>
      </c>
      <c r="CE146" s="64" t="n">
        <v>150</v>
      </c>
      <c r="CF146" s="64">
        <f>Retailers!BN145</f>
        <v/>
      </c>
      <c r="CG146" s="64">
        <f>Retailers!BO145</f>
        <v/>
      </c>
      <c r="CH146" s="64">
        <f>Retailers!BP145</f>
        <v/>
      </c>
      <c r="CJ146" s="64" t="n">
        <v>150</v>
      </c>
      <c r="CK146" s="64">
        <f>IF(BB146="ret=0",0,IF(BB146&gt;0,AR146+Distributors_Cap!$P$47-BB146,0))</f>
        <v/>
      </c>
      <c r="CL146" s="64">
        <f>IF(BC146="ret=0",0,IF(BC146&gt;0,AS146+Distributors_Cap!$P$47-BC146,0))</f>
        <v/>
      </c>
      <c r="CM146" s="64">
        <f>IF(BD146="ret=0",0,IF(BD146&gt;0,AT146+Distributors_Cap!$P$47-BD146,0))</f>
        <v/>
      </c>
    </row>
    <row r="147">
      <c r="G147" s="64" t="n">
        <v>151</v>
      </c>
      <c r="H147" s="64" t="n">
        <v>67.889</v>
      </c>
      <c r="I147" s="64" t="n">
        <v>56.829</v>
      </c>
      <c r="J147" s="64" t="n">
        <v>52.156</v>
      </c>
      <c r="L147" s="64">
        <f>TRUNC((_xlfn.NORM.INV((RAND()),$K$7,$K$8)),0)</f>
        <v/>
      </c>
      <c r="M147" s="64" t="n">
        <v>151</v>
      </c>
      <c r="N147" s="5" t="n">
        <v>37</v>
      </c>
      <c r="O147" s="5" t="n">
        <v>38</v>
      </c>
      <c r="P147" s="5" t="n">
        <v>28</v>
      </c>
      <c r="R147" s="2">
        <f>IF(N147&gt;Demand!AU164,0,(IF(((2*(Retailers!AJ146+Distributors_Cap!$P$47)-Retailers_Cap!$BB$7)*(Demand!AU164-Retailers_Cap!N147))&lt;0,0,((IF(BB147&gt;2*(Retailers!AJ146+Distributors_Cap!$P$47),0,(IF(BG147=0,ROUNDUP((2*(Retailers!AJ146+Distributors_Cap!$P$47)-BB147)^0.5,0),ROUNDUP((2*(Retailers!AJ146+Distributors_Cap!$P$47)-BB147)^0.5,0)))))))))</f>
        <v/>
      </c>
      <c r="S147" s="2">
        <f>IF(O147&gt;Demand!AV164,0,(IF(((2*(Retailers!AK146+Distributors_Cap!$P$47)-Retailers_Cap!$BB$7)*(Demand!AV164-Retailers_Cap!O147))&lt;0,0,((IF(BC147&gt;2*(Retailers!AK146+Distributors_Cap!$P$47),0,(IF(BH147=0,ROUNDUP((2*(Retailers!AK146+Distributors_Cap!$P$47)-BC147)^0.5,0),ROUNDUP((2*(Retailers!AK146+Distributors_Cap!$P$47)-BC147)^0.5,0)))))))))</f>
        <v/>
      </c>
      <c r="T147" s="2">
        <f>IF(P147&gt;Demand!AW164,0,(IF(((2*(Retailers!AL146+Distributors_Cap!$P$47)-Retailers_Cap!$BB$7)*(Demand!AW164-Retailers_Cap!P147))&lt;0,0,((IF(BD147&gt;2*(Retailers!AL146+Distributors_Cap!$P$47),0,(IF(BI147=0,ROUNDUP((2*(Retailers!AL146+Distributors_Cap!$P$47)-BD147)^0.5,0),ROUNDUP((2*(Retailers!AL146+Distributors_Cap!$P$47)-BD147)^0.5,0)))))))))</f>
        <v/>
      </c>
      <c r="W147" s="64" t="n">
        <v>151</v>
      </c>
      <c r="X147" s="9" t="n">
        <v>0</v>
      </c>
      <c r="Y147" s="9" t="n">
        <v>0</v>
      </c>
      <c r="Z147" s="9" t="n">
        <v>0</v>
      </c>
      <c r="AB147" s="2">
        <f>ROUNDDOWN(LOG((X147+1),2),0)</f>
        <v/>
      </c>
      <c r="AC147" s="2">
        <f>ROUNDDOWN(LOG((Y147+1),2),0)</f>
        <v/>
      </c>
      <c r="AD147" s="2">
        <f>ROUNDDOWN(LOG((Z147+1),2),0)</f>
        <v/>
      </c>
      <c r="AG147" s="64" t="n">
        <v>151</v>
      </c>
      <c r="AH147" s="9" t="n">
        <v>0</v>
      </c>
      <c r="AI147" s="9" t="n">
        <v>0</v>
      </c>
      <c r="AJ147" s="9" t="n">
        <v>0</v>
      </c>
      <c r="AQ147" s="64" t="n">
        <v>151</v>
      </c>
      <c r="AR147" s="64" t="n">
        <v>67.889</v>
      </c>
      <c r="AS147" s="64" t="n">
        <v>56.829</v>
      </c>
      <c r="AT147" s="64" t="n">
        <v>52.156</v>
      </c>
      <c r="AV147" s="64" t="n">
        <v>151</v>
      </c>
      <c r="AW147" s="64">
        <f>Beginning_stock!AT175</f>
        <v/>
      </c>
      <c r="AX147" s="64">
        <f>Beginning_stock!AU175</f>
        <v/>
      </c>
      <c r="AY147" s="64">
        <f>Beginning_stock!AV175</f>
        <v/>
      </c>
      <c r="BA147" s="64" t="n">
        <v>151</v>
      </c>
      <c r="BB147" s="64">
        <f>IF(Demand!AU164=Retailers_Cap!N147,"ret=0",(AW147/(Demand!AU164-Retailers_Cap!N147)))</f>
        <v/>
      </c>
      <c r="BC147" s="64">
        <f>IF(Demand!AV164=Retailers_Cap!O147,"ret=0",(AX147/(Demand!AV164-Retailers_Cap!O147)))</f>
        <v/>
      </c>
      <c r="BD147" s="64">
        <f>IF(Demand!AW164=Retailers_Cap!P147,"ret=0",(AY147/(Demand!AW164-Retailers_Cap!P147)))</f>
        <v/>
      </c>
      <c r="BF147" s="64" t="n">
        <v>151</v>
      </c>
      <c r="BG147" s="2">
        <f>IF(Demand!AU164&lt;=Retailers_Cap!N147,"ret=0",(IF(BB147&lt;=AR147+Distributors_Cap!$P$47,1,0)))</f>
        <v/>
      </c>
      <c r="BH147" s="2">
        <f>IF(Demand!AV164&lt;=Retailers_Cap!O147,"ret=0",(IF(BC147&lt;=AS147+Distributors_Cap!$P$47,1,0)))</f>
        <v/>
      </c>
      <c r="BI147" s="2">
        <f>IF(Demand!AW164&lt;=Retailers_Cap!P147,"ret=0",(IF(BD147&lt;=AT147+Distributors_Cap!$P$47,1,0)))</f>
        <v/>
      </c>
      <c r="BK147" s="64" t="n">
        <v>151</v>
      </c>
      <c r="BL147" s="64">
        <f>Retailers!BH146</f>
        <v/>
      </c>
      <c r="BM147" s="64">
        <f>Retailers!BI146</f>
        <v/>
      </c>
      <c r="BN147" s="64">
        <f>Retailers!BJ146</f>
        <v/>
      </c>
      <c r="BP147" s="64" t="n">
        <v>151</v>
      </c>
      <c r="BQ147" s="64">
        <f>#REF!</f>
        <v/>
      </c>
      <c r="BR147" s="64">
        <f>#REF!</f>
        <v/>
      </c>
      <c r="BS147" s="64">
        <f>#REF!</f>
        <v/>
      </c>
      <c r="BU147" s="64" t="n">
        <v>151</v>
      </c>
      <c r="BV147" s="64">
        <f>Retailers!AS146</f>
        <v/>
      </c>
      <c r="BW147" s="64">
        <f>Retailers!AT146</f>
        <v/>
      </c>
      <c r="BX147" s="64">
        <f>Retailers!AU146</f>
        <v/>
      </c>
      <c r="BZ147" s="64" t="n">
        <v>151</v>
      </c>
      <c r="CA147" s="64">
        <f>Results!#REF!</f>
        <v/>
      </c>
      <c r="CB147" s="64">
        <f>Results!#REF!</f>
        <v/>
      </c>
      <c r="CC147" s="64">
        <f>Results!#REF!</f>
        <v/>
      </c>
      <c r="CE147" s="64" t="n">
        <v>151</v>
      </c>
      <c r="CF147" s="64">
        <f>Retailers!BN146</f>
        <v/>
      </c>
      <c r="CG147" s="64">
        <f>Retailers!BO146</f>
        <v/>
      </c>
      <c r="CH147" s="64">
        <f>Retailers!BP146</f>
        <v/>
      </c>
      <c r="CJ147" s="64" t="n">
        <v>151</v>
      </c>
      <c r="CK147" s="64">
        <f>IF(BB147="ret=0",0,IF(BB147&gt;0,AR147+Distributors_Cap!$P$47-BB147,0))</f>
        <v/>
      </c>
      <c r="CL147" s="64">
        <f>IF(BC147="ret=0",0,IF(BC147&gt;0,AS147+Distributors_Cap!$P$47-BC147,0))</f>
        <v/>
      </c>
      <c r="CM147" s="64">
        <f>IF(BD147="ret=0",0,IF(BD147&gt;0,AT147+Distributors_Cap!$P$47-BD147,0))</f>
        <v/>
      </c>
    </row>
    <row r="148">
      <c r="G148" s="64" t="n">
        <v>152</v>
      </c>
      <c r="H148" s="64" t="n">
        <v>61.733</v>
      </c>
      <c r="I148" s="64" t="n">
        <v>56.835</v>
      </c>
      <c r="J148" s="64" t="n">
        <v>60.962</v>
      </c>
      <c r="L148" s="64">
        <f>TRUNC((_xlfn.NORM.INV((RAND()),$K$7,$K$8)),0)</f>
        <v/>
      </c>
      <c r="M148" s="64" t="n">
        <v>152</v>
      </c>
      <c r="N148" s="5" t="n">
        <v>15</v>
      </c>
      <c r="O148" s="5" t="n">
        <v>36</v>
      </c>
      <c r="P148" s="5" t="n">
        <v>27</v>
      </c>
      <c r="R148" s="2">
        <f>IF(N148&gt;Demand!AU165,0,(IF(((2*(Retailers!AJ147+Distributors_Cap!$P$47)-Retailers_Cap!$BB$7)*(Demand!AU165-Retailers_Cap!N148))&lt;0,0,((IF(BB148&gt;2*(Retailers!AJ147+Distributors_Cap!$P$47),0,(IF(BG148=0,ROUNDUP((2*(Retailers!AJ147+Distributors_Cap!$P$47)-BB148)^0.5,0),ROUNDUP((2*(Retailers!AJ147+Distributors_Cap!$P$47)-BB148)^0.5,0)))))))))</f>
        <v/>
      </c>
      <c r="S148" s="2">
        <f>IF(O148&gt;Demand!AV165,0,(IF(((2*(Retailers!AK147+Distributors_Cap!$P$47)-Retailers_Cap!$BB$7)*(Demand!AV165-Retailers_Cap!O148))&lt;0,0,((IF(BC148&gt;2*(Retailers!AK147+Distributors_Cap!$P$47),0,(IF(BH148=0,ROUNDUP((2*(Retailers!AK147+Distributors_Cap!$P$47)-BC148)^0.5,0),ROUNDUP((2*(Retailers!AK147+Distributors_Cap!$P$47)-BC148)^0.5,0)))))))))</f>
        <v/>
      </c>
      <c r="T148" s="2">
        <f>IF(P148&gt;Demand!AW165,0,(IF(((2*(Retailers!AL147+Distributors_Cap!$P$47)-Retailers_Cap!$BB$7)*(Demand!AW165-Retailers_Cap!P148))&lt;0,0,((IF(BD148&gt;2*(Retailers!AL147+Distributors_Cap!$P$47),0,(IF(BI148=0,ROUNDUP((2*(Retailers!AL147+Distributors_Cap!$P$47)-BD148)^0.5,0),ROUNDUP((2*(Retailers!AL147+Distributors_Cap!$P$47)-BD148)^0.5,0)))))))))</f>
        <v/>
      </c>
      <c r="W148" s="64" t="n">
        <v>152</v>
      </c>
      <c r="X148" s="9" t="n">
        <v>14</v>
      </c>
      <c r="Y148" s="9" t="n">
        <v>0</v>
      </c>
      <c r="Z148" s="9" t="n">
        <v>0</v>
      </c>
      <c r="AB148" s="2">
        <f>ROUNDDOWN(LOG((X148+1),2),0)</f>
        <v/>
      </c>
      <c r="AC148" s="2">
        <f>ROUNDDOWN(LOG((Y148+1),2),0)</f>
        <v/>
      </c>
      <c r="AD148" s="2">
        <f>ROUNDDOWN(LOG((Z148+1),2),0)</f>
        <v/>
      </c>
      <c r="AG148" s="64" t="n">
        <v>152</v>
      </c>
      <c r="AH148" s="9" t="n">
        <v>3</v>
      </c>
      <c r="AI148" s="9" t="n">
        <v>0</v>
      </c>
      <c r="AJ148" s="9" t="n">
        <v>0</v>
      </c>
      <c r="AQ148" s="64" t="n">
        <v>152</v>
      </c>
      <c r="AR148" s="64" t="n">
        <v>61.733</v>
      </c>
      <c r="AS148" s="64" t="n">
        <v>56.835</v>
      </c>
      <c r="AT148" s="64" t="n">
        <v>60.962</v>
      </c>
      <c r="AV148" s="64" t="n">
        <v>152</v>
      </c>
      <c r="AW148" s="64">
        <f>Beginning_stock!AT176</f>
        <v/>
      </c>
      <c r="AX148" s="64">
        <f>Beginning_stock!AU176</f>
        <v/>
      </c>
      <c r="AY148" s="64">
        <f>Beginning_stock!AV176</f>
        <v/>
      </c>
      <c r="BA148" s="64" t="n">
        <v>152</v>
      </c>
      <c r="BB148" s="64">
        <f>IF(Demand!AU165=Retailers_Cap!N148,"ret=0",(AW148/(Demand!AU165-Retailers_Cap!N148)))</f>
        <v/>
      </c>
      <c r="BC148" s="64">
        <f>IF(Demand!AV165=Retailers_Cap!O148,"ret=0",(AX148/(Demand!AV165-Retailers_Cap!O148)))</f>
        <v/>
      </c>
      <c r="BD148" s="64">
        <f>IF(Demand!AW165=Retailers_Cap!P148,"ret=0",(AY148/(Demand!AW165-Retailers_Cap!P148)))</f>
        <v/>
      </c>
      <c r="BF148" s="64" t="n">
        <v>152</v>
      </c>
      <c r="BG148" s="2">
        <f>IF(Demand!AU165&lt;=Retailers_Cap!N148,"ret=0",(IF(BB148&lt;=AR148+Distributors_Cap!$P$47,1,0)))</f>
        <v/>
      </c>
      <c r="BH148" s="2">
        <f>IF(Demand!AV165&lt;=Retailers_Cap!O148,"ret=0",(IF(BC148&lt;=AS148+Distributors_Cap!$P$47,1,0)))</f>
        <v/>
      </c>
      <c r="BI148" s="2">
        <f>IF(Demand!AW165&lt;=Retailers_Cap!P148,"ret=0",(IF(BD148&lt;=AT148+Distributors_Cap!$P$47,1,0)))</f>
        <v/>
      </c>
      <c r="BK148" s="64" t="n">
        <v>152</v>
      </c>
      <c r="BL148" s="64">
        <f>Retailers!BH147</f>
        <v/>
      </c>
      <c r="BM148" s="64">
        <f>Retailers!BI147</f>
        <v/>
      </c>
      <c r="BN148" s="64">
        <f>Retailers!BJ147</f>
        <v/>
      </c>
      <c r="BP148" s="64" t="n">
        <v>152</v>
      </c>
      <c r="BQ148" s="64">
        <f>#REF!</f>
        <v/>
      </c>
      <c r="BR148" s="64">
        <f>#REF!</f>
        <v/>
      </c>
      <c r="BS148" s="64">
        <f>#REF!</f>
        <v/>
      </c>
      <c r="BU148" s="64" t="n">
        <v>152</v>
      </c>
      <c r="BV148" s="64">
        <f>Retailers!AS147</f>
        <v/>
      </c>
      <c r="BW148" s="64">
        <f>Retailers!AT147</f>
        <v/>
      </c>
      <c r="BX148" s="64">
        <f>Retailers!AU147</f>
        <v/>
      </c>
      <c r="BZ148" s="64" t="n">
        <v>152</v>
      </c>
      <c r="CA148" s="64">
        <f>Results!#REF!</f>
        <v/>
      </c>
      <c r="CB148" s="64">
        <f>Results!#REF!</f>
        <v/>
      </c>
      <c r="CC148" s="64">
        <f>Results!#REF!</f>
        <v/>
      </c>
      <c r="CE148" s="64" t="n">
        <v>152</v>
      </c>
      <c r="CF148" s="64">
        <f>Retailers!BN147</f>
        <v/>
      </c>
      <c r="CG148" s="64">
        <f>Retailers!BO147</f>
        <v/>
      </c>
      <c r="CH148" s="64">
        <f>Retailers!BP147</f>
        <v/>
      </c>
      <c r="CJ148" s="64" t="n">
        <v>152</v>
      </c>
      <c r="CK148" s="64">
        <f>IF(BB148="ret=0",0,IF(BB148&gt;0,AR148+Distributors_Cap!$P$47-BB148,0))</f>
        <v/>
      </c>
      <c r="CL148" s="64">
        <f>IF(BC148="ret=0",0,IF(BC148&gt;0,AS148+Distributors_Cap!$P$47-BC148,0))</f>
        <v/>
      </c>
      <c r="CM148" s="64">
        <f>IF(BD148="ret=0",0,IF(BD148&gt;0,AT148+Distributors_Cap!$P$47-BD148,0))</f>
        <v/>
      </c>
    </row>
    <row r="149">
      <c r="G149" s="64" t="n">
        <v>153</v>
      </c>
      <c r="H149" s="64" t="n">
        <v>53.804</v>
      </c>
      <c r="I149" s="64" t="n">
        <v>71.146</v>
      </c>
      <c r="J149" s="64" t="n">
        <v>45.06</v>
      </c>
      <c r="L149" s="64">
        <f>TRUNC((_xlfn.NORM.INV((RAND()),$K$7,$K$8)),0)</f>
        <v/>
      </c>
      <c r="M149" s="64" t="n">
        <v>153</v>
      </c>
      <c r="N149" s="5" t="n">
        <v>26</v>
      </c>
      <c r="O149" s="5" t="n">
        <v>33</v>
      </c>
      <c r="P149" s="5" t="n">
        <v>28</v>
      </c>
      <c r="R149" s="2">
        <f>IF(N149&gt;Demand!AU166,0,(IF(((2*(Retailers!AJ148+Distributors_Cap!$P$47)-Retailers_Cap!$BB$7)*(Demand!AU166-Retailers_Cap!N149))&lt;0,0,((IF(BB149&gt;2*(Retailers!AJ148+Distributors_Cap!$P$47),0,(IF(BG149=0,ROUNDUP((2*(Retailers!AJ148+Distributors_Cap!$P$47)-BB149)^0.5,0),ROUNDUP((2*(Retailers!AJ148+Distributors_Cap!$P$47)-BB149)^0.5,0)))))))))</f>
        <v/>
      </c>
      <c r="S149" s="2">
        <f>IF(O149&gt;Demand!AV166,0,(IF(((2*(Retailers!AK148+Distributors_Cap!$P$47)-Retailers_Cap!$BB$7)*(Demand!AV166-Retailers_Cap!O149))&lt;0,0,((IF(BC149&gt;2*(Retailers!AK148+Distributors_Cap!$P$47),0,(IF(BH149=0,ROUNDUP((2*(Retailers!AK148+Distributors_Cap!$P$47)-BC149)^0.5,0),ROUNDUP((2*(Retailers!AK148+Distributors_Cap!$P$47)-BC149)^0.5,0)))))))))</f>
        <v/>
      </c>
      <c r="T149" s="2">
        <f>IF(P149&gt;Demand!AW166,0,(IF(((2*(Retailers!AL148+Distributors_Cap!$P$47)-Retailers_Cap!$BB$7)*(Demand!AW166-Retailers_Cap!P149))&lt;0,0,((IF(BD149&gt;2*(Retailers!AL148+Distributors_Cap!$P$47),0,(IF(BI149=0,ROUNDUP((2*(Retailers!AL148+Distributors_Cap!$P$47)-BD149)^0.5,0),ROUNDUP((2*(Retailers!AL148+Distributors_Cap!$P$47)-BD149)^0.5,0)))))))))</f>
        <v/>
      </c>
      <c r="W149" s="64" t="n">
        <v>153</v>
      </c>
      <c r="X149" s="9" t="n">
        <v>0</v>
      </c>
      <c r="Y149" s="9" t="n">
        <v>0</v>
      </c>
      <c r="Z149" s="9" t="n">
        <v>0</v>
      </c>
      <c r="AB149" s="2">
        <f>ROUNDDOWN(LOG((X149+1),2),0)</f>
        <v/>
      </c>
      <c r="AC149" s="2">
        <f>ROUNDDOWN(LOG((Y149+1),2),0)</f>
        <v/>
      </c>
      <c r="AD149" s="2">
        <f>ROUNDDOWN(LOG((Z149+1),2),0)</f>
        <v/>
      </c>
      <c r="AG149" s="64" t="n">
        <v>153</v>
      </c>
      <c r="AH149" s="9" t="n">
        <v>0</v>
      </c>
      <c r="AI149" s="9" t="n">
        <v>0</v>
      </c>
      <c r="AJ149" s="9" t="n">
        <v>0</v>
      </c>
      <c r="AQ149" s="64" t="n">
        <v>153</v>
      </c>
      <c r="AR149" s="64" t="n">
        <v>53.804</v>
      </c>
      <c r="AS149" s="64" t="n">
        <v>71.146</v>
      </c>
      <c r="AT149" s="64" t="n">
        <v>45.06</v>
      </c>
      <c r="AV149" s="64" t="n">
        <v>153</v>
      </c>
      <c r="AW149" s="64">
        <f>Beginning_stock!AT177</f>
        <v/>
      </c>
      <c r="AX149" s="64">
        <f>Beginning_stock!AU177</f>
        <v/>
      </c>
      <c r="AY149" s="64">
        <f>Beginning_stock!AV177</f>
        <v/>
      </c>
      <c r="BA149" s="64" t="n">
        <v>153</v>
      </c>
      <c r="BB149" s="64">
        <f>IF(Demand!AU166=Retailers_Cap!N149,"ret=0",(AW149/(Demand!AU166-Retailers_Cap!N149)))</f>
        <v/>
      </c>
      <c r="BC149" s="64">
        <f>IF(Demand!AV166=Retailers_Cap!O149,"ret=0",(AX149/(Demand!AV166-Retailers_Cap!O149)))</f>
        <v/>
      </c>
      <c r="BD149" s="64">
        <f>IF(Demand!AW166=Retailers_Cap!P149,"ret=0",(AY149/(Demand!AW166-Retailers_Cap!P149)))</f>
        <v/>
      </c>
      <c r="BF149" s="64" t="n">
        <v>153</v>
      </c>
      <c r="BG149" s="2">
        <f>IF(Demand!AU166&lt;=Retailers_Cap!N149,"ret=0",(IF(BB149&lt;=AR149+Distributors_Cap!$P$47,1,0)))</f>
        <v/>
      </c>
      <c r="BH149" s="2">
        <f>IF(Demand!AV166&lt;=Retailers_Cap!O149,"ret=0",(IF(BC149&lt;=AS149+Distributors_Cap!$P$47,1,0)))</f>
        <v/>
      </c>
      <c r="BI149" s="2">
        <f>IF(Demand!AW166&lt;=Retailers_Cap!P149,"ret=0",(IF(BD149&lt;=AT149+Distributors_Cap!$P$47,1,0)))</f>
        <v/>
      </c>
      <c r="BK149" s="64" t="n">
        <v>153</v>
      </c>
      <c r="BL149" s="64">
        <f>Retailers!BH148</f>
        <v/>
      </c>
      <c r="BM149" s="64">
        <f>Retailers!BI148</f>
        <v/>
      </c>
      <c r="BN149" s="64">
        <f>Retailers!BJ148</f>
        <v/>
      </c>
      <c r="BP149" s="64" t="n">
        <v>153</v>
      </c>
      <c r="BQ149" s="64">
        <f>#REF!</f>
        <v/>
      </c>
      <c r="BR149" s="64">
        <f>#REF!</f>
        <v/>
      </c>
      <c r="BS149" s="64">
        <f>#REF!</f>
        <v/>
      </c>
      <c r="BU149" s="64" t="n">
        <v>153</v>
      </c>
      <c r="BV149" s="64">
        <f>Retailers!AS148</f>
        <v/>
      </c>
      <c r="BW149" s="64">
        <f>Retailers!AT148</f>
        <v/>
      </c>
      <c r="BX149" s="64">
        <f>Retailers!AU148</f>
        <v/>
      </c>
      <c r="BZ149" s="64" t="n">
        <v>153</v>
      </c>
      <c r="CA149" s="64">
        <f>Results!#REF!</f>
        <v/>
      </c>
      <c r="CB149" s="64">
        <f>Results!#REF!</f>
        <v/>
      </c>
      <c r="CC149" s="64">
        <f>Results!#REF!</f>
        <v/>
      </c>
      <c r="CE149" s="64" t="n">
        <v>153</v>
      </c>
      <c r="CF149" s="64">
        <f>Retailers!BN148</f>
        <v/>
      </c>
      <c r="CG149" s="64">
        <f>Retailers!BO148</f>
        <v/>
      </c>
      <c r="CH149" s="64">
        <f>Retailers!BP148</f>
        <v/>
      </c>
      <c r="CJ149" s="64" t="n">
        <v>153</v>
      </c>
      <c r="CK149" s="64">
        <f>IF(BB149="ret=0",0,IF(BB149&gt;0,AR149+Distributors_Cap!$P$47-BB149,0))</f>
        <v/>
      </c>
      <c r="CL149" s="64">
        <f>IF(BC149="ret=0",0,IF(BC149&gt;0,AS149+Distributors_Cap!$P$47-BC149,0))</f>
        <v/>
      </c>
      <c r="CM149" s="64">
        <f>IF(BD149="ret=0",0,IF(BD149&gt;0,AT149+Distributors_Cap!$P$47-BD149,0))</f>
        <v/>
      </c>
    </row>
    <row r="150">
      <c r="G150" s="64" t="n">
        <v>154</v>
      </c>
      <c r="H150" s="64" t="n">
        <v>81.836</v>
      </c>
      <c r="I150" s="64" t="n">
        <v>69.60299999999999</v>
      </c>
      <c r="J150" s="64" t="n">
        <v>79.04600000000001</v>
      </c>
      <c r="L150" s="64">
        <f>TRUNC((_xlfn.NORM.INV((RAND()),$K$7,$K$8)),0)</f>
        <v/>
      </c>
      <c r="M150" s="64" t="n">
        <v>154</v>
      </c>
      <c r="N150" s="5" t="n">
        <v>39</v>
      </c>
      <c r="O150" s="5" t="n">
        <v>19</v>
      </c>
      <c r="P150" s="5" t="n">
        <v>25</v>
      </c>
      <c r="R150" s="2">
        <f>IF(N150&gt;Demand!AU167,0,(IF(((2*(Retailers!AJ149+Distributors_Cap!$P$47)-Retailers_Cap!$BB$7)*(Demand!AU167-Retailers_Cap!N150))&lt;0,0,((IF(BB150&gt;2*(Retailers!AJ149+Distributors_Cap!$P$47),0,(IF(BG150=0,ROUNDUP((2*(Retailers!AJ149+Distributors_Cap!$P$47)-BB150)^0.5,0),ROUNDUP((2*(Retailers!AJ149+Distributors_Cap!$P$47)-BB150)^0.5,0)))))))))</f>
        <v/>
      </c>
      <c r="S150" s="2">
        <f>IF(O150&gt;Demand!AV167,0,(IF(((2*(Retailers!AK149+Distributors_Cap!$P$47)-Retailers_Cap!$BB$7)*(Demand!AV167-Retailers_Cap!O150))&lt;0,0,((IF(BC150&gt;2*(Retailers!AK149+Distributors_Cap!$P$47),0,(IF(BH150=0,ROUNDUP((2*(Retailers!AK149+Distributors_Cap!$P$47)-BC150)^0.5,0),ROUNDUP((2*(Retailers!AK149+Distributors_Cap!$P$47)-BC150)^0.5,0)))))))))</f>
        <v/>
      </c>
      <c r="T150" s="2">
        <f>IF(P150&gt;Demand!AW167,0,(IF(((2*(Retailers!AL149+Distributors_Cap!$P$47)-Retailers_Cap!$BB$7)*(Demand!AW167-Retailers_Cap!P150))&lt;0,0,((IF(BD150&gt;2*(Retailers!AL149+Distributors_Cap!$P$47),0,(IF(BI150=0,ROUNDUP((2*(Retailers!AL149+Distributors_Cap!$P$47)-BD150)^0.5,0),ROUNDUP((2*(Retailers!AL149+Distributors_Cap!$P$47)-BD150)^0.5,0)))))))))</f>
        <v/>
      </c>
      <c r="W150" s="64" t="n">
        <v>154</v>
      </c>
      <c r="X150" s="9" t="n">
        <v>0</v>
      </c>
      <c r="Y150" s="9" t="n">
        <v>14</v>
      </c>
      <c r="Z150" s="9" t="n">
        <v>15</v>
      </c>
      <c r="AB150" s="2">
        <f>ROUNDDOWN(LOG((X150+1),2),0)</f>
        <v/>
      </c>
      <c r="AC150" s="2">
        <f>ROUNDDOWN(LOG((Y150+1),2),0)</f>
        <v/>
      </c>
      <c r="AD150" s="2">
        <f>ROUNDDOWN(LOG((Z150+1),2),0)</f>
        <v/>
      </c>
      <c r="AG150" s="64" t="n">
        <v>154</v>
      </c>
      <c r="AH150" s="9" t="n">
        <v>0</v>
      </c>
      <c r="AI150" s="9" t="n">
        <v>3</v>
      </c>
      <c r="AJ150" s="9" t="n">
        <v>4</v>
      </c>
      <c r="AQ150" s="64" t="n">
        <v>154</v>
      </c>
      <c r="AR150" s="64" t="n">
        <v>81.836</v>
      </c>
      <c r="AS150" s="64" t="n">
        <v>69.60299999999999</v>
      </c>
      <c r="AT150" s="64" t="n">
        <v>79.04600000000001</v>
      </c>
      <c r="AV150" s="64" t="n">
        <v>154</v>
      </c>
      <c r="AW150" s="64">
        <f>Beginning_stock!AT178</f>
        <v/>
      </c>
      <c r="AX150" s="64">
        <f>Beginning_stock!AU178</f>
        <v/>
      </c>
      <c r="AY150" s="64">
        <f>Beginning_stock!AV178</f>
        <v/>
      </c>
      <c r="BA150" s="64" t="n">
        <v>154</v>
      </c>
      <c r="BB150" s="64">
        <f>IF(Demand!AU167=Retailers_Cap!N150,"ret=0",(AW150/(Demand!AU167-Retailers_Cap!N150)))</f>
        <v/>
      </c>
      <c r="BC150" s="64">
        <f>IF(Demand!AV167=Retailers_Cap!O150,"ret=0",(AX150/(Demand!AV167-Retailers_Cap!O150)))</f>
        <v/>
      </c>
      <c r="BD150" s="64">
        <f>IF(Demand!AW167=Retailers_Cap!P150,"ret=0",(AY150/(Demand!AW167-Retailers_Cap!P150)))</f>
        <v/>
      </c>
      <c r="BF150" s="64" t="n">
        <v>154</v>
      </c>
      <c r="BG150" s="2">
        <f>IF(Demand!AU167&lt;=Retailers_Cap!N150,"ret=0",(IF(BB150&lt;=AR150+Distributors_Cap!$P$47,1,0)))</f>
        <v/>
      </c>
      <c r="BH150" s="2">
        <f>IF(Demand!AV167&lt;=Retailers_Cap!O150,"ret=0",(IF(BC150&lt;=AS150+Distributors_Cap!$P$47,1,0)))</f>
        <v/>
      </c>
      <c r="BI150" s="2">
        <f>IF(Demand!AW167&lt;=Retailers_Cap!P150,"ret=0",(IF(BD150&lt;=AT150+Distributors_Cap!$P$47,1,0)))</f>
        <v/>
      </c>
      <c r="BK150" s="64" t="n">
        <v>154</v>
      </c>
      <c r="BL150" s="64">
        <f>Retailers!BH149</f>
        <v/>
      </c>
      <c r="BM150" s="64">
        <f>Retailers!BI149</f>
        <v/>
      </c>
      <c r="BN150" s="64">
        <f>Retailers!BJ149</f>
        <v/>
      </c>
      <c r="BP150" s="64" t="n">
        <v>154</v>
      </c>
      <c r="BQ150" s="64">
        <f>#REF!</f>
        <v/>
      </c>
      <c r="BR150" s="64">
        <f>#REF!</f>
        <v/>
      </c>
      <c r="BS150" s="64">
        <f>#REF!</f>
        <v/>
      </c>
      <c r="BU150" s="64" t="n">
        <v>154</v>
      </c>
      <c r="BV150" s="64">
        <f>Retailers!AS149</f>
        <v/>
      </c>
      <c r="BW150" s="64">
        <f>Retailers!AT149</f>
        <v/>
      </c>
      <c r="BX150" s="64">
        <f>Retailers!AU149</f>
        <v/>
      </c>
      <c r="BZ150" s="64" t="n">
        <v>154</v>
      </c>
      <c r="CA150" s="64">
        <f>Results!#REF!</f>
        <v/>
      </c>
      <c r="CB150" s="64">
        <f>Results!#REF!</f>
        <v/>
      </c>
      <c r="CC150" s="64">
        <f>Results!#REF!</f>
        <v/>
      </c>
      <c r="CE150" s="64" t="n">
        <v>154</v>
      </c>
      <c r="CF150" s="64">
        <f>Retailers!BN149</f>
        <v/>
      </c>
      <c r="CG150" s="64">
        <f>Retailers!BO149</f>
        <v/>
      </c>
      <c r="CH150" s="64">
        <f>Retailers!BP149</f>
        <v/>
      </c>
      <c r="CJ150" s="64" t="n">
        <v>154</v>
      </c>
      <c r="CK150" s="64">
        <f>IF(BB150="ret=0",0,IF(BB150&gt;0,AR150+Distributors_Cap!$P$47-BB150,0))</f>
        <v/>
      </c>
      <c r="CL150" s="64">
        <f>IF(BC150="ret=0",0,IF(BC150&gt;0,AS150+Distributors_Cap!$P$47-BC150,0))</f>
        <v/>
      </c>
      <c r="CM150" s="64">
        <f>IF(BD150="ret=0",0,IF(BD150&gt;0,AT150+Distributors_Cap!$P$47-BD150,0))</f>
        <v/>
      </c>
    </row>
    <row r="151">
      <c r="G151" s="64" t="n">
        <v>155</v>
      </c>
      <c r="H151" s="64" t="n">
        <v>69.47</v>
      </c>
      <c r="I151" s="64" t="n">
        <v>55.503</v>
      </c>
      <c r="J151" s="64" t="n">
        <v>66.381</v>
      </c>
      <c r="L151" s="64">
        <f>TRUNC((_xlfn.NORM.INV((RAND()),$K$7,$K$8)),0)</f>
        <v/>
      </c>
      <c r="M151" s="64" t="n">
        <v>155</v>
      </c>
      <c r="N151" s="5" t="n">
        <v>31</v>
      </c>
      <c r="O151" s="5" t="n">
        <v>27</v>
      </c>
      <c r="P151" s="5" t="n">
        <v>20</v>
      </c>
      <c r="R151" s="2">
        <f>IF(N151&gt;Demand!AU168,0,(IF(((2*(Retailers!AJ150+Distributors_Cap!$P$47)-Retailers_Cap!$BB$7)*(Demand!AU168-Retailers_Cap!N151))&lt;0,0,((IF(BB151&gt;2*(Retailers!AJ150+Distributors_Cap!$P$47),0,(IF(BG151=0,ROUNDUP((2*(Retailers!AJ150+Distributors_Cap!$P$47)-BB151)^0.5,0),ROUNDUP((2*(Retailers!AJ150+Distributors_Cap!$P$47)-BB151)^0.5,0)))))))))</f>
        <v/>
      </c>
      <c r="S151" s="2">
        <f>IF(O151&gt;Demand!AV168,0,(IF(((2*(Retailers!AK150+Distributors_Cap!$P$47)-Retailers_Cap!$BB$7)*(Demand!AV168-Retailers_Cap!O151))&lt;0,0,((IF(BC151&gt;2*(Retailers!AK150+Distributors_Cap!$P$47),0,(IF(BH151=0,ROUNDUP((2*(Retailers!AK150+Distributors_Cap!$P$47)-BC151)^0.5,0),ROUNDUP((2*(Retailers!AK150+Distributors_Cap!$P$47)-BC151)^0.5,0)))))))))</f>
        <v/>
      </c>
      <c r="T151" s="2">
        <f>IF(P151&gt;Demand!AW168,0,(IF(((2*(Retailers!AL150+Distributors_Cap!$P$47)-Retailers_Cap!$BB$7)*(Demand!AW168-Retailers_Cap!P151))&lt;0,0,((IF(BD151&gt;2*(Retailers!AL150+Distributors_Cap!$P$47),0,(IF(BI151=0,ROUNDUP((2*(Retailers!AL150+Distributors_Cap!$P$47)-BD151)^0.5,0),ROUNDUP((2*(Retailers!AL150+Distributors_Cap!$P$47)-BD151)^0.5,0)))))))))</f>
        <v/>
      </c>
      <c r="W151" s="64" t="n">
        <v>155</v>
      </c>
      <c r="X151" s="9" t="n">
        <v>0</v>
      </c>
      <c r="Y151" s="9" t="n">
        <v>0</v>
      </c>
      <c r="Z151" s="9" t="n">
        <v>13</v>
      </c>
      <c r="AB151" s="2">
        <f>ROUNDDOWN(LOG((X151+1),2),0)</f>
        <v/>
      </c>
      <c r="AC151" s="2">
        <f>ROUNDDOWN(LOG((Y151+1),2),0)</f>
        <v/>
      </c>
      <c r="AD151" s="2">
        <f>ROUNDDOWN(LOG((Z151+1),2),0)</f>
        <v/>
      </c>
      <c r="AG151" s="64" t="n">
        <v>155</v>
      </c>
      <c r="AH151" s="9" t="n">
        <v>0</v>
      </c>
      <c r="AI151" s="9" t="n">
        <v>0</v>
      </c>
      <c r="AJ151" s="9" t="n">
        <v>3</v>
      </c>
      <c r="AQ151" s="64" t="n">
        <v>155</v>
      </c>
      <c r="AR151" s="64" t="n">
        <v>69.47</v>
      </c>
      <c r="AS151" s="64" t="n">
        <v>55.503</v>
      </c>
      <c r="AT151" s="64" t="n">
        <v>66.381</v>
      </c>
      <c r="AV151" s="64" t="n">
        <v>155</v>
      </c>
      <c r="AW151" s="64">
        <f>Beginning_stock!AT179</f>
        <v/>
      </c>
      <c r="AX151" s="64">
        <f>Beginning_stock!AU179</f>
        <v/>
      </c>
      <c r="AY151" s="64">
        <f>Beginning_stock!AV179</f>
        <v/>
      </c>
      <c r="BA151" s="64" t="n">
        <v>155</v>
      </c>
      <c r="BB151" s="64">
        <f>IF(Demand!AU168=Retailers_Cap!N151,"ret=0",(AW151/(Demand!AU168-Retailers_Cap!N151)))</f>
        <v/>
      </c>
      <c r="BC151" s="64">
        <f>IF(Demand!AV168=Retailers_Cap!O151,"ret=0",(AX151/(Demand!AV168-Retailers_Cap!O151)))</f>
        <v/>
      </c>
      <c r="BD151" s="64">
        <f>IF(Demand!AW168=Retailers_Cap!P151,"ret=0",(AY151/(Demand!AW168-Retailers_Cap!P151)))</f>
        <v/>
      </c>
      <c r="BF151" s="64" t="n">
        <v>155</v>
      </c>
      <c r="BG151" s="2">
        <f>IF(Demand!AU168&lt;=Retailers_Cap!N151,"ret=0",(IF(BB151&lt;=AR151+Distributors_Cap!$P$47,1,0)))</f>
        <v/>
      </c>
      <c r="BH151" s="2">
        <f>IF(Demand!AV168&lt;=Retailers_Cap!O151,"ret=0",(IF(BC151&lt;=AS151+Distributors_Cap!$P$47,1,0)))</f>
        <v/>
      </c>
      <c r="BI151" s="2">
        <f>IF(Demand!AW168&lt;=Retailers_Cap!P151,"ret=0",(IF(BD151&lt;=AT151+Distributors_Cap!$P$47,1,0)))</f>
        <v/>
      </c>
      <c r="BK151" s="64" t="n">
        <v>155</v>
      </c>
      <c r="BL151" s="64">
        <f>Retailers!BH150</f>
        <v/>
      </c>
      <c r="BM151" s="64">
        <f>Retailers!BI150</f>
        <v/>
      </c>
      <c r="BN151" s="64">
        <f>Retailers!BJ150</f>
        <v/>
      </c>
      <c r="BP151" s="64" t="n">
        <v>155</v>
      </c>
      <c r="BQ151" s="64">
        <f>#REF!</f>
        <v/>
      </c>
      <c r="BR151" s="64">
        <f>#REF!</f>
        <v/>
      </c>
      <c r="BS151" s="64">
        <f>#REF!</f>
        <v/>
      </c>
      <c r="BU151" s="64" t="n">
        <v>155</v>
      </c>
      <c r="BV151" s="64">
        <f>Retailers!AS150</f>
        <v/>
      </c>
      <c r="BW151" s="64">
        <f>Retailers!AT150</f>
        <v/>
      </c>
      <c r="BX151" s="64">
        <f>Retailers!AU150</f>
        <v/>
      </c>
      <c r="BZ151" s="64" t="n">
        <v>155</v>
      </c>
      <c r="CA151" s="64">
        <f>Results!#REF!</f>
        <v/>
      </c>
      <c r="CB151" s="64">
        <f>Results!#REF!</f>
        <v/>
      </c>
      <c r="CC151" s="64">
        <f>Results!#REF!</f>
        <v/>
      </c>
      <c r="CE151" s="64" t="n">
        <v>155</v>
      </c>
      <c r="CF151" s="64">
        <f>Retailers!BN150</f>
        <v/>
      </c>
      <c r="CG151" s="64">
        <f>Retailers!BO150</f>
        <v/>
      </c>
      <c r="CH151" s="64">
        <f>Retailers!BP150</f>
        <v/>
      </c>
      <c r="CJ151" s="64" t="n">
        <v>155</v>
      </c>
      <c r="CK151" s="64">
        <f>IF(BB151="ret=0",0,IF(BB151&gt;0,AR151+Distributors_Cap!$P$47-BB151,0))</f>
        <v/>
      </c>
      <c r="CL151" s="64">
        <f>IF(BC151="ret=0",0,IF(BC151&gt;0,AS151+Distributors_Cap!$P$47-BC151,0))</f>
        <v/>
      </c>
      <c r="CM151" s="64">
        <f>IF(BD151="ret=0",0,IF(BD151&gt;0,AT151+Distributors_Cap!$P$47-BD151,0))</f>
        <v/>
      </c>
    </row>
    <row r="152">
      <c r="G152" s="64" t="n">
        <v>156</v>
      </c>
      <c r="H152" s="64" t="n">
        <v>53.739</v>
      </c>
      <c r="I152" s="64" t="n">
        <v>59.548</v>
      </c>
      <c r="J152" s="64" t="n">
        <v>37.537</v>
      </c>
      <c r="L152" s="64">
        <f>TRUNC((_xlfn.NORM.INV((RAND()),$K$7,$K$8)),0)</f>
        <v/>
      </c>
      <c r="M152" s="64" t="n">
        <v>156</v>
      </c>
      <c r="N152" s="5" t="n">
        <v>32</v>
      </c>
      <c r="O152" s="5" t="n">
        <v>18</v>
      </c>
      <c r="P152" s="5" t="n">
        <v>33</v>
      </c>
      <c r="R152" s="2">
        <f>IF(N152&gt;Demand!AU169,0,(IF(((2*(Retailers!AJ151+Distributors_Cap!$P$47)-Retailers_Cap!$BB$7)*(Demand!AU169-Retailers_Cap!N152))&lt;0,0,((IF(BB152&gt;2*(Retailers!AJ151+Distributors_Cap!$P$47),0,(IF(BG152=0,ROUNDUP((2*(Retailers!AJ151+Distributors_Cap!$P$47)-BB152)^0.5,0),ROUNDUP((2*(Retailers!AJ151+Distributors_Cap!$P$47)-BB152)^0.5,0)))))))))</f>
        <v/>
      </c>
      <c r="S152" s="2">
        <f>IF(O152&gt;Demand!AV169,0,(IF(((2*(Retailers!AK151+Distributors_Cap!$P$47)-Retailers_Cap!$BB$7)*(Demand!AV169-Retailers_Cap!O152))&lt;0,0,((IF(BC152&gt;2*(Retailers!AK151+Distributors_Cap!$P$47),0,(IF(BH152=0,ROUNDUP((2*(Retailers!AK151+Distributors_Cap!$P$47)-BC152)^0.5,0),ROUNDUP((2*(Retailers!AK151+Distributors_Cap!$P$47)-BC152)^0.5,0)))))))))</f>
        <v/>
      </c>
      <c r="T152" s="2">
        <f>IF(P152&gt;Demand!AW169,0,(IF(((2*(Retailers!AL151+Distributors_Cap!$P$47)-Retailers_Cap!$BB$7)*(Demand!AW169-Retailers_Cap!P152))&lt;0,0,((IF(BD152&gt;2*(Retailers!AL151+Distributors_Cap!$P$47),0,(IF(BI152=0,ROUNDUP((2*(Retailers!AL151+Distributors_Cap!$P$47)-BD152)^0.5,0),ROUNDUP((2*(Retailers!AL151+Distributors_Cap!$P$47)-BD152)^0.5,0)))))))))</f>
        <v/>
      </c>
      <c r="W152" s="64" t="n">
        <v>156</v>
      </c>
      <c r="X152" s="9" t="n">
        <v>10</v>
      </c>
      <c r="Y152" s="9" t="n">
        <v>12</v>
      </c>
      <c r="Z152" s="9" t="n">
        <v>0</v>
      </c>
      <c r="AB152" s="2">
        <f>ROUNDDOWN(LOG((X152+1),2),0)</f>
        <v/>
      </c>
      <c r="AC152" s="2">
        <f>ROUNDDOWN(LOG((Y152+1),2),0)</f>
        <v/>
      </c>
      <c r="AD152" s="2">
        <f>ROUNDDOWN(LOG((Z152+1),2),0)</f>
        <v/>
      </c>
      <c r="AG152" s="64" t="n">
        <v>156</v>
      </c>
      <c r="AH152" s="9" t="n">
        <v>3</v>
      </c>
      <c r="AI152" s="9" t="n">
        <v>3</v>
      </c>
      <c r="AJ152" s="9" t="n">
        <v>0</v>
      </c>
      <c r="AQ152" s="64" t="n">
        <v>156</v>
      </c>
      <c r="AR152" s="64" t="n">
        <v>53.739</v>
      </c>
      <c r="AS152" s="64" t="n">
        <v>59.548</v>
      </c>
      <c r="AT152" s="64" t="n">
        <v>37.537</v>
      </c>
      <c r="AV152" s="64" t="n">
        <v>156</v>
      </c>
      <c r="AW152" s="64">
        <f>Beginning_stock!AT180</f>
        <v/>
      </c>
      <c r="AX152" s="64">
        <f>Beginning_stock!AU180</f>
        <v/>
      </c>
      <c r="AY152" s="64">
        <f>Beginning_stock!AV180</f>
        <v/>
      </c>
      <c r="BA152" s="64" t="n">
        <v>156</v>
      </c>
      <c r="BB152" s="64">
        <f>IF(Demand!AU169=Retailers_Cap!N152,"ret=0",(AW152/(Demand!AU169-Retailers_Cap!N152)))</f>
        <v/>
      </c>
      <c r="BC152" s="64">
        <f>IF(Demand!AV169=Retailers_Cap!O152,"ret=0",(AX152/(Demand!AV169-Retailers_Cap!O152)))</f>
        <v/>
      </c>
      <c r="BD152" s="64">
        <f>IF(Demand!AW169=Retailers_Cap!P152,"ret=0",(AY152/(Demand!AW169-Retailers_Cap!P152)))</f>
        <v/>
      </c>
      <c r="BF152" s="64" t="n">
        <v>156</v>
      </c>
      <c r="BG152" s="2">
        <f>IF(Demand!AU169&lt;=Retailers_Cap!N152,"ret=0",(IF(BB152&lt;=AR152+Distributors_Cap!$P$47,1,0)))</f>
        <v/>
      </c>
      <c r="BH152" s="2">
        <f>IF(Demand!AV169&lt;=Retailers_Cap!O152,"ret=0",(IF(BC152&lt;=AS152+Distributors_Cap!$P$47,1,0)))</f>
        <v/>
      </c>
      <c r="BI152" s="2">
        <f>IF(Demand!AW169&lt;=Retailers_Cap!P152,"ret=0",(IF(BD152&lt;=AT152+Distributors_Cap!$P$47,1,0)))</f>
        <v/>
      </c>
      <c r="BK152" s="64" t="n">
        <v>156</v>
      </c>
      <c r="BL152" s="64">
        <f>Retailers!BH151</f>
        <v/>
      </c>
      <c r="BM152" s="64">
        <f>Retailers!BI151</f>
        <v/>
      </c>
      <c r="BN152" s="64">
        <f>Retailers!BJ151</f>
        <v/>
      </c>
      <c r="BP152" s="64" t="n">
        <v>156</v>
      </c>
      <c r="BQ152" s="64">
        <f>#REF!</f>
        <v/>
      </c>
      <c r="BR152" s="64">
        <f>#REF!</f>
        <v/>
      </c>
      <c r="BS152" s="64">
        <f>#REF!</f>
        <v/>
      </c>
      <c r="BU152" s="64" t="n">
        <v>156</v>
      </c>
      <c r="BV152" s="64">
        <f>Retailers!AS151</f>
        <v/>
      </c>
      <c r="BW152" s="64">
        <f>Retailers!AT151</f>
        <v/>
      </c>
      <c r="BX152" s="64">
        <f>Retailers!AU151</f>
        <v/>
      </c>
      <c r="BZ152" s="64" t="n">
        <v>156</v>
      </c>
      <c r="CA152" s="64">
        <f>Results!#REF!</f>
        <v/>
      </c>
      <c r="CB152" s="64">
        <f>Results!#REF!</f>
        <v/>
      </c>
      <c r="CC152" s="64">
        <f>Results!#REF!</f>
        <v/>
      </c>
      <c r="CE152" s="64" t="n">
        <v>156</v>
      </c>
      <c r="CF152" s="64">
        <f>Retailers!BN151</f>
        <v/>
      </c>
      <c r="CG152" s="64">
        <f>Retailers!BO151</f>
        <v/>
      </c>
      <c r="CH152" s="64">
        <f>Retailers!BP151</f>
        <v/>
      </c>
      <c r="CJ152" s="64" t="n">
        <v>156</v>
      </c>
      <c r="CK152" s="64">
        <f>IF(BB152="ret=0",0,IF(BB152&gt;0,AR152+Distributors_Cap!$P$47-BB152,0))</f>
        <v/>
      </c>
      <c r="CL152" s="64">
        <f>IF(BC152="ret=0",0,IF(BC152&gt;0,AS152+Distributors_Cap!$P$47-BC152,0))</f>
        <v/>
      </c>
      <c r="CM152" s="64">
        <f>IF(BD152="ret=0",0,IF(BD152&gt;0,AT152+Distributors_Cap!$P$47-BD152,0))</f>
        <v/>
      </c>
    </row>
    <row r="153">
      <c r="G153" s="64" t="n">
        <v>157</v>
      </c>
      <c r="H153" s="64" t="n">
        <v>60.445</v>
      </c>
      <c r="I153" s="64" t="n">
        <v>74.61499999999999</v>
      </c>
      <c r="J153" s="64" t="n">
        <v>63.054</v>
      </c>
      <c r="L153" s="64">
        <f>TRUNC((_xlfn.NORM.INV((RAND()),$K$7,$K$8)),0)</f>
        <v/>
      </c>
      <c r="M153" s="64" t="n">
        <v>157</v>
      </c>
      <c r="N153" s="5" t="n">
        <v>40</v>
      </c>
      <c r="O153" s="5" t="n">
        <v>36</v>
      </c>
      <c r="P153" s="5" t="n">
        <v>17</v>
      </c>
      <c r="R153" s="2">
        <f>IF(N153&gt;Demand!AU170,0,(IF(((2*(Retailers!AJ152+Distributors_Cap!$P$47)-Retailers_Cap!$BB$7)*(Demand!AU170-Retailers_Cap!N153))&lt;0,0,((IF(BB153&gt;2*(Retailers!AJ152+Distributors_Cap!$P$47),0,(IF(BG153=0,ROUNDUP((2*(Retailers!AJ152+Distributors_Cap!$P$47)-BB153)^0.5,0),ROUNDUP((2*(Retailers!AJ152+Distributors_Cap!$P$47)-BB153)^0.5,0)))))))))</f>
        <v/>
      </c>
      <c r="S153" s="2">
        <f>IF(O153&gt;Demand!AV170,0,(IF(((2*(Retailers!AK152+Distributors_Cap!$P$47)-Retailers_Cap!$BB$7)*(Demand!AV170-Retailers_Cap!O153))&lt;0,0,((IF(BC153&gt;2*(Retailers!AK152+Distributors_Cap!$P$47),0,(IF(BH153=0,ROUNDUP((2*(Retailers!AK152+Distributors_Cap!$P$47)-BC153)^0.5,0),ROUNDUP((2*(Retailers!AK152+Distributors_Cap!$P$47)-BC153)^0.5,0)))))))))</f>
        <v/>
      </c>
      <c r="T153" s="2">
        <f>IF(P153&gt;Demand!AW170,0,(IF(((2*(Retailers!AL152+Distributors_Cap!$P$47)-Retailers_Cap!$BB$7)*(Demand!AW170-Retailers_Cap!P153))&lt;0,0,((IF(BD153&gt;2*(Retailers!AL152+Distributors_Cap!$P$47),0,(IF(BI153=0,ROUNDUP((2*(Retailers!AL152+Distributors_Cap!$P$47)-BD153)^0.5,0),ROUNDUP((2*(Retailers!AL152+Distributors_Cap!$P$47)-BD153)^0.5,0)))))))))</f>
        <v/>
      </c>
      <c r="W153" s="64" t="n">
        <v>157</v>
      </c>
      <c r="X153" s="9" t="n">
        <v>0</v>
      </c>
      <c r="Y153" s="9" t="n">
        <v>13</v>
      </c>
      <c r="Z153" s="9" t="n">
        <v>13</v>
      </c>
      <c r="AB153" s="2">
        <f>ROUNDDOWN(LOG((X153+1),2),0)</f>
        <v/>
      </c>
      <c r="AC153" s="2">
        <f>ROUNDDOWN(LOG((Y153+1),2),0)</f>
        <v/>
      </c>
      <c r="AD153" s="2">
        <f>ROUNDDOWN(LOG((Z153+1),2),0)</f>
        <v/>
      </c>
      <c r="AG153" s="64" t="n">
        <v>157</v>
      </c>
      <c r="AH153" s="9" t="n">
        <v>0</v>
      </c>
      <c r="AI153" s="9" t="n">
        <v>3</v>
      </c>
      <c r="AJ153" s="9" t="n">
        <v>3</v>
      </c>
      <c r="AQ153" s="64" t="n">
        <v>157</v>
      </c>
      <c r="AR153" s="64" t="n">
        <v>60.445</v>
      </c>
      <c r="AS153" s="64" t="n">
        <v>74.61499999999999</v>
      </c>
      <c r="AT153" s="64" t="n">
        <v>63.054</v>
      </c>
      <c r="AV153" s="64" t="n">
        <v>157</v>
      </c>
      <c r="AW153" s="64">
        <f>Beginning_stock!AT181</f>
        <v/>
      </c>
      <c r="AX153" s="64">
        <f>Beginning_stock!AU181</f>
        <v/>
      </c>
      <c r="AY153" s="64">
        <f>Beginning_stock!AV181</f>
        <v/>
      </c>
      <c r="BA153" s="64" t="n">
        <v>157</v>
      </c>
      <c r="BB153" s="64">
        <f>IF(Demand!AU170=Retailers_Cap!N153,"ret=0",(AW153/(Demand!AU170-Retailers_Cap!N153)))</f>
        <v/>
      </c>
      <c r="BC153" s="64">
        <f>IF(Demand!AV170=Retailers_Cap!O153,"ret=0",(AX153/(Demand!AV170-Retailers_Cap!O153)))</f>
        <v/>
      </c>
      <c r="BD153" s="64">
        <f>IF(Demand!AW170=Retailers_Cap!P153,"ret=0",(AY153/(Demand!AW170-Retailers_Cap!P153)))</f>
        <v/>
      </c>
      <c r="BF153" s="64" t="n">
        <v>157</v>
      </c>
      <c r="BG153" s="2">
        <f>IF(Demand!AU170&lt;=Retailers_Cap!N153,"ret=0",(IF(BB153&lt;=AR153+Distributors_Cap!$P$47,1,0)))</f>
        <v/>
      </c>
      <c r="BH153" s="2">
        <f>IF(Demand!AV170&lt;=Retailers_Cap!O153,"ret=0",(IF(BC153&lt;=AS153+Distributors_Cap!$P$47,1,0)))</f>
        <v/>
      </c>
      <c r="BI153" s="2">
        <f>IF(Demand!AW170&lt;=Retailers_Cap!P153,"ret=0",(IF(BD153&lt;=AT153+Distributors_Cap!$P$47,1,0)))</f>
        <v/>
      </c>
      <c r="BK153" s="64" t="n">
        <v>157</v>
      </c>
      <c r="BL153" s="64">
        <f>Retailers!BH152</f>
        <v/>
      </c>
      <c r="BM153" s="64">
        <f>Retailers!BI152</f>
        <v/>
      </c>
      <c r="BN153" s="64">
        <f>Retailers!BJ152</f>
        <v/>
      </c>
      <c r="BP153" s="64" t="n">
        <v>157</v>
      </c>
      <c r="BQ153" s="64">
        <f>#REF!</f>
        <v/>
      </c>
      <c r="BR153" s="64">
        <f>#REF!</f>
        <v/>
      </c>
      <c r="BS153" s="64">
        <f>#REF!</f>
        <v/>
      </c>
      <c r="BU153" s="64" t="n">
        <v>157</v>
      </c>
      <c r="BV153" s="64">
        <f>Retailers!AS152</f>
        <v/>
      </c>
      <c r="BW153" s="64">
        <f>Retailers!AT152</f>
        <v/>
      </c>
      <c r="BX153" s="64">
        <f>Retailers!AU152</f>
        <v/>
      </c>
      <c r="BZ153" s="64" t="n">
        <v>157</v>
      </c>
      <c r="CA153" s="64">
        <f>Results!#REF!</f>
        <v/>
      </c>
      <c r="CB153" s="64">
        <f>Results!#REF!</f>
        <v/>
      </c>
      <c r="CC153" s="64">
        <f>Results!#REF!</f>
        <v/>
      </c>
      <c r="CE153" s="64" t="n">
        <v>157</v>
      </c>
      <c r="CF153" s="64">
        <f>Retailers!BN152</f>
        <v/>
      </c>
      <c r="CG153" s="64">
        <f>Retailers!BO152</f>
        <v/>
      </c>
      <c r="CH153" s="64">
        <f>Retailers!BP152</f>
        <v/>
      </c>
      <c r="CJ153" s="64" t="n">
        <v>157</v>
      </c>
      <c r="CK153" s="64">
        <f>IF(BB153="ret=0",0,IF(BB153&gt;0,AR153+Distributors_Cap!$P$47-BB153,0))</f>
        <v/>
      </c>
      <c r="CL153" s="64">
        <f>IF(BC153="ret=0",0,IF(BC153&gt;0,AS153+Distributors_Cap!$P$47-BC153,0))</f>
        <v/>
      </c>
      <c r="CM153" s="64">
        <f>IF(BD153="ret=0",0,IF(BD153&gt;0,AT153+Distributors_Cap!$P$47-BD153,0))</f>
        <v/>
      </c>
    </row>
    <row r="154">
      <c r="G154" s="64" t="n">
        <v>158</v>
      </c>
      <c r="H154" s="64" t="n">
        <v>71.498</v>
      </c>
      <c r="I154" s="64" t="n">
        <v>49.595</v>
      </c>
      <c r="J154" s="64" t="n">
        <v>41.072</v>
      </c>
      <c r="L154" s="64">
        <f>TRUNC((_xlfn.NORM.INV((RAND()),$K$7,$K$8)),0)</f>
        <v/>
      </c>
      <c r="M154" s="64" t="n">
        <v>158</v>
      </c>
      <c r="N154" s="5" t="n">
        <v>21</v>
      </c>
      <c r="O154" s="5" t="n">
        <v>24</v>
      </c>
      <c r="P154" s="5" t="n">
        <v>32</v>
      </c>
      <c r="R154" s="2">
        <f>IF(N154&gt;Demand!AU171,0,(IF(((2*(Retailers!AJ153+Distributors_Cap!$P$47)-Retailers_Cap!$BB$7)*(Demand!AU171-Retailers_Cap!N154))&lt;0,0,((IF(BB154&gt;2*(Retailers!AJ153+Distributors_Cap!$P$47),0,(IF(BG154=0,ROUNDUP((2*(Retailers!AJ153+Distributors_Cap!$P$47)-BB154)^0.5,0),ROUNDUP((2*(Retailers!AJ153+Distributors_Cap!$P$47)-BB154)^0.5,0)))))))))</f>
        <v/>
      </c>
      <c r="S154" s="2">
        <f>IF(O154&gt;Demand!AV171,0,(IF(((2*(Retailers!AK153+Distributors_Cap!$P$47)-Retailers_Cap!$BB$7)*(Demand!AV171-Retailers_Cap!O154))&lt;0,0,((IF(BC154&gt;2*(Retailers!AK153+Distributors_Cap!$P$47),0,(IF(BH154=0,ROUNDUP((2*(Retailers!AK153+Distributors_Cap!$P$47)-BC154)^0.5,0),ROUNDUP((2*(Retailers!AK153+Distributors_Cap!$P$47)-BC154)^0.5,0)))))))))</f>
        <v/>
      </c>
      <c r="T154" s="2">
        <f>IF(P154&gt;Demand!AW171,0,(IF(((2*(Retailers!AL153+Distributors_Cap!$P$47)-Retailers_Cap!$BB$7)*(Demand!AW171-Retailers_Cap!P154))&lt;0,0,((IF(BD154&gt;2*(Retailers!AL153+Distributors_Cap!$P$47),0,(IF(BI154=0,ROUNDUP((2*(Retailers!AL153+Distributors_Cap!$P$47)-BD154)^0.5,0),ROUNDUP((2*(Retailers!AL153+Distributors_Cap!$P$47)-BD154)^0.5,0)))))))))</f>
        <v/>
      </c>
      <c r="W154" s="64" t="n">
        <v>158</v>
      </c>
      <c r="X154" s="9" t="n">
        <v>14</v>
      </c>
      <c r="Y154" s="9" t="n">
        <v>12</v>
      </c>
      <c r="Z154" s="9" t="n">
        <v>0</v>
      </c>
      <c r="AB154" s="2">
        <f>ROUNDDOWN(LOG((X154+1),2),0)</f>
        <v/>
      </c>
      <c r="AC154" s="2">
        <f>ROUNDDOWN(LOG((Y154+1),2),0)</f>
        <v/>
      </c>
      <c r="AD154" s="2">
        <f>ROUNDDOWN(LOG((Z154+1),2),0)</f>
        <v/>
      </c>
      <c r="AG154" s="64" t="n">
        <v>158</v>
      </c>
      <c r="AH154" s="9" t="n">
        <v>3</v>
      </c>
      <c r="AI154" s="9" t="n">
        <v>3</v>
      </c>
      <c r="AJ154" s="9" t="n">
        <v>0</v>
      </c>
      <c r="AQ154" s="64" t="n">
        <v>158</v>
      </c>
      <c r="AR154" s="64" t="n">
        <v>71.498</v>
      </c>
      <c r="AS154" s="64" t="n">
        <v>49.595</v>
      </c>
      <c r="AT154" s="64" t="n">
        <v>41.072</v>
      </c>
      <c r="AV154" s="64" t="n">
        <v>158</v>
      </c>
      <c r="AW154" s="64">
        <f>Beginning_stock!AT182</f>
        <v/>
      </c>
      <c r="AX154" s="64">
        <f>Beginning_stock!AU182</f>
        <v/>
      </c>
      <c r="AY154" s="64">
        <f>Beginning_stock!AV182</f>
        <v/>
      </c>
      <c r="BA154" s="64" t="n">
        <v>158</v>
      </c>
      <c r="BB154" s="64">
        <f>IF(Demand!AU171=Retailers_Cap!N154,"ret=0",(AW154/(Demand!AU171-Retailers_Cap!N154)))</f>
        <v/>
      </c>
      <c r="BC154" s="64">
        <f>IF(Demand!AV171=Retailers_Cap!O154,"ret=0",(AX154/(Demand!AV171-Retailers_Cap!O154)))</f>
        <v/>
      </c>
      <c r="BD154" s="64">
        <f>IF(Demand!AW171=Retailers_Cap!P154,"ret=0",(AY154/(Demand!AW171-Retailers_Cap!P154)))</f>
        <v/>
      </c>
      <c r="BF154" s="64" t="n">
        <v>158</v>
      </c>
      <c r="BG154" s="2">
        <f>IF(Demand!AU171&lt;=Retailers_Cap!N154,"ret=0",(IF(BB154&lt;=AR154+Distributors_Cap!$P$47,1,0)))</f>
        <v/>
      </c>
      <c r="BH154" s="2">
        <f>IF(Demand!AV171&lt;=Retailers_Cap!O154,"ret=0",(IF(BC154&lt;=AS154+Distributors_Cap!$P$47,1,0)))</f>
        <v/>
      </c>
      <c r="BI154" s="2">
        <f>IF(Demand!AW171&lt;=Retailers_Cap!P154,"ret=0",(IF(BD154&lt;=AT154+Distributors_Cap!$P$47,1,0)))</f>
        <v/>
      </c>
      <c r="BK154" s="64" t="n">
        <v>158</v>
      </c>
      <c r="BL154" s="64">
        <f>Retailers!BH153</f>
        <v/>
      </c>
      <c r="BM154" s="64">
        <f>Retailers!BI153</f>
        <v/>
      </c>
      <c r="BN154" s="64">
        <f>Retailers!BJ153</f>
        <v/>
      </c>
      <c r="BP154" s="64" t="n">
        <v>158</v>
      </c>
      <c r="BQ154" s="64">
        <f>#REF!</f>
        <v/>
      </c>
      <c r="BR154" s="64">
        <f>#REF!</f>
        <v/>
      </c>
      <c r="BS154" s="64">
        <f>#REF!</f>
        <v/>
      </c>
      <c r="BU154" s="64" t="n">
        <v>158</v>
      </c>
      <c r="BV154" s="64">
        <f>Retailers!AS153</f>
        <v/>
      </c>
      <c r="BW154" s="64">
        <f>Retailers!AT153</f>
        <v/>
      </c>
      <c r="BX154" s="64">
        <f>Retailers!AU153</f>
        <v/>
      </c>
      <c r="BZ154" s="64" t="n">
        <v>158</v>
      </c>
      <c r="CA154" s="64">
        <f>Results!#REF!</f>
        <v/>
      </c>
      <c r="CB154" s="64">
        <f>Results!#REF!</f>
        <v/>
      </c>
      <c r="CC154" s="64">
        <f>Results!#REF!</f>
        <v/>
      </c>
      <c r="CE154" s="64" t="n">
        <v>158</v>
      </c>
      <c r="CF154" s="64">
        <f>Retailers!BN153</f>
        <v/>
      </c>
      <c r="CG154" s="64">
        <f>Retailers!BO153</f>
        <v/>
      </c>
      <c r="CH154" s="64">
        <f>Retailers!BP153</f>
        <v/>
      </c>
      <c r="CJ154" s="64" t="n">
        <v>158</v>
      </c>
      <c r="CK154" s="64">
        <f>IF(BB154="ret=0",0,IF(BB154&gt;0,AR154+Distributors_Cap!$P$47-BB154,0))</f>
        <v/>
      </c>
      <c r="CL154" s="64">
        <f>IF(BC154="ret=0",0,IF(BC154&gt;0,AS154+Distributors_Cap!$P$47-BC154,0))</f>
        <v/>
      </c>
      <c r="CM154" s="64">
        <f>IF(BD154="ret=0",0,IF(BD154&gt;0,AT154+Distributors_Cap!$P$47-BD154,0))</f>
        <v/>
      </c>
    </row>
    <row r="155">
      <c r="G155" s="64" t="n">
        <v>159</v>
      </c>
      <c r="H155" s="64" t="n">
        <v>87.414</v>
      </c>
      <c r="I155" s="64" t="n">
        <v>79.72499999999999</v>
      </c>
      <c r="J155" s="64" t="n">
        <v>66.57599999999999</v>
      </c>
      <c r="L155" s="64">
        <f>TRUNC((_xlfn.NORM.INV((RAND()),$K$7,$K$8)),0)</f>
        <v/>
      </c>
      <c r="M155" s="64" t="n">
        <v>159</v>
      </c>
      <c r="N155" s="5" t="n">
        <v>33</v>
      </c>
      <c r="O155" s="5" t="n">
        <v>31</v>
      </c>
      <c r="P155" s="5" t="n">
        <v>20</v>
      </c>
      <c r="R155" s="2">
        <f>IF(N155&gt;Demand!AU172,0,(IF(((2*(Retailers!AJ154+Distributors_Cap!$P$47)-Retailers_Cap!$BB$7)*(Demand!AU172-Retailers_Cap!N155))&lt;0,0,((IF(BB155&gt;2*(Retailers!AJ154+Distributors_Cap!$P$47),0,(IF(BG155=0,ROUNDUP((2*(Retailers!AJ154+Distributors_Cap!$P$47)-BB155)^0.5,0),ROUNDUP((2*(Retailers!AJ154+Distributors_Cap!$P$47)-BB155)^0.5,0)))))))))</f>
        <v/>
      </c>
      <c r="S155" s="2">
        <f>IF(O155&gt;Demand!AV172,0,(IF(((2*(Retailers!AK154+Distributors_Cap!$P$47)-Retailers_Cap!$BB$7)*(Demand!AV172-Retailers_Cap!O155))&lt;0,0,((IF(BC155&gt;2*(Retailers!AK154+Distributors_Cap!$P$47),0,(IF(BH155=0,ROUNDUP((2*(Retailers!AK154+Distributors_Cap!$P$47)-BC155)^0.5,0),ROUNDUP((2*(Retailers!AK154+Distributors_Cap!$P$47)-BC155)^0.5,0)))))))))</f>
        <v/>
      </c>
      <c r="T155" s="2">
        <f>IF(P155&gt;Demand!AW172,0,(IF(((2*(Retailers!AL154+Distributors_Cap!$P$47)-Retailers_Cap!$BB$7)*(Demand!AW172-Retailers_Cap!P155))&lt;0,0,((IF(BD155&gt;2*(Retailers!AL154+Distributors_Cap!$P$47),0,(IF(BI155=0,ROUNDUP((2*(Retailers!AL154+Distributors_Cap!$P$47)-BD155)^0.5,0),ROUNDUP((2*(Retailers!AL154+Distributors_Cap!$P$47)-BD155)^0.5,0)))))))))</f>
        <v/>
      </c>
      <c r="W155" s="64" t="n">
        <v>159</v>
      </c>
      <c r="X155" s="9" t="n">
        <v>0</v>
      </c>
      <c r="Y155" s="9" t="n">
        <v>0</v>
      </c>
      <c r="Z155" s="9" t="n">
        <v>0</v>
      </c>
      <c r="AB155" s="2">
        <f>ROUNDDOWN(LOG((X155+1),2),0)</f>
        <v/>
      </c>
      <c r="AC155" s="2">
        <f>ROUNDDOWN(LOG((Y155+1),2),0)</f>
        <v/>
      </c>
      <c r="AD155" s="2">
        <f>ROUNDDOWN(LOG((Z155+1),2),0)</f>
        <v/>
      </c>
      <c r="AG155" s="64" t="n">
        <v>159</v>
      </c>
      <c r="AH155" s="9" t="n">
        <v>0</v>
      </c>
      <c r="AI155" s="9" t="n">
        <v>0</v>
      </c>
      <c r="AJ155" s="9" t="n">
        <v>0</v>
      </c>
      <c r="AQ155" s="64" t="n">
        <v>159</v>
      </c>
      <c r="AR155" s="64" t="n">
        <v>87.414</v>
      </c>
      <c r="AS155" s="64" t="n">
        <v>79.72499999999999</v>
      </c>
      <c r="AT155" s="64" t="n">
        <v>66.57599999999999</v>
      </c>
      <c r="AV155" s="64" t="n">
        <v>159</v>
      </c>
      <c r="AW155" s="64">
        <f>Beginning_stock!AT183</f>
        <v/>
      </c>
      <c r="AX155" s="64">
        <f>Beginning_stock!AU183</f>
        <v/>
      </c>
      <c r="AY155" s="64">
        <f>Beginning_stock!AV183</f>
        <v/>
      </c>
      <c r="BA155" s="64" t="n">
        <v>159</v>
      </c>
      <c r="BB155" s="64">
        <f>IF(Demand!AU172=Retailers_Cap!N155,"ret=0",(AW155/(Demand!AU172-Retailers_Cap!N155)))</f>
        <v/>
      </c>
      <c r="BC155" s="64">
        <f>IF(Demand!AV172=Retailers_Cap!O155,"ret=0",(AX155/(Demand!AV172-Retailers_Cap!O155)))</f>
        <v/>
      </c>
      <c r="BD155" s="64">
        <f>IF(Demand!AW172=Retailers_Cap!P155,"ret=0",(AY155/(Demand!AW172-Retailers_Cap!P155)))</f>
        <v/>
      </c>
      <c r="BF155" s="64" t="n">
        <v>159</v>
      </c>
      <c r="BG155" s="2">
        <f>IF(Demand!AU172&lt;=Retailers_Cap!N155,"ret=0",(IF(BB155&lt;=AR155+Distributors_Cap!$P$47,1,0)))</f>
        <v/>
      </c>
      <c r="BH155" s="2">
        <f>IF(Demand!AV172&lt;=Retailers_Cap!O155,"ret=0",(IF(BC155&lt;=AS155+Distributors_Cap!$P$47,1,0)))</f>
        <v/>
      </c>
      <c r="BI155" s="2">
        <f>IF(Demand!AW172&lt;=Retailers_Cap!P155,"ret=0",(IF(BD155&lt;=AT155+Distributors_Cap!$P$47,1,0)))</f>
        <v/>
      </c>
      <c r="BK155" s="64" t="n">
        <v>159</v>
      </c>
      <c r="BL155" s="64">
        <f>Retailers!BH154</f>
        <v/>
      </c>
      <c r="BM155" s="64">
        <f>Retailers!BI154</f>
        <v/>
      </c>
      <c r="BN155" s="64">
        <f>Retailers!BJ154</f>
        <v/>
      </c>
      <c r="BP155" s="64" t="n">
        <v>159</v>
      </c>
      <c r="BQ155" s="64">
        <f>#REF!</f>
        <v/>
      </c>
      <c r="BR155" s="64">
        <f>#REF!</f>
        <v/>
      </c>
      <c r="BS155" s="64">
        <f>#REF!</f>
        <v/>
      </c>
      <c r="BU155" s="64" t="n">
        <v>159</v>
      </c>
      <c r="BV155" s="64">
        <f>Retailers!AS154</f>
        <v/>
      </c>
      <c r="BW155" s="64">
        <f>Retailers!AT154</f>
        <v/>
      </c>
      <c r="BX155" s="64">
        <f>Retailers!AU154</f>
        <v/>
      </c>
      <c r="BZ155" s="64" t="n">
        <v>159</v>
      </c>
      <c r="CA155" s="64">
        <f>Results!#REF!</f>
        <v/>
      </c>
      <c r="CB155" s="64">
        <f>Results!#REF!</f>
        <v/>
      </c>
      <c r="CC155" s="64">
        <f>Results!#REF!</f>
        <v/>
      </c>
      <c r="CE155" s="64" t="n">
        <v>159</v>
      </c>
      <c r="CF155" s="64">
        <f>Retailers!BN154</f>
        <v/>
      </c>
      <c r="CG155" s="64">
        <f>Retailers!BO154</f>
        <v/>
      </c>
      <c r="CH155" s="64">
        <f>Retailers!BP154</f>
        <v/>
      </c>
      <c r="CJ155" s="64" t="n">
        <v>159</v>
      </c>
      <c r="CK155" s="64">
        <f>IF(BB155="ret=0",0,IF(BB155&gt;0,AR155+Distributors_Cap!$P$47-BB155,0))</f>
        <v/>
      </c>
      <c r="CL155" s="64">
        <f>IF(BC155="ret=0",0,IF(BC155&gt;0,AS155+Distributors_Cap!$P$47-BC155,0))</f>
        <v/>
      </c>
      <c r="CM155" s="64">
        <f>IF(BD155="ret=0",0,IF(BD155&gt;0,AT155+Distributors_Cap!$P$47-BD155,0))</f>
        <v/>
      </c>
    </row>
    <row r="156">
      <c r="G156" s="64" t="n">
        <v>160</v>
      </c>
      <c r="H156" s="64" t="n">
        <v>43.405</v>
      </c>
      <c r="I156" s="64" t="n">
        <v>62.765</v>
      </c>
      <c r="J156" s="64" t="n">
        <v>77.17100000000001</v>
      </c>
      <c r="L156" s="64">
        <f>TRUNC((_xlfn.NORM.INV((RAND()),$K$7,$K$8)),0)</f>
        <v/>
      </c>
      <c r="M156" s="64" t="n">
        <v>160</v>
      </c>
      <c r="N156" s="5" t="n">
        <v>21</v>
      </c>
      <c r="O156" s="5" t="n">
        <v>20</v>
      </c>
      <c r="P156" s="5" t="n">
        <v>22</v>
      </c>
      <c r="R156" s="2">
        <f>IF(N156&gt;Demand!AU173,0,(IF(((2*(Retailers!AJ155+Distributors_Cap!$P$47)-Retailers_Cap!$BB$7)*(Demand!AU173-Retailers_Cap!N156))&lt;0,0,((IF(BB156&gt;2*(Retailers!AJ155+Distributors_Cap!$P$47),0,(IF(BG156=0,ROUNDUP((2*(Retailers!AJ155+Distributors_Cap!$P$47)-BB156)^0.5,0),ROUNDUP((2*(Retailers!AJ155+Distributors_Cap!$P$47)-BB156)^0.5,0)))))))))</f>
        <v/>
      </c>
      <c r="S156" s="2">
        <f>IF(O156&gt;Demand!AV173,0,(IF(((2*(Retailers!AK155+Distributors_Cap!$P$47)-Retailers_Cap!$BB$7)*(Demand!AV173-Retailers_Cap!O156))&lt;0,0,((IF(BC156&gt;2*(Retailers!AK155+Distributors_Cap!$P$47),0,(IF(BH156=0,ROUNDUP((2*(Retailers!AK155+Distributors_Cap!$P$47)-BC156)^0.5,0),ROUNDUP((2*(Retailers!AK155+Distributors_Cap!$P$47)-BC156)^0.5,0)))))))))</f>
        <v/>
      </c>
      <c r="T156" s="2">
        <f>IF(P156&gt;Demand!AW173,0,(IF(((2*(Retailers!AL155+Distributors_Cap!$P$47)-Retailers_Cap!$BB$7)*(Demand!AW173-Retailers_Cap!P156))&lt;0,0,((IF(BD156&gt;2*(Retailers!AL155+Distributors_Cap!$P$47),0,(IF(BI156=0,ROUNDUP((2*(Retailers!AL155+Distributors_Cap!$P$47)-BD156)^0.5,0),ROUNDUP((2*(Retailers!AL155+Distributors_Cap!$P$47)-BD156)^0.5,0)))))))))</f>
        <v/>
      </c>
      <c r="W156" s="64" t="n">
        <v>160</v>
      </c>
      <c r="X156" s="9" t="n">
        <v>10</v>
      </c>
      <c r="Y156" s="9" t="n">
        <v>12</v>
      </c>
      <c r="Z156" s="9" t="n">
        <v>13</v>
      </c>
      <c r="AB156" s="2">
        <f>ROUNDDOWN(LOG((X156+1),2),0)</f>
        <v/>
      </c>
      <c r="AC156" s="2">
        <f>ROUNDDOWN(LOG((Y156+1),2),0)</f>
        <v/>
      </c>
      <c r="AD156" s="2">
        <f>ROUNDDOWN(LOG((Z156+1),2),0)</f>
        <v/>
      </c>
      <c r="AG156" s="64" t="n">
        <v>160</v>
      </c>
      <c r="AH156" s="9" t="n">
        <v>3</v>
      </c>
      <c r="AI156" s="9" t="n">
        <v>3</v>
      </c>
      <c r="AJ156" s="9" t="n">
        <v>3</v>
      </c>
      <c r="AQ156" s="64" t="n">
        <v>160</v>
      </c>
      <c r="AR156" s="64" t="n">
        <v>43.405</v>
      </c>
      <c r="AS156" s="64" t="n">
        <v>62.765</v>
      </c>
      <c r="AT156" s="64" t="n">
        <v>77.17100000000001</v>
      </c>
      <c r="AV156" s="64" t="n">
        <v>160</v>
      </c>
      <c r="AW156" s="64">
        <f>Beginning_stock!AT184</f>
        <v/>
      </c>
      <c r="AX156" s="64">
        <f>Beginning_stock!AU184</f>
        <v/>
      </c>
      <c r="AY156" s="64">
        <f>Beginning_stock!AV184</f>
        <v/>
      </c>
      <c r="BA156" s="64" t="n">
        <v>160</v>
      </c>
      <c r="BB156" s="64">
        <f>IF(Demand!AU173=Retailers_Cap!N156,"ret=0",(AW156/(Demand!AU173-Retailers_Cap!N156)))</f>
        <v/>
      </c>
      <c r="BC156" s="64">
        <f>IF(Demand!AV173=Retailers_Cap!O156,"ret=0",(AX156/(Demand!AV173-Retailers_Cap!O156)))</f>
        <v/>
      </c>
      <c r="BD156" s="64">
        <f>IF(Demand!AW173=Retailers_Cap!P156,"ret=0",(AY156/(Demand!AW173-Retailers_Cap!P156)))</f>
        <v/>
      </c>
      <c r="BF156" s="64" t="n">
        <v>160</v>
      </c>
      <c r="BG156" s="2">
        <f>IF(Demand!AU173&lt;=Retailers_Cap!N156,"ret=0",(IF(BB156&lt;=AR156+Distributors_Cap!$P$47,1,0)))</f>
        <v/>
      </c>
      <c r="BH156" s="2">
        <f>IF(Demand!AV173&lt;=Retailers_Cap!O156,"ret=0",(IF(BC156&lt;=AS156+Distributors_Cap!$P$47,1,0)))</f>
        <v/>
      </c>
      <c r="BI156" s="2">
        <f>IF(Demand!AW173&lt;=Retailers_Cap!P156,"ret=0",(IF(BD156&lt;=AT156+Distributors_Cap!$P$47,1,0)))</f>
        <v/>
      </c>
      <c r="BK156" s="64" t="n">
        <v>160</v>
      </c>
      <c r="BL156" s="64">
        <f>Retailers!BH155</f>
        <v/>
      </c>
      <c r="BM156" s="64">
        <f>Retailers!BI155</f>
        <v/>
      </c>
      <c r="BN156" s="64">
        <f>Retailers!BJ155</f>
        <v/>
      </c>
      <c r="BP156" s="64" t="n">
        <v>160</v>
      </c>
      <c r="BQ156" s="64">
        <f>#REF!</f>
        <v/>
      </c>
      <c r="BR156" s="64">
        <f>#REF!</f>
        <v/>
      </c>
      <c r="BS156" s="64">
        <f>#REF!</f>
        <v/>
      </c>
      <c r="BU156" s="64" t="n">
        <v>160</v>
      </c>
      <c r="BV156" s="64">
        <f>Retailers!AS155</f>
        <v/>
      </c>
      <c r="BW156" s="64">
        <f>Retailers!AT155</f>
        <v/>
      </c>
      <c r="BX156" s="64">
        <f>Retailers!AU155</f>
        <v/>
      </c>
      <c r="BZ156" s="64" t="n">
        <v>160</v>
      </c>
      <c r="CA156" s="64">
        <f>Results!#REF!</f>
        <v/>
      </c>
      <c r="CB156" s="64">
        <f>Results!#REF!</f>
        <v/>
      </c>
      <c r="CC156" s="64">
        <f>Results!#REF!</f>
        <v/>
      </c>
      <c r="CE156" s="64" t="n">
        <v>160</v>
      </c>
      <c r="CF156" s="64">
        <f>Retailers!BN155</f>
        <v/>
      </c>
      <c r="CG156" s="64">
        <f>Retailers!BO155</f>
        <v/>
      </c>
      <c r="CH156" s="64">
        <f>Retailers!BP155</f>
        <v/>
      </c>
      <c r="CJ156" s="64" t="n">
        <v>160</v>
      </c>
      <c r="CK156" s="64">
        <f>IF(BB156="ret=0",0,IF(BB156&gt;0,AR156+Distributors_Cap!$P$47-BB156,0))</f>
        <v/>
      </c>
      <c r="CL156" s="64">
        <f>IF(BC156="ret=0",0,IF(BC156&gt;0,AS156+Distributors_Cap!$P$47-BC156,0))</f>
        <v/>
      </c>
      <c r="CM156" s="64">
        <f>IF(BD156="ret=0",0,IF(BD156&gt;0,AT156+Distributors_Cap!$P$47-BD156,0))</f>
        <v/>
      </c>
    </row>
    <row r="157">
      <c r="G157" s="64" t="n">
        <v>161</v>
      </c>
      <c r="H157" s="64" t="n">
        <v>60.751</v>
      </c>
      <c r="I157" s="64" t="n">
        <v>59.798</v>
      </c>
      <c r="J157" s="64" t="n">
        <v>70.583</v>
      </c>
      <c r="L157" s="64">
        <f>TRUNC((_xlfn.NORM.INV((RAND()),$K$7,$K$8)),0)</f>
        <v/>
      </c>
      <c r="M157" s="64" t="n">
        <v>161</v>
      </c>
      <c r="N157" s="5" t="n">
        <v>17</v>
      </c>
      <c r="O157" s="5" t="n">
        <v>17</v>
      </c>
      <c r="P157" s="5" t="n">
        <v>33</v>
      </c>
      <c r="R157" s="2">
        <f>IF(N157&gt;Demand!AU174,0,(IF(((2*(Retailers!AJ156+Distributors_Cap!$P$47)-Retailers_Cap!$BB$7)*(Demand!AU174-Retailers_Cap!N157))&lt;0,0,((IF(BB157&gt;2*(Retailers!AJ156+Distributors_Cap!$P$47),0,(IF(BG157=0,ROUNDUP((2*(Retailers!AJ156+Distributors_Cap!$P$47)-BB157)^0.5,0),ROUNDUP((2*(Retailers!AJ156+Distributors_Cap!$P$47)-BB157)^0.5,0)))))))))</f>
        <v/>
      </c>
      <c r="S157" s="2">
        <f>IF(O157&gt;Demand!AV174,0,(IF(((2*(Retailers!AK156+Distributors_Cap!$P$47)-Retailers_Cap!$BB$7)*(Demand!AV174-Retailers_Cap!O157))&lt;0,0,((IF(BC157&gt;2*(Retailers!AK156+Distributors_Cap!$P$47),0,(IF(BH157=0,ROUNDUP((2*(Retailers!AK156+Distributors_Cap!$P$47)-BC157)^0.5,0),ROUNDUP((2*(Retailers!AK156+Distributors_Cap!$P$47)-BC157)^0.5,0)))))))))</f>
        <v/>
      </c>
      <c r="T157" s="2">
        <f>IF(P157&gt;Demand!AW174,0,(IF(((2*(Retailers!AL156+Distributors_Cap!$P$47)-Retailers_Cap!$BB$7)*(Demand!AW174-Retailers_Cap!P157))&lt;0,0,((IF(BD157&gt;2*(Retailers!AL156+Distributors_Cap!$P$47),0,(IF(BI157=0,ROUNDUP((2*(Retailers!AL156+Distributors_Cap!$P$47)-BD157)^0.5,0),ROUNDUP((2*(Retailers!AL156+Distributors_Cap!$P$47)-BD157)^0.5,0)))))))))</f>
        <v/>
      </c>
      <c r="W157" s="64" t="n">
        <v>161</v>
      </c>
      <c r="X157" s="9" t="n">
        <v>0</v>
      </c>
      <c r="Y157" s="9" t="n">
        <v>13</v>
      </c>
      <c r="Z157" s="9" t="n">
        <v>0</v>
      </c>
      <c r="AB157" s="2">
        <f>ROUNDDOWN(LOG((X157+1),2),0)</f>
        <v/>
      </c>
      <c r="AC157" s="2">
        <f>ROUNDDOWN(LOG((Y157+1),2),0)</f>
        <v/>
      </c>
      <c r="AD157" s="2">
        <f>ROUNDDOWN(LOG((Z157+1),2),0)</f>
        <v/>
      </c>
      <c r="AG157" s="64" t="n">
        <v>161</v>
      </c>
      <c r="AH157" s="9" t="n">
        <v>0</v>
      </c>
      <c r="AI157" s="9" t="n">
        <v>3</v>
      </c>
      <c r="AJ157" s="9" t="n">
        <v>0</v>
      </c>
      <c r="AQ157" s="64" t="n">
        <v>161</v>
      </c>
      <c r="AR157" s="64" t="n">
        <v>60.751</v>
      </c>
      <c r="AS157" s="64" t="n">
        <v>59.798</v>
      </c>
      <c r="AT157" s="64" t="n">
        <v>70.583</v>
      </c>
      <c r="AV157" s="64" t="n">
        <v>161</v>
      </c>
      <c r="AW157" s="64">
        <f>Beginning_stock!AT185</f>
        <v/>
      </c>
      <c r="AX157" s="64">
        <f>Beginning_stock!AU185</f>
        <v/>
      </c>
      <c r="AY157" s="64">
        <f>Beginning_stock!AV185</f>
        <v/>
      </c>
      <c r="BA157" s="64" t="n">
        <v>161</v>
      </c>
      <c r="BB157" s="64">
        <f>IF(Demand!AU174=Retailers_Cap!N157,"ret=0",(AW157/(Demand!AU174-Retailers_Cap!N157)))</f>
        <v/>
      </c>
      <c r="BC157" s="64">
        <f>IF(Demand!AV174=Retailers_Cap!O157,"ret=0",(AX157/(Demand!AV174-Retailers_Cap!O157)))</f>
        <v/>
      </c>
      <c r="BD157" s="64">
        <f>IF(Demand!AW174=Retailers_Cap!P157,"ret=0",(AY157/(Demand!AW174-Retailers_Cap!P157)))</f>
        <v/>
      </c>
      <c r="BF157" s="64" t="n">
        <v>161</v>
      </c>
      <c r="BG157" s="2">
        <f>IF(Demand!AU174&lt;=Retailers_Cap!N157,"ret=0",(IF(BB157&lt;=AR157+Distributors_Cap!$P$47,1,0)))</f>
        <v/>
      </c>
      <c r="BH157" s="2">
        <f>IF(Demand!AV174&lt;=Retailers_Cap!O157,"ret=0",(IF(BC157&lt;=AS157+Distributors_Cap!$P$47,1,0)))</f>
        <v/>
      </c>
      <c r="BI157" s="2">
        <f>IF(Demand!AW174&lt;=Retailers_Cap!P157,"ret=0",(IF(BD157&lt;=AT157+Distributors_Cap!$P$47,1,0)))</f>
        <v/>
      </c>
      <c r="BK157" s="64" t="n">
        <v>161</v>
      </c>
      <c r="BL157" s="64">
        <f>Retailers!BH156</f>
        <v/>
      </c>
      <c r="BM157" s="64">
        <f>Retailers!BI156</f>
        <v/>
      </c>
      <c r="BN157" s="64">
        <f>Retailers!BJ156</f>
        <v/>
      </c>
      <c r="BP157" s="64" t="n">
        <v>161</v>
      </c>
      <c r="BQ157" s="64">
        <f>#REF!</f>
        <v/>
      </c>
      <c r="BR157" s="64">
        <f>#REF!</f>
        <v/>
      </c>
      <c r="BS157" s="64">
        <f>#REF!</f>
        <v/>
      </c>
      <c r="BU157" s="64" t="n">
        <v>161</v>
      </c>
      <c r="BV157" s="64">
        <f>Retailers!AS156</f>
        <v/>
      </c>
      <c r="BW157" s="64">
        <f>Retailers!AT156</f>
        <v/>
      </c>
      <c r="BX157" s="64">
        <f>Retailers!AU156</f>
        <v/>
      </c>
      <c r="BZ157" s="64" t="n">
        <v>161</v>
      </c>
      <c r="CA157" s="64">
        <f>Results!#REF!</f>
        <v/>
      </c>
      <c r="CB157" s="64">
        <f>Results!#REF!</f>
        <v/>
      </c>
      <c r="CC157" s="64">
        <f>Results!#REF!</f>
        <v/>
      </c>
      <c r="CE157" s="64" t="n">
        <v>161</v>
      </c>
      <c r="CF157" s="64">
        <f>Retailers!BN156</f>
        <v/>
      </c>
      <c r="CG157" s="64">
        <f>Retailers!BO156</f>
        <v/>
      </c>
      <c r="CH157" s="64">
        <f>Retailers!BP156</f>
        <v/>
      </c>
      <c r="CJ157" s="64" t="n">
        <v>161</v>
      </c>
      <c r="CK157" s="64">
        <f>IF(BB157="ret=0",0,IF(BB157&gt;0,AR157+Distributors_Cap!$P$47-BB157,0))</f>
        <v/>
      </c>
      <c r="CL157" s="64">
        <f>IF(BC157="ret=0",0,IF(BC157&gt;0,AS157+Distributors_Cap!$P$47-BC157,0))</f>
        <v/>
      </c>
      <c r="CM157" s="64">
        <f>IF(BD157="ret=0",0,IF(BD157&gt;0,AT157+Distributors_Cap!$P$47-BD157,0))</f>
        <v/>
      </c>
    </row>
    <row r="158">
      <c r="G158" s="64" t="n">
        <v>162</v>
      </c>
      <c r="H158" s="64" t="n">
        <v>61.856</v>
      </c>
      <c r="I158" s="64" t="n">
        <v>52.404</v>
      </c>
      <c r="J158" s="64" t="n">
        <v>67.47499999999999</v>
      </c>
      <c r="L158" s="64">
        <f>TRUNC((_xlfn.NORM.INV((RAND()),$K$7,$K$8)),0)</f>
        <v/>
      </c>
      <c r="M158" s="64" t="n">
        <v>162</v>
      </c>
      <c r="N158" s="5" t="n">
        <v>21</v>
      </c>
      <c r="O158" s="5" t="n">
        <v>21</v>
      </c>
      <c r="P158" s="5" t="n">
        <v>29</v>
      </c>
      <c r="R158" s="2">
        <f>IF(N158&gt;Demand!AU175,0,(IF(((2*(Retailers!AJ157+Distributors_Cap!$P$47)-Retailers_Cap!$BB$7)*(Demand!AU175-Retailers_Cap!N158))&lt;0,0,((IF(BB158&gt;2*(Retailers!AJ157+Distributors_Cap!$P$47),0,(IF(BG158=0,ROUNDUP((2*(Retailers!AJ157+Distributors_Cap!$P$47)-BB158)^0.5,0),ROUNDUP((2*(Retailers!AJ157+Distributors_Cap!$P$47)-BB158)^0.5,0)))))))))</f>
        <v/>
      </c>
      <c r="S158" s="2">
        <f>IF(O158&gt;Demand!AV175,0,(IF(((2*(Retailers!AK157+Distributors_Cap!$P$47)-Retailers_Cap!$BB$7)*(Demand!AV175-Retailers_Cap!O158))&lt;0,0,((IF(BC158&gt;2*(Retailers!AK157+Distributors_Cap!$P$47),0,(IF(BH158=0,ROUNDUP((2*(Retailers!AK157+Distributors_Cap!$P$47)-BC158)^0.5,0),ROUNDUP((2*(Retailers!AK157+Distributors_Cap!$P$47)-BC158)^0.5,0)))))))))</f>
        <v/>
      </c>
      <c r="T158" s="2">
        <f>IF(P158&gt;Demand!AW175,0,(IF(((2*(Retailers!AL157+Distributors_Cap!$P$47)-Retailers_Cap!$BB$7)*(Demand!AW175-Retailers_Cap!P158))&lt;0,0,((IF(BD158&gt;2*(Retailers!AL157+Distributors_Cap!$P$47),0,(IF(BI158=0,ROUNDUP((2*(Retailers!AL157+Distributors_Cap!$P$47)-BD158)^0.5,0),ROUNDUP((2*(Retailers!AL157+Distributors_Cap!$P$47)-BD158)^0.5,0)))))))))</f>
        <v/>
      </c>
      <c r="W158" s="64" t="n">
        <v>162</v>
      </c>
      <c r="X158" s="9" t="n">
        <v>13</v>
      </c>
      <c r="Y158" s="9" t="n">
        <v>12</v>
      </c>
      <c r="Z158" s="9" t="n">
        <v>13</v>
      </c>
      <c r="AB158" s="2">
        <f>ROUNDDOWN(LOG((X158+1),2),0)</f>
        <v/>
      </c>
      <c r="AC158" s="2">
        <f>ROUNDDOWN(LOG((Y158+1),2),0)</f>
        <v/>
      </c>
      <c r="AD158" s="2">
        <f>ROUNDDOWN(LOG((Z158+1),2),0)</f>
        <v/>
      </c>
      <c r="AG158" s="64" t="n">
        <v>162</v>
      </c>
      <c r="AH158" s="9" t="n">
        <v>3</v>
      </c>
      <c r="AI158" s="9" t="n">
        <v>3</v>
      </c>
      <c r="AJ158" s="9" t="n">
        <v>3</v>
      </c>
      <c r="AQ158" s="64" t="n">
        <v>162</v>
      </c>
      <c r="AR158" s="64" t="n">
        <v>61.856</v>
      </c>
      <c r="AS158" s="64" t="n">
        <v>52.404</v>
      </c>
      <c r="AT158" s="64" t="n">
        <v>67.47499999999999</v>
      </c>
      <c r="AV158" s="64" t="n">
        <v>162</v>
      </c>
      <c r="AW158" s="64">
        <f>Beginning_stock!AT186</f>
        <v/>
      </c>
      <c r="AX158" s="64">
        <f>Beginning_stock!AU186</f>
        <v/>
      </c>
      <c r="AY158" s="64">
        <f>Beginning_stock!AV186</f>
        <v/>
      </c>
      <c r="BA158" s="64" t="n">
        <v>162</v>
      </c>
      <c r="BB158" s="64">
        <f>IF(Demand!AU175=Retailers_Cap!N158,"ret=0",(AW158/(Demand!AU175-Retailers_Cap!N158)))</f>
        <v/>
      </c>
      <c r="BC158" s="64">
        <f>IF(Demand!AV175=Retailers_Cap!O158,"ret=0",(AX158/(Demand!AV175-Retailers_Cap!O158)))</f>
        <v/>
      </c>
      <c r="BD158" s="64">
        <f>IF(Demand!AW175=Retailers_Cap!P158,"ret=0",(AY158/(Demand!AW175-Retailers_Cap!P158)))</f>
        <v/>
      </c>
      <c r="BF158" s="64" t="n">
        <v>162</v>
      </c>
      <c r="BG158" s="2">
        <f>IF(Demand!AU175&lt;=Retailers_Cap!N158,"ret=0",(IF(BB158&lt;=AR158+Distributors_Cap!$P$47,1,0)))</f>
        <v/>
      </c>
      <c r="BH158" s="2">
        <f>IF(Demand!AV175&lt;=Retailers_Cap!O158,"ret=0",(IF(BC158&lt;=AS158+Distributors_Cap!$P$47,1,0)))</f>
        <v/>
      </c>
      <c r="BI158" s="2">
        <f>IF(Demand!AW175&lt;=Retailers_Cap!P158,"ret=0",(IF(BD158&lt;=AT158+Distributors_Cap!$P$47,1,0)))</f>
        <v/>
      </c>
      <c r="BK158" s="64" t="n">
        <v>162</v>
      </c>
      <c r="BL158" s="64">
        <f>Retailers!BH157</f>
        <v/>
      </c>
      <c r="BM158" s="64">
        <f>Retailers!BI157</f>
        <v/>
      </c>
      <c r="BN158" s="64">
        <f>Retailers!BJ157</f>
        <v/>
      </c>
      <c r="BP158" s="64" t="n">
        <v>162</v>
      </c>
      <c r="BQ158" s="64">
        <f>#REF!</f>
        <v/>
      </c>
      <c r="BR158" s="64">
        <f>#REF!</f>
        <v/>
      </c>
      <c r="BS158" s="64">
        <f>#REF!</f>
        <v/>
      </c>
      <c r="BU158" s="64" t="n">
        <v>162</v>
      </c>
      <c r="BV158" s="64">
        <f>Retailers!AS157</f>
        <v/>
      </c>
      <c r="BW158" s="64">
        <f>Retailers!AT157</f>
        <v/>
      </c>
      <c r="BX158" s="64">
        <f>Retailers!AU157</f>
        <v/>
      </c>
      <c r="BZ158" s="64" t="n">
        <v>162</v>
      </c>
      <c r="CA158" s="64">
        <f>Results!#REF!</f>
        <v/>
      </c>
      <c r="CB158" s="64">
        <f>Results!#REF!</f>
        <v/>
      </c>
      <c r="CC158" s="64">
        <f>Results!#REF!</f>
        <v/>
      </c>
      <c r="CE158" s="64" t="n">
        <v>162</v>
      </c>
      <c r="CF158" s="64">
        <f>Retailers!BN157</f>
        <v/>
      </c>
      <c r="CG158" s="64">
        <f>Retailers!BO157</f>
        <v/>
      </c>
      <c r="CH158" s="64">
        <f>Retailers!BP157</f>
        <v/>
      </c>
      <c r="CJ158" s="64" t="n">
        <v>162</v>
      </c>
      <c r="CK158" s="64">
        <f>IF(BB158="ret=0",0,IF(BB158&gt;0,AR158+Distributors_Cap!$P$47-BB158,0))</f>
        <v/>
      </c>
      <c r="CL158" s="64">
        <f>IF(BC158="ret=0",0,IF(BC158&gt;0,AS158+Distributors_Cap!$P$47-BC158,0))</f>
        <v/>
      </c>
      <c r="CM158" s="64">
        <f>IF(BD158="ret=0",0,IF(BD158&gt;0,AT158+Distributors_Cap!$P$47-BD158,0))</f>
        <v/>
      </c>
    </row>
    <row r="159">
      <c r="G159" s="64" t="n">
        <v>163</v>
      </c>
      <c r="H159" s="64" t="n">
        <v>64.47199999999999</v>
      </c>
      <c r="I159" s="64" t="n">
        <v>52.843</v>
      </c>
      <c r="J159" s="64" t="n">
        <v>79.592</v>
      </c>
      <c r="L159" s="64">
        <f>TRUNC((_xlfn.NORM.INV((RAND()),$K$7,$K$8)),0)</f>
        <v/>
      </c>
      <c r="M159" s="64" t="n">
        <v>163</v>
      </c>
      <c r="N159" s="5" t="n">
        <v>21</v>
      </c>
      <c r="O159" s="5" t="n">
        <v>27</v>
      </c>
      <c r="P159" s="5" t="n">
        <v>27</v>
      </c>
      <c r="R159" s="2">
        <f>IF(N159&gt;Demand!AU176,0,(IF(((2*(Retailers!AJ158+Distributors_Cap!$P$47)-Retailers_Cap!$BB$7)*(Demand!AU176-Retailers_Cap!N159))&lt;0,0,((IF(BB159&gt;2*(Retailers!AJ158+Distributors_Cap!$P$47),0,(IF(BG159=0,ROUNDUP((2*(Retailers!AJ158+Distributors_Cap!$P$47)-BB159)^0.5,0),ROUNDUP((2*(Retailers!AJ158+Distributors_Cap!$P$47)-BB159)^0.5,0)))))))))</f>
        <v/>
      </c>
      <c r="S159" s="2">
        <f>IF(O159&gt;Demand!AV176,0,(IF(((2*(Retailers!AK158+Distributors_Cap!$P$47)-Retailers_Cap!$BB$7)*(Demand!AV176-Retailers_Cap!O159))&lt;0,0,((IF(BC159&gt;2*(Retailers!AK158+Distributors_Cap!$P$47),0,(IF(BH159=0,ROUNDUP((2*(Retailers!AK158+Distributors_Cap!$P$47)-BC159)^0.5,0),ROUNDUP((2*(Retailers!AK158+Distributors_Cap!$P$47)-BC159)^0.5,0)))))))))</f>
        <v/>
      </c>
      <c r="T159" s="2">
        <f>IF(P159&gt;Demand!AW176,0,(IF(((2*(Retailers!AL158+Distributors_Cap!$P$47)-Retailers_Cap!$BB$7)*(Demand!AW176-Retailers_Cap!P159))&lt;0,0,((IF(BD159&gt;2*(Retailers!AL158+Distributors_Cap!$P$47),0,(IF(BI159=0,ROUNDUP((2*(Retailers!AL158+Distributors_Cap!$P$47)-BD159)^0.5,0),ROUNDUP((2*(Retailers!AL158+Distributors_Cap!$P$47)-BD159)^0.5,0)))))))))</f>
        <v/>
      </c>
      <c r="W159" s="64" t="n">
        <v>163</v>
      </c>
      <c r="X159" s="9" t="n">
        <v>13</v>
      </c>
      <c r="Y159" s="9" t="n">
        <v>12</v>
      </c>
      <c r="Z159" s="9" t="n">
        <v>0</v>
      </c>
      <c r="AB159" s="2">
        <f>ROUNDDOWN(LOG((X159+1),2),0)</f>
        <v/>
      </c>
      <c r="AC159" s="2">
        <f>ROUNDDOWN(LOG((Y159+1),2),0)</f>
        <v/>
      </c>
      <c r="AD159" s="2">
        <f>ROUNDDOWN(LOG((Z159+1),2),0)</f>
        <v/>
      </c>
      <c r="AG159" s="64" t="n">
        <v>163</v>
      </c>
      <c r="AH159" s="9" t="n">
        <v>3</v>
      </c>
      <c r="AI159" s="9" t="n">
        <v>3</v>
      </c>
      <c r="AJ159" s="9" t="n">
        <v>0</v>
      </c>
      <c r="AQ159" s="64" t="n">
        <v>163</v>
      </c>
      <c r="AR159" s="64" t="n">
        <v>64.47199999999999</v>
      </c>
      <c r="AS159" s="64" t="n">
        <v>52.843</v>
      </c>
      <c r="AT159" s="64" t="n">
        <v>79.592</v>
      </c>
      <c r="AV159" s="64" t="n">
        <v>163</v>
      </c>
      <c r="AW159" s="64">
        <f>Beginning_stock!AT187</f>
        <v/>
      </c>
      <c r="AX159" s="64">
        <f>Beginning_stock!AU187</f>
        <v/>
      </c>
      <c r="AY159" s="64">
        <f>Beginning_stock!AV187</f>
        <v/>
      </c>
      <c r="BA159" s="64" t="n">
        <v>163</v>
      </c>
      <c r="BB159" s="64">
        <f>IF(Demand!AU176=Retailers_Cap!N159,"ret=0",(AW159/(Demand!AU176-Retailers_Cap!N159)))</f>
        <v/>
      </c>
      <c r="BC159" s="64">
        <f>IF(Demand!AV176=Retailers_Cap!O159,"ret=0",(AX159/(Demand!AV176-Retailers_Cap!O159)))</f>
        <v/>
      </c>
      <c r="BD159" s="64">
        <f>IF(Demand!AW176=Retailers_Cap!P159,"ret=0",(AY159/(Demand!AW176-Retailers_Cap!P159)))</f>
        <v/>
      </c>
      <c r="BF159" s="64" t="n">
        <v>163</v>
      </c>
      <c r="BG159" s="2">
        <f>IF(Demand!AU176&lt;=Retailers_Cap!N159,"ret=0",(IF(BB159&lt;=AR159+Distributors_Cap!$P$47,1,0)))</f>
        <v/>
      </c>
      <c r="BH159" s="2">
        <f>IF(Demand!AV176&lt;=Retailers_Cap!O159,"ret=0",(IF(BC159&lt;=AS159+Distributors_Cap!$P$47,1,0)))</f>
        <v/>
      </c>
      <c r="BI159" s="2">
        <f>IF(Demand!AW176&lt;=Retailers_Cap!P159,"ret=0",(IF(BD159&lt;=AT159+Distributors_Cap!$P$47,1,0)))</f>
        <v/>
      </c>
      <c r="BK159" s="64" t="n">
        <v>163</v>
      </c>
      <c r="BL159" s="64">
        <f>Retailers!BH158</f>
        <v/>
      </c>
      <c r="BM159" s="64">
        <f>Retailers!BI158</f>
        <v/>
      </c>
      <c r="BN159" s="64">
        <f>Retailers!BJ158</f>
        <v/>
      </c>
      <c r="BP159" s="64" t="n">
        <v>163</v>
      </c>
      <c r="BQ159" s="64">
        <f>#REF!</f>
        <v/>
      </c>
      <c r="BR159" s="64">
        <f>#REF!</f>
        <v/>
      </c>
      <c r="BS159" s="64">
        <f>#REF!</f>
        <v/>
      </c>
      <c r="BU159" s="64" t="n">
        <v>163</v>
      </c>
      <c r="BV159" s="64">
        <f>Retailers!AS158</f>
        <v/>
      </c>
      <c r="BW159" s="64">
        <f>Retailers!AT158</f>
        <v/>
      </c>
      <c r="BX159" s="64">
        <f>Retailers!AU158</f>
        <v/>
      </c>
      <c r="BZ159" s="64" t="n">
        <v>163</v>
      </c>
      <c r="CA159" s="64">
        <f>Results!#REF!</f>
        <v/>
      </c>
      <c r="CB159" s="64">
        <f>Results!#REF!</f>
        <v/>
      </c>
      <c r="CC159" s="64">
        <f>Results!#REF!</f>
        <v/>
      </c>
      <c r="CE159" s="64" t="n">
        <v>163</v>
      </c>
      <c r="CF159" s="64">
        <f>Retailers!BN158</f>
        <v/>
      </c>
      <c r="CG159" s="64">
        <f>Retailers!BO158</f>
        <v/>
      </c>
      <c r="CH159" s="64">
        <f>Retailers!BP158</f>
        <v/>
      </c>
      <c r="CJ159" s="64" t="n">
        <v>163</v>
      </c>
      <c r="CK159" s="64">
        <f>IF(BB159="ret=0",0,IF(BB159&gt;0,AR159+Distributors_Cap!$P$47-BB159,0))</f>
        <v/>
      </c>
      <c r="CL159" s="64">
        <f>IF(BC159="ret=0",0,IF(BC159&gt;0,AS159+Distributors_Cap!$P$47-BC159,0))</f>
        <v/>
      </c>
      <c r="CM159" s="64">
        <f>IF(BD159="ret=0",0,IF(BD159&gt;0,AT159+Distributors_Cap!$P$47-BD159,0))</f>
        <v/>
      </c>
    </row>
    <row r="160">
      <c r="G160" s="64" t="n">
        <v>164</v>
      </c>
      <c r="H160" s="64" t="n">
        <v>65.876</v>
      </c>
      <c r="I160" s="64" t="n">
        <v>75.011</v>
      </c>
      <c r="J160" s="64" t="n">
        <v>68.511</v>
      </c>
      <c r="L160" s="64">
        <f>TRUNC((_xlfn.NORM.INV((RAND()),$K$7,$K$8)),0)</f>
        <v/>
      </c>
      <c r="M160" s="64" t="n">
        <v>164</v>
      </c>
      <c r="N160" s="5" t="n">
        <v>36</v>
      </c>
      <c r="O160" s="5" t="n">
        <v>24</v>
      </c>
      <c r="P160" s="5" t="n">
        <v>31</v>
      </c>
      <c r="R160" s="2">
        <f>IF(N160&gt;Demand!AU177,0,(IF(((2*(Retailers!AJ159+Distributors_Cap!$P$47)-Retailers_Cap!$BB$7)*(Demand!AU177-Retailers_Cap!N160))&lt;0,0,((IF(BB160&gt;2*(Retailers!AJ159+Distributors_Cap!$P$47),0,(IF(BG160=0,ROUNDUP((2*(Retailers!AJ159+Distributors_Cap!$P$47)-BB160)^0.5,0),ROUNDUP((2*(Retailers!AJ159+Distributors_Cap!$P$47)-BB160)^0.5,0)))))))))</f>
        <v/>
      </c>
      <c r="S160" s="2">
        <f>IF(O160&gt;Demand!AV177,0,(IF(((2*(Retailers!AK159+Distributors_Cap!$P$47)-Retailers_Cap!$BB$7)*(Demand!AV177-Retailers_Cap!O160))&lt;0,0,((IF(BC160&gt;2*(Retailers!AK159+Distributors_Cap!$P$47),0,(IF(BH160=0,ROUNDUP((2*(Retailers!AK159+Distributors_Cap!$P$47)-BC160)^0.5,0),ROUNDUP((2*(Retailers!AK159+Distributors_Cap!$P$47)-BC160)^0.5,0)))))))))</f>
        <v/>
      </c>
      <c r="T160" s="2">
        <f>IF(P160&gt;Demand!AW177,0,(IF(((2*(Retailers!AL159+Distributors_Cap!$P$47)-Retailers_Cap!$BB$7)*(Demand!AW177-Retailers_Cap!P160))&lt;0,0,((IF(BD160&gt;2*(Retailers!AL159+Distributors_Cap!$P$47),0,(IF(BI160=0,ROUNDUP((2*(Retailers!AL159+Distributors_Cap!$P$47)-BD160)^0.5,0),ROUNDUP((2*(Retailers!AL159+Distributors_Cap!$P$47)-BD160)^0.5,0)))))))))</f>
        <v/>
      </c>
      <c r="W160" s="64" t="n">
        <v>164</v>
      </c>
      <c r="X160" s="9" t="n">
        <v>0</v>
      </c>
      <c r="Y160" s="9" t="n">
        <v>13</v>
      </c>
      <c r="Z160" s="9" t="n">
        <v>0</v>
      </c>
      <c r="AB160" s="2">
        <f>ROUNDDOWN(LOG((X160+1),2),0)</f>
        <v/>
      </c>
      <c r="AC160" s="2">
        <f>ROUNDDOWN(LOG((Y160+1),2),0)</f>
        <v/>
      </c>
      <c r="AD160" s="2">
        <f>ROUNDDOWN(LOG((Z160+1),2),0)</f>
        <v/>
      </c>
      <c r="AG160" s="64" t="n">
        <v>164</v>
      </c>
      <c r="AH160" s="9" t="n">
        <v>0</v>
      </c>
      <c r="AI160" s="9" t="n">
        <v>3</v>
      </c>
      <c r="AJ160" s="9" t="n">
        <v>0</v>
      </c>
      <c r="AQ160" s="64" t="n">
        <v>164</v>
      </c>
      <c r="AR160" s="64" t="n">
        <v>65.876</v>
      </c>
      <c r="AS160" s="64" t="n">
        <v>75.011</v>
      </c>
      <c r="AT160" s="64" t="n">
        <v>68.511</v>
      </c>
      <c r="AV160" s="64" t="n">
        <v>164</v>
      </c>
      <c r="AW160" s="64">
        <f>Beginning_stock!AT188</f>
        <v/>
      </c>
      <c r="AX160" s="64">
        <f>Beginning_stock!AU188</f>
        <v/>
      </c>
      <c r="AY160" s="64">
        <f>Beginning_stock!AV188</f>
        <v/>
      </c>
      <c r="BA160" s="64" t="n">
        <v>164</v>
      </c>
      <c r="BB160" s="64">
        <f>IF(Demand!AU177=Retailers_Cap!N160,"ret=0",(AW160/(Demand!AU177-Retailers_Cap!N160)))</f>
        <v/>
      </c>
      <c r="BC160" s="64">
        <f>IF(Demand!AV177=Retailers_Cap!O160,"ret=0",(AX160/(Demand!AV177-Retailers_Cap!O160)))</f>
        <v/>
      </c>
      <c r="BD160" s="64">
        <f>IF(Demand!AW177=Retailers_Cap!P160,"ret=0",(AY160/(Demand!AW177-Retailers_Cap!P160)))</f>
        <v/>
      </c>
      <c r="BF160" s="64" t="n">
        <v>164</v>
      </c>
      <c r="BG160" s="2">
        <f>IF(Demand!AU177&lt;=Retailers_Cap!N160,"ret=0",(IF(BB160&lt;=AR160+Distributors_Cap!$P$47,1,0)))</f>
        <v/>
      </c>
      <c r="BH160" s="2">
        <f>IF(Demand!AV177&lt;=Retailers_Cap!O160,"ret=0",(IF(BC160&lt;=AS160+Distributors_Cap!$P$47,1,0)))</f>
        <v/>
      </c>
      <c r="BI160" s="2">
        <f>IF(Demand!AW177&lt;=Retailers_Cap!P160,"ret=0",(IF(BD160&lt;=AT160+Distributors_Cap!$P$47,1,0)))</f>
        <v/>
      </c>
      <c r="BK160" s="64" t="n">
        <v>164</v>
      </c>
      <c r="BL160" s="64">
        <f>Retailers!BH159</f>
        <v/>
      </c>
      <c r="BM160" s="64">
        <f>Retailers!BI159</f>
        <v/>
      </c>
      <c r="BN160" s="64">
        <f>Retailers!BJ159</f>
        <v/>
      </c>
      <c r="BP160" s="64" t="n">
        <v>164</v>
      </c>
      <c r="BQ160" s="64">
        <f>#REF!</f>
        <v/>
      </c>
      <c r="BR160" s="64">
        <f>#REF!</f>
        <v/>
      </c>
      <c r="BS160" s="64">
        <f>#REF!</f>
        <v/>
      </c>
      <c r="BU160" s="64" t="n">
        <v>164</v>
      </c>
      <c r="BV160" s="64">
        <f>Retailers!AS159</f>
        <v/>
      </c>
      <c r="BW160" s="64">
        <f>Retailers!AT159</f>
        <v/>
      </c>
      <c r="BX160" s="64">
        <f>Retailers!AU159</f>
        <v/>
      </c>
      <c r="BZ160" s="64" t="n">
        <v>164</v>
      </c>
      <c r="CA160" s="64">
        <f>Results!#REF!</f>
        <v/>
      </c>
      <c r="CB160" s="64">
        <f>Results!#REF!</f>
        <v/>
      </c>
      <c r="CC160" s="64">
        <f>Results!#REF!</f>
        <v/>
      </c>
      <c r="CE160" s="64" t="n">
        <v>164</v>
      </c>
      <c r="CF160" s="64">
        <f>Retailers!BN159</f>
        <v/>
      </c>
      <c r="CG160" s="64">
        <f>Retailers!BO159</f>
        <v/>
      </c>
      <c r="CH160" s="64">
        <f>Retailers!BP159</f>
        <v/>
      </c>
      <c r="CJ160" s="64" t="n">
        <v>164</v>
      </c>
      <c r="CK160" s="64">
        <f>IF(BB160="ret=0",0,IF(BB160&gt;0,AR160+Distributors_Cap!$P$47-BB160,0))</f>
        <v/>
      </c>
      <c r="CL160" s="64">
        <f>IF(BC160="ret=0",0,IF(BC160&gt;0,AS160+Distributors_Cap!$P$47-BC160,0))</f>
        <v/>
      </c>
      <c r="CM160" s="64">
        <f>IF(BD160="ret=0",0,IF(BD160&gt;0,AT160+Distributors_Cap!$P$47-BD160,0))</f>
        <v/>
      </c>
    </row>
    <row r="161">
      <c r="G161" s="64" t="n">
        <v>165</v>
      </c>
      <c r="H161" s="64" t="n">
        <v>72.83</v>
      </c>
      <c r="I161" s="64" t="n">
        <v>58.869</v>
      </c>
      <c r="J161" s="64" t="n">
        <v>49.788</v>
      </c>
      <c r="L161" s="64">
        <f>TRUNC((_xlfn.NORM.INV((RAND()),$K$7,$K$8)),0)</f>
        <v/>
      </c>
      <c r="M161" s="64" t="n">
        <v>165</v>
      </c>
      <c r="N161" s="5" t="n">
        <v>35</v>
      </c>
      <c r="O161" s="5" t="n">
        <v>31</v>
      </c>
      <c r="P161" s="5" t="n">
        <v>32</v>
      </c>
      <c r="R161" s="2">
        <f>IF(N161&gt;Demand!AU178,0,(IF(((2*(Retailers!AJ160+Distributors_Cap!$P$47)-Retailers_Cap!$BB$7)*(Demand!AU178-Retailers_Cap!N161))&lt;0,0,((IF(BB161&gt;2*(Retailers!AJ160+Distributors_Cap!$P$47),0,(IF(BG161=0,ROUNDUP((2*(Retailers!AJ160+Distributors_Cap!$P$47)-BB161)^0.5,0),ROUNDUP((2*(Retailers!AJ160+Distributors_Cap!$P$47)-BB161)^0.5,0)))))))))</f>
        <v/>
      </c>
      <c r="S161" s="2">
        <f>IF(O161&gt;Demand!AV178,0,(IF(((2*(Retailers!AK160+Distributors_Cap!$P$47)-Retailers_Cap!$BB$7)*(Demand!AV178-Retailers_Cap!O161))&lt;0,0,((IF(BC161&gt;2*(Retailers!AK160+Distributors_Cap!$P$47),0,(IF(BH161=0,ROUNDUP((2*(Retailers!AK160+Distributors_Cap!$P$47)-BC161)^0.5,0),ROUNDUP((2*(Retailers!AK160+Distributors_Cap!$P$47)-BC161)^0.5,0)))))))))</f>
        <v/>
      </c>
      <c r="T161" s="2">
        <f>IF(P161&gt;Demand!AW178,0,(IF(((2*(Retailers!AL160+Distributors_Cap!$P$47)-Retailers_Cap!$BB$7)*(Demand!AW178-Retailers_Cap!P161))&lt;0,0,((IF(BD161&gt;2*(Retailers!AL160+Distributors_Cap!$P$47),0,(IF(BI161=0,ROUNDUP((2*(Retailers!AL160+Distributors_Cap!$P$47)-BD161)^0.5,0),ROUNDUP((2*(Retailers!AL160+Distributors_Cap!$P$47)-BD161)^0.5,0)))))))))</f>
        <v/>
      </c>
      <c r="W161" s="64" t="n">
        <v>165</v>
      </c>
      <c r="X161" s="9" t="n">
        <v>0</v>
      </c>
      <c r="Y161" s="9" t="n">
        <v>0</v>
      </c>
      <c r="Z161" s="9" t="n">
        <v>0</v>
      </c>
      <c r="AB161" s="2">
        <f>ROUNDDOWN(LOG((X161+1),2),0)</f>
        <v/>
      </c>
      <c r="AC161" s="2">
        <f>ROUNDDOWN(LOG((Y161+1),2),0)</f>
        <v/>
      </c>
      <c r="AD161" s="2">
        <f>ROUNDDOWN(LOG((Z161+1),2),0)</f>
        <v/>
      </c>
      <c r="AG161" s="64" t="n">
        <v>165</v>
      </c>
      <c r="AH161" s="9" t="n">
        <v>0</v>
      </c>
      <c r="AI161" s="9" t="n">
        <v>0</v>
      </c>
      <c r="AJ161" s="9" t="n">
        <v>0</v>
      </c>
      <c r="AQ161" s="64" t="n">
        <v>165</v>
      </c>
      <c r="AR161" s="64" t="n">
        <v>72.83</v>
      </c>
      <c r="AS161" s="64" t="n">
        <v>58.869</v>
      </c>
      <c r="AT161" s="64" t="n">
        <v>49.788</v>
      </c>
      <c r="AV161" s="64" t="n">
        <v>165</v>
      </c>
      <c r="AW161" s="64">
        <f>Beginning_stock!AT189</f>
        <v/>
      </c>
      <c r="AX161" s="64">
        <f>Beginning_stock!AU189</f>
        <v/>
      </c>
      <c r="AY161" s="64">
        <f>Beginning_stock!AV189</f>
        <v/>
      </c>
      <c r="BA161" s="64" t="n">
        <v>165</v>
      </c>
      <c r="BB161" s="64">
        <f>IF(Demand!AU178=Retailers_Cap!N161,"ret=0",(AW161/(Demand!AU178-Retailers_Cap!N161)))</f>
        <v/>
      </c>
      <c r="BC161" s="64">
        <f>IF(Demand!AV178=Retailers_Cap!O161,"ret=0",(AX161/(Demand!AV178-Retailers_Cap!O161)))</f>
        <v/>
      </c>
      <c r="BD161" s="64">
        <f>IF(Demand!AW178=Retailers_Cap!P161,"ret=0",(AY161/(Demand!AW178-Retailers_Cap!P161)))</f>
        <v/>
      </c>
      <c r="BF161" s="64" t="n">
        <v>165</v>
      </c>
      <c r="BG161" s="2">
        <f>IF(Demand!AU178&lt;=Retailers_Cap!N161,"ret=0",(IF(BB161&lt;=AR161+Distributors_Cap!$P$47,1,0)))</f>
        <v/>
      </c>
      <c r="BH161" s="2">
        <f>IF(Demand!AV178&lt;=Retailers_Cap!O161,"ret=0",(IF(BC161&lt;=AS161+Distributors_Cap!$P$47,1,0)))</f>
        <v/>
      </c>
      <c r="BI161" s="2">
        <f>IF(Demand!AW178&lt;=Retailers_Cap!P161,"ret=0",(IF(BD161&lt;=AT161+Distributors_Cap!$P$47,1,0)))</f>
        <v/>
      </c>
      <c r="BK161" s="64" t="n">
        <v>165</v>
      </c>
      <c r="BL161" s="64">
        <f>Retailers!BH160</f>
        <v/>
      </c>
      <c r="BM161" s="64">
        <f>Retailers!BI160</f>
        <v/>
      </c>
      <c r="BN161" s="64">
        <f>Retailers!BJ160</f>
        <v/>
      </c>
      <c r="BP161" s="64" t="n">
        <v>165</v>
      </c>
      <c r="BQ161" s="64">
        <f>#REF!</f>
        <v/>
      </c>
      <c r="BR161" s="64">
        <f>#REF!</f>
        <v/>
      </c>
      <c r="BS161" s="64">
        <f>#REF!</f>
        <v/>
      </c>
      <c r="BU161" s="64" t="n">
        <v>165</v>
      </c>
      <c r="BV161" s="64">
        <f>Retailers!AS160</f>
        <v/>
      </c>
      <c r="BW161" s="64">
        <f>Retailers!AT160</f>
        <v/>
      </c>
      <c r="BX161" s="64">
        <f>Retailers!AU160</f>
        <v/>
      </c>
      <c r="BZ161" s="64" t="n">
        <v>165</v>
      </c>
      <c r="CA161" s="64">
        <f>Results!#REF!</f>
        <v/>
      </c>
      <c r="CB161" s="64">
        <f>Results!#REF!</f>
        <v/>
      </c>
      <c r="CC161" s="64">
        <f>Results!#REF!</f>
        <v/>
      </c>
      <c r="CE161" s="64" t="n">
        <v>165</v>
      </c>
      <c r="CF161" s="64">
        <f>Retailers!BN160</f>
        <v/>
      </c>
      <c r="CG161" s="64">
        <f>Retailers!BO160</f>
        <v/>
      </c>
      <c r="CH161" s="64">
        <f>Retailers!BP160</f>
        <v/>
      </c>
      <c r="CJ161" s="64" t="n">
        <v>165</v>
      </c>
      <c r="CK161" s="64">
        <f>IF(BB161="ret=0",0,IF(BB161&gt;0,AR161+Distributors_Cap!$P$47-BB161,0))</f>
        <v/>
      </c>
      <c r="CL161" s="64">
        <f>IF(BC161="ret=0",0,IF(BC161&gt;0,AS161+Distributors_Cap!$P$47-BC161,0))</f>
        <v/>
      </c>
      <c r="CM161" s="64">
        <f>IF(BD161="ret=0",0,IF(BD161&gt;0,AT161+Distributors_Cap!$P$47-BD161,0))</f>
        <v/>
      </c>
    </row>
    <row r="162">
      <c r="G162" s="64" t="n">
        <v>166</v>
      </c>
      <c r="H162" s="64" t="n">
        <v>76.506</v>
      </c>
      <c r="I162" s="64" t="n">
        <v>50.165</v>
      </c>
      <c r="J162" s="64" t="n">
        <v>50.533</v>
      </c>
      <c r="L162" s="64">
        <f>TRUNC((_xlfn.NORM.INV((RAND()),$K$7,$K$8)),0)</f>
        <v/>
      </c>
      <c r="M162" s="64" t="n">
        <v>166</v>
      </c>
      <c r="N162" s="5" t="n">
        <v>33</v>
      </c>
      <c r="O162" s="5" t="n">
        <v>29</v>
      </c>
      <c r="P162" s="5" t="n">
        <v>28</v>
      </c>
      <c r="R162" s="2">
        <f>IF(N162&gt;Demand!AU179,0,(IF(((2*(Retailers!AJ161+Distributors_Cap!$P$47)-Retailers_Cap!$BB$7)*(Demand!AU179-Retailers_Cap!N162))&lt;0,0,((IF(BB162&gt;2*(Retailers!AJ161+Distributors_Cap!$P$47),0,(IF(BG162=0,ROUNDUP((2*(Retailers!AJ161+Distributors_Cap!$P$47)-BB162)^0.5,0),ROUNDUP((2*(Retailers!AJ161+Distributors_Cap!$P$47)-BB162)^0.5,0)))))))))</f>
        <v/>
      </c>
      <c r="S162" s="2">
        <f>IF(O162&gt;Demand!AV179,0,(IF(((2*(Retailers!AK161+Distributors_Cap!$P$47)-Retailers_Cap!$BB$7)*(Demand!AV179-Retailers_Cap!O162))&lt;0,0,((IF(BC162&gt;2*(Retailers!AK161+Distributors_Cap!$P$47),0,(IF(BH162=0,ROUNDUP((2*(Retailers!AK161+Distributors_Cap!$P$47)-BC162)^0.5,0),ROUNDUP((2*(Retailers!AK161+Distributors_Cap!$P$47)-BC162)^0.5,0)))))))))</f>
        <v/>
      </c>
      <c r="T162" s="2">
        <f>IF(P162&gt;Demand!AW179,0,(IF(((2*(Retailers!AL161+Distributors_Cap!$P$47)-Retailers_Cap!$BB$7)*(Demand!AW179-Retailers_Cap!P162))&lt;0,0,((IF(BD162&gt;2*(Retailers!AL161+Distributors_Cap!$P$47),0,(IF(BI162=0,ROUNDUP((2*(Retailers!AL161+Distributors_Cap!$P$47)-BD162)^0.5,0),ROUNDUP((2*(Retailers!AL161+Distributors_Cap!$P$47)-BD162)^0.5,0)))))))))</f>
        <v/>
      </c>
      <c r="W162" s="64" t="n">
        <v>166</v>
      </c>
      <c r="X162" s="9" t="n">
        <v>12</v>
      </c>
      <c r="Y162" s="9" t="n">
        <v>10</v>
      </c>
      <c r="Z162" s="9" t="n">
        <v>0</v>
      </c>
      <c r="AB162" s="2">
        <f>ROUNDDOWN(LOG((X162+1),2),0)</f>
        <v/>
      </c>
      <c r="AC162" s="2">
        <f>ROUNDDOWN(LOG((Y162+1),2),0)</f>
        <v/>
      </c>
      <c r="AD162" s="2">
        <f>ROUNDDOWN(LOG((Z162+1),2),0)</f>
        <v/>
      </c>
      <c r="AG162" s="64" t="n">
        <v>166</v>
      </c>
      <c r="AH162" s="9" t="n">
        <v>3</v>
      </c>
      <c r="AI162" s="9" t="n">
        <v>3</v>
      </c>
      <c r="AJ162" s="9" t="n">
        <v>0</v>
      </c>
      <c r="AQ162" s="64" t="n">
        <v>166</v>
      </c>
      <c r="AR162" s="64" t="n">
        <v>76.506</v>
      </c>
      <c r="AS162" s="64" t="n">
        <v>50.165</v>
      </c>
      <c r="AT162" s="64" t="n">
        <v>50.533</v>
      </c>
      <c r="AV162" s="64" t="n">
        <v>166</v>
      </c>
      <c r="AW162" s="64">
        <f>Beginning_stock!AT190</f>
        <v/>
      </c>
      <c r="AX162" s="64">
        <f>Beginning_stock!AU190</f>
        <v/>
      </c>
      <c r="AY162" s="64">
        <f>Beginning_stock!AV190</f>
        <v/>
      </c>
      <c r="BA162" s="64" t="n">
        <v>166</v>
      </c>
      <c r="BB162" s="64">
        <f>IF(Demand!AU179=Retailers_Cap!N162,"ret=0",(AW162/(Demand!AU179-Retailers_Cap!N162)))</f>
        <v/>
      </c>
      <c r="BC162" s="64">
        <f>IF(Demand!AV179=Retailers_Cap!O162,"ret=0",(AX162/(Demand!AV179-Retailers_Cap!O162)))</f>
        <v/>
      </c>
      <c r="BD162" s="64">
        <f>IF(Demand!AW179=Retailers_Cap!P162,"ret=0",(AY162/(Demand!AW179-Retailers_Cap!P162)))</f>
        <v/>
      </c>
      <c r="BF162" s="64" t="n">
        <v>166</v>
      </c>
      <c r="BG162" s="2">
        <f>IF(Demand!AU179&lt;=Retailers_Cap!N162,"ret=0",(IF(BB162&lt;=AR162+Distributors_Cap!$P$47,1,0)))</f>
        <v/>
      </c>
      <c r="BH162" s="2">
        <f>IF(Demand!AV179&lt;=Retailers_Cap!O162,"ret=0",(IF(BC162&lt;=AS162+Distributors_Cap!$P$47,1,0)))</f>
        <v/>
      </c>
      <c r="BI162" s="2">
        <f>IF(Demand!AW179&lt;=Retailers_Cap!P162,"ret=0",(IF(BD162&lt;=AT162+Distributors_Cap!$P$47,1,0)))</f>
        <v/>
      </c>
      <c r="BK162" s="64" t="n">
        <v>166</v>
      </c>
      <c r="BL162" s="64">
        <f>Retailers!BH161</f>
        <v/>
      </c>
      <c r="BM162" s="64">
        <f>Retailers!BI161</f>
        <v/>
      </c>
      <c r="BN162" s="64">
        <f>Retailers!BJ161</f>
        <v/>
      </c>
      <c r="BP162" s="64" t="n">
        <v>166</v>
      </c>
      <c r="BQ162" s="64">
        <f>#REF!</f>
        <v/>
      </c>
      <c r="BR162" s="64">
        <f>#REF!</f>
        <v/>
      </c>
      <c r="BS162" s="64">
        <f>#REF!</f>
        <v/>
      </c>
      <c r="BU162" s="64" t="n">
        <v>166</v>
      </c>
      <c r="BV162" s="64">
        <f>Retailers!AS161</f>
        <v/>
      </c>
      <c r="BW162" s="64">
        <f>Retailers!AT161</f>
        <v/>
      </c>
      <c r="BX162" s="64">
        <f>Retailers!AU161</f>
        <v/>
      </c>
      <c r="BZ162" s="64" t="n">
        <v>166</v>
      </c>
      <c r="CA162" s="64">
        <f>Results!#REF!</f>
        <v/>
      </c>
      <c r="CB162" s="64">
        <f>Results!#REF!</f>
        <v/>
      </c>
      <c r="CC162" s="64">
        <f>Results!#REF!</f>
        <v/>
      </c>
      <c r="CE162" s="64" t="n">
        <v>166</v>
      </c>
      <c r="CF162" s="64">
        <f>Retailers!BN161</f>
        <v/>
      </c>
      <c r="CG162" s="64">
        <f>Retailers!BO161</f>
        <v/>
      </c>
      <c r="CH162" s="64">
        <f>Retailers!BP161</f>
        <v/>
      </c>
      <c r="CJ162" s="64" t="n">
        <v>166</v>
      </c>
      <c r="CK162" s="64">
        <f>IF(BB162="ret=0",0,IF(BB162&gt;0,AR162+Distributors_Cap!$P$47-BB162,0))</f>
        <v/>
      </c>
      <c r="CL162" s="64">
        <f>IF(BC162="ret=0",0,IF(BC162&gt;0,AS162+Distributors_Cap!$P$47-BC162,0))</f>
        <v/>
      </c>
      <c r="CM162" s="64">
        <f>IF(BD162="ret=0",0,IF(BD162&gt;0,AT162+Distributors_Cap!$P$47-BD162,0))</f>
        <v/>
      </c>
    </row>
    <row r="163">
      <c r="G163" s="64" t="n">
        <v>167</v>
      </c>
      <c r="H163" s="64" t="n">
        <v>45.813</v>
      </c>
      <c r="I163" s="64" t="n">
        <v>41.149</v>
      </c>
      <c r="J163" s="64" t="n">
        <v>77.059</v>
      </c>
      <c r="L163" s="64">
        <f>TRUNC((_xlfn.NORM.INV((RAND()),$K$7,$K$8)),0)</f>
        <v/>
      </c>
      <c r="M163" s="64" t="n">
        <v>167</v>
      </c>
      <c r="N163" s="5" t="n">
        <v>30</v>
      </c>
      <c r="O163" s="5" t="n">
        <v>20</v>
      </c>
      <c r="P163" s="5" t="n">
        <v>20</v>
      </c>
      <c r="R163" s="2">
        <f>IF(N163&gt;Demand!AU180,0,(IF(((2*(Retailers!AJ162+Distributors_Cap!$P$47)-Retailers_Cap!$BB$7)*(Demand!AU180-Retailers_Cap!N163))&lt;0,0,((IF(BB163&gt;2*(Retailers!AJ162+Distributors_Cap!$P$47),0,(IF(BG163=0,ROUNDUP((2*(Retailers!AJ162+Distributors_Cap!$P$47)-BB163)^0.5,0),ROUNDUP((2*(Retailers!AJ162+Distributors_Cap!$P$47)-BB163)^0.5,0)))))))))</f>
        <v/>
      </c>
      <c r="S163" s="2">
        <f>IF(O163&gt;Demand!AV180,0,(IF(((2*(Retailers!AK162+Distributors_Cap!$P$47)-Retailers_Cap!$BB$7)*(Demand!AV180-Retailers_Cap!O163))&lt;0,0,((IF(BC163&gt;2*(Retailers!AK162+Distributors_Cap!$P$47),0,(IF(BH163=0,ROUNDUP((2*(Retailers!AK162+Distributors_Cap!$P$47)-BC163)^0.5,0),ROUNDUP((2*(Retailers!AK162+Distributors_Cap!$P$47)-BC163)^0.5,0)))))))))</f>
        <v/>
      </c>
      <c r="T163" s="2">
        <f>IF(P163&gt;Demand!AW180,0,(IF(((2*(Retailers!AL162+Distributors_Cap!$P$47)-Retailers_Cap!$BB$7)*(Demand!AW180-Retailers_Cap!P163))&lt;0,0,((IF(BD163&gt;2*(Retailers!AL162+Distributors_Cap!$P$47),0,(IF(BI163=0,ROUNDUP((2*(Retailers!AL162+Distributors_Cap!$P$47)-BD163)^0.5,0),ROUNDUP((2*(Retailers!AL162+Distributors_Cap!$P$47)-BD163)^0.5,0)))))))))</f>
        <v/>
      </c>
      <c r="W163" s="64" t="n">
        <v>167</v>
      </c>
      <c r="X163" s="9" t="n">
        <v>0</v>
      </c>
      <c r="Y163" s="9" t="n">
        <v>0</v>
      </c>
      <c r="Z163" s="9" t="n">
        <v>14</v>
      </c>
      <c r="AB163" s="2">
        <f>ROUNDDOWN(LOG((X163+1),2),0)</f>
        <v/>
      </c>
      <c r="AC163" s="2">
        <f>ROUNDDOWN(LOG((Y163+1),2),0)</f>
        <v/>
      </c>
      <c r="AD163" s="2">
        <f>ROUNDDOWN(LOG((Z163+1),2),0)</f>
        <v/>
      </c>
      <c r="AG163" s="64" t="n">
        <v>167</v>
      </c>
      <c r="AH163" s="9" t="n">
        <v>0</v>
      </c>
      <c r="AI163" s="9" t="n">
        <v>0</v>
      </c>
      <c r="AJ163" s="9" t="n">
        <v>3</v>
      </c>
      <c r="AQ163" s="64" t="n">
        <v>167</v>
      </c>
      <c r="AR163" s="64" t="n">
        <v>45.813</v>
      </c>
      <c r="AS163" s="64" t="n">
        <v>41.149</v>
      </c>
      <c r="AT163" s="64" t="n">
        <v>77.059</v>
      </c>
      <c r="AV163" s="64" t="n">
        <v>167</v>
      </c>
      <c r="AW163" s="64">
        <f>Beginning_stock!AT191</f>
        <v/>
      </c>
      <c r="AX163" s="64">
        <f>Beginning_stock!AU191</f>
        <v/>
      </c>
      <c r="AY163" s="64">
        <f>Beginning_stock!AV191</f>
        <v/>
      </c>
      <c r="BA163" s="64" t="n">
        <v>167</v>
      </c>
      <c r="BB163" s="64">
        <f>IF(Demand!AU180=Retailers_Cap!N163,"ret=0",(AW163/(Demand!AU180-Retailers_Cap!N163)))</f>
        <v/>
      </c>
      <c r="BC163" s="64">
        <f>IF(Demand!AV180=Retailers_Cap!O163,"ret=0",(AX163/(Demand!AV180-Retailers_Cap!O163)))</f>
        <v/>
      </c>
      <c r="BD163" s="64">
        <f>IF(Demand!AW180=Retailers_Cap!P163,"ret=0",(AY163/(Demand!AW180-Retailers_Cap!P163)))</f>
        <v/>
      </c>
      <c r="BF163" s="64" t="n">
        <v>167</v>
      </c>
      <c r="BG163" s="2">
        <f>IF(Demand!AU180&lt;=Retailers_Cap!N163,"ret=0",(IF(BB163&lt;=AR163+Distributors_Cap!$P$47,1,0)))</f>
        <v/>
      </c>
      <c r="BH163" s="2">
        <f>IF(Demand!AV180&lt;=Retailers_Cap!O163,"ret=0",(IF(BC163&lt;=AS163+Distributors_Cap!$P$47,1,0)))</f>
        <v/>
      </c>
      <c r="BI163" s="2">
        <f>IF(Demand!AW180&lt;=Retailers_Cap!P163,"ret=0",(IF(BD163&lt;=AT163+Distributors_Cap!$P$47,1,0)))</f>
        <v/>
      </c>
      <c r="BK163" s="64" t="n">
        <v>167</v>
      </c>
      <c r="BL163" s="64">
        <f>Retailers!BH162</f>
        <v/>
      </c>
      <c r="BM163" s="64">
        <f>Retailers!BI162</f>
        <v/>
      </c>
      <c r="BN163" s="64">
        <f>Retailers!BJ162</f>
        <v/>
      </c>
      <c r="BP163" s="64" t="n">
        <v>167</v>
      </c>
      <c r="BQ163" s="64">
        <f>#REF!</f>
        <v/>
      </c>
      <c r="BR163" s="64">
        <f>#REF!</f>
        <v/>
      </c>
      <c r="BS163" s="64">
        <f>#REF!</f>
        <v/>
      </c>
      <c r="BU163" s="64" t="n">
        <v>167</v>
      </c>
      <c r="BV163" s="64">
        <f>Retailers!AS162</f>
        <v/>
      </c>
      <c r="BW163" s="64">
        <f>Retailers!AT162</f>
        <v/>
      </c>
      <c r="BX163" s="64">
        <f>Retailers!AU162</f>
        <v/>
      </c>
      <c r="BZ163" s="64" t="n">
        <v>167</v>
      </c>
      <c r="CA163" s="64">
        <f>Results!#REF!</f>
        <v/>
      </c>
      <c r="CB163" s="64">
        <f>Results!#REF!</f>
        <v/>
      </c>
      <c r="CC163" s="64">
        <f>Results!#REF!</f>
        <v/>
      </c>
      <c r="CE163" s="64" t="n">
        <v>167</v>
      </c>
      <c r="CF163" s="64">
        <f>Retailers!BN162</f>
        <v/>
      </c>
      <c r="CG163" s="64">
        <f>Retailers!BO162</f>
        <v/>
      </c>
      <c r="CH163" s="64">
        <f>Retailers!BP162</f>
        <v/>
      </c>
      <c r="CJ163" s="64" t="n">
        <v>167</v>
      </c>
      <c r="CK163" s="64">
        <f>IF(BB163="ret=0",0,IF(BB163&gt;0,AR163+Distributors_Cap!$P$47-BB163,0))</f>
        <v/>
      </c>
      <c r="CL163" s="64">
        <f>IF(BC163="ret=0",0,IF(BC163&gt;0,AS163+Distributors_Cap!$P$47-BC163,0))</f>
        <v/>
      </c>
      <c r="CM163" s="64">
        <f>IF(BD163="ret=0",0,IF(BD163&gt;0,AT163+Distributors_Cap!$P$47-BD163,0))</f>
        <v/>
      </c>
    </row>
    <row r="164">
      <c r="G164" s="64" t="n">
        <v>168</v>
      </c>
      <c r="H164" s="64" t="n">
        <v>74.404</v>
      </c>
      <c r="I164" s="64" t="n">
        <v>58.803</v>
      </c>
      <c r="J164" s="64" t="n">
        <v>49.815</v>
      </c>
      <c r="L164" s="64">
        <f>TRUNC((_xlfn.NORM.INV((RAND()),$K$7,$K$8)),0)</f>
        <v/>
      </c>
      <c r="M164" s="64" t="n">
        <v>168</v>
      </c>
      <c r="N164" s="5" t="n">
        <v>32</v>
      </c>
      <c r="O164" s="5" t="n">
        <v>35</v>
      </c>
      <c r="P164" s="5" t="n">
        <v>21</v>
      </c>
      <c r="R164" s="2">
        <f>IF(N164&gt;Demand!AU181,0,(IF(((2*(Retailers!AJ163+Distributors_Cap!$P$47)-Retailers_Cap!$BB$7)*(Demand!AU181-Retailers_Cap!N164))&lt;0,0,((IF(BB164&gt;2*(Retailers!AJ163+Distributors_Cap!$P$47),0,(IF(BG164=0,ROUNDUP((2*(Retailers!AJ163+Distributors_Cap!$P$47)-BB164)^0.5,0),ROUNDUP((2*(Retailers!AJ163+Distributors_Cap!$P$47)-BB164)^0.5,0)))))))))</f>
        <v/>
      </c>
      <c r="S164" s="2">
        <f>IF(O164&gt;Demand!AV181,0,(IF(((2*(Retailers!AK163+Distributors_Cap!$P$47)-Retailers_Cap!$BB$7)*(Demand!AV181-Retailers_Cap!O164))&lt;0,0,((IF(BC164&gt;2*(Retailers!AK163+Distributors_Cap!$P$47),0,(IF(BH164=0,ROUNDUP((2*(Retailers!AK163+Distributors_Cap!$P$47)-BC164)^0.5,0),ROUNDUP((2*(Retailers!AK163+Distributors_Cap!$P$47)-BC164)^0.5,0)))))))))</f>
        <v/>
      </c>
      <c r="T164" s="2">
        <f>IF(P164&gt;Demand!AW181,0,(IF(((2*(Retailers!AL163+Distributors_Cap!$P$47)-Retailers_Cap!$BB$7)*(Demand!AW181-Retailers_Cap!P164))&lt;0,0,((IF(BD164&gt;2*(Retailers!AL163+Distributors_Cap!$P$47),0,(IF(BI164=0,ROUNDUP((2*(Retailers!AL163+Distributors_Cap!$P$47)-BD164)^0.5,0),ROUNDUP((2*(Retailers!AL163+Distributors_Cap!$P$47)-BD164)^0.5,0)))))))))</f>
        <v/>
      </c>
      <c r="W164" s="64" t="n">
        <v>168</v>
      </c>
      <c r="X164" s="9" t="n">
        <v>0</v>
      </c>
      <c r="Y164" s="9" t="n">
        <v>0</v>
      </c>
      <c r="Z164" s="9" t="n">
        <v>12</v>
      </c>
      <c r="AB164" s="2">
        <f>ROUNDDOWN(LOG((X164+1),2),0)</f>
        <v/>
      </c>
      <c r="AC164" s="2">
        <f>ROUNDDOWN(LOG((Y164+1),2),0)</f>
        <v/>
      </c>
      <c r="AD164" s="2">
        <f>ROUNDDOWN(LOG((Z164+1),2),0)</f>
        <v/>
      </c>
      <c r="AG164" s="64" t="n">
        <v>168</v>
      </c>
      <c r="AH164" s="9" t="n">
        <v>0</v>
      </c>
      <c r="AI164" s="9" t="n">
        <v>0</v>
      </c>
      <c r="AJ164" s="9" t="n">
        <v>3</v>
      </c>
      <c r="AQ164" s="64" t="n">
        <v>168</v>
      </c>
      <c r="AR164" s="64" t="n">
        <v>74.404</v>
      </c>
      <c r="AS164" s="64" t="n">
        <v>58.803</v>
      </c>
      <c r="AT164" s="64" t="n">
        <v>49.815</v>
      </c>
      <c r="AV164" s="64" t="n">
        <v>168</v>
      </c>
      <c r="AW164" s="64">
        <f>Beginning_stock!AT192</f>
        <v/>
      </c>
      <c r="AX164" s="64">
        <f>Beginning_stock!AU192</f>
        <v/>
      </c>
      <c r="AY164" s="64">
        <f>Beginning_stock!AV192</f>
        <v/>
      </c>
      <c r="BA164" s="64" t="n">
        <v>168</v>
      </c>
      <c r="BB164" s="64">
        <f>IF(Demand!AU181=Retailers_Cap!N164,"ret=0",(AW164/(Demand!AU181-Retailers_Cap!N164)))</f>
        <v/>
      </c>
      <c r="BC164" s="64">
        <f>IF(Demand!AV181=Retailers_Cap!O164,"ret=0",(AX164/(Demand!AV181-Retailers_Cap!O164)))</f>
        <v/>
      </c>
      <c r="BD164" s="64">
        <f>IF(Demand!AW181=Retailers_Cap!P164,"ret=0",(AY164/(Demand!AW181-Retailers_Cap!P164)))</f>
        <v/>
      </c>
      <c r="BF164" s="64" t="n">
        <v>168</v>
      </c>
      <c r="BG164" s="2">
        <f>IF(Demand!AU181&lt;=Retailers_Cap!N164,"ret=0",(IF(BB164&lt;=AR164+Distributors_Cap!$P$47,1,0)))</f>
        <v/>
      </c>
      <c r="BH164" s="2">
        <f>IF(Demand!AV181&lt;=Retailers_Cap!O164,"ret=0",(IF(BC164&lt;=AS164+Distributors_Cap!$P$47,1,0)))</f>
        <v/>
      </c>
      <c r="BI164" s="2">
        <f>IF(Demand!AW181&lt;=Retailers_Cap!P164,"ret=0",(IF(BD164&lt;=AT164+Distributors_Cap!$P$47,1,0)))</f>
        <v/>
      </c>
      <c r="BK164" s="64" t="n">
        <v>168</v>
      </c>
      <c r="BL164" s="64">
        <f>Retailers!BH163</f>
        <v/>
      </c>
      <c r="BM164" s="64">
        <f>Retailers!BI163</f>
        <v/>
      </c>
      <c r="BN164" s="64">
        <f>Retailers!BJ163</f>
        <v/>
      </c>
      <c r="BP164" s="64" t="n">
        <v>168</v>
      </c>
      <c r="BQ164" s="64">
        <f>#REF!</f>
        <v/>
      </c>
      <c r="BR164" s="64">
        <f>#REF!</f>
        <v/>
      </c>
      <c r="BS164" s="64">
        <f>#REF!</f>
        <v/>
      </c>
      <c r="BU164" s="64" t="n">
        <v>168</v>
      </c>
      <c r="BV164" s="64">
        <f>Retailers!AS163</f>
        <v/>
      </c>
      <c r="BW164" s="64">
        <f>Retailers!AT163</f>
        <v/>
      </c>
      <c r="BX164" s="64">
        <f>Retailers!AU163</f>
        <v/>
      </c>
      <c r="BZ164" s="64" t="n">
        <v>168</v>
      </c>
      <c r="CA164" s="64">
        <f>Results!#REF!</f>
        <v/>
      </c>
      <c r="CB164" s="64">
        <f>Results!#REF!</f>
        <v/>
      </c>
      <c r="CC164" s="64">
        <f>Results!#REF!</f>
        <v/>
      </c>
      <c r="CE164" s="64" t="n">
        <v>168</v>
      </c>
      <c r="CF164" s="64">
        <f>Retailers!BN163</f>
        <v/>
      </c>
      <c r="CG164" s="64">
        <f>Retailers!BO163</f>
        <v/>
      </c>
      <c r="CH164" s="64">
        <f>Retailers!BP163</f>
        <v/>
      </c>
      <c r="CJ164" s="64" t="n">
        <v>168</v>
      </c>
      <c r="CK164" s="64">
        <f>IF(BB164="ret=0",0,IF(BB164&gt;0,AR164+Distributors_Cap!$P$47-BB164,0))</f>
        <v/>
      </c>
      <c r="CL164" s="64">
        <f>IF(BC164="ret=0",0,IF(BC164&gt;0,AS164+Distributors_Cap!$P$47-BC164,0))</f>
        <v/>
      </c>
      <c r="CM164" s="64">
        <f>IF(BD164="ret=0",0,IF(BD164&gt;0,AT164+Distributors_Cap!$P$47-BD164,0))</f>
        <v/>
      </c>
    </row>
    <row r="165">
      <c r="G165" s="64" t="n">
        <v>169</v>
      </c>
      <c r="H165" s="64" t="n">
        <v>74.321</v>
      </c>
      <c r="I165" s="64" t="n">
        <v>49.833</v>
      </c>
      <c r="J165" s="64" t="n">
        <v>44.144</v>
      </c>
      <c r="L165" s="64">
        <f>TRUNC((_xlfn.NORM.INV((RAND()),$K$7,$K$8)),0)</f>
        <v/>
      </c>
      <c r="M165" s="64" t="n">
        <v>169</v>
      </c>
      <c r="N165" s="5" t="n">
        <v>27</v>
      </c>
      <c r="O165" s="5" t="n">
        <v>21</v>
      </c>
      <c r="P165" s="5" t="n">
        <v>23</v>
      </c>
      <c r="R165" s="2">
        <f>IF(N165&gt;Demand!AU182,0,(IF(((2*(Retailers!AJ164+Distributors_Cap!$P$47)-Retailers_Cap!$BB$7)*(Demand!AU182-Retailers_Cap!N165))&lt;0,0,((IF(BB165&gt;2*(Retailers!AJ164+Distributors_Cap!$P$47),0,(IF(BG165=0,ROUNDUP((2*(Retailers!AJ164+Distributors_Cap!$P$47)-BB165)^0.5,0),ROUNDUP((2*(Retailers!AJ164+Distributors_Cap!$P$47)-BB165)^0.5,0)))))))))</f>
        <v/>
      </c>
      <c r="S165" s="2">
        <f>IF(O165&gt;Demand!AV182,0,(IF(((2*(Retailers!AK164+Distributors_Cap!$P$47)-Retailers_Cap!$BB$7)*(Demand!AV182-Retailers_Cap!O165))&lt;0,0,((IF(BC165&gt;2*(Retailers!AK164+Distributors_Cap!$P$47),0,(IF(BH165=0,ROUNDUP((2*(Retailers!AK164+Distributors_Cap!$P$47)-BC165)^0.5,0),ROUNDUP((2*(Retailers!AK164+Distributors_Cap!$P$47)-BC165)^0.5,0)))))))))</f>
        <v/>
      </c>
      <c r="T165" s="2">
        <f>IF(P165&gt;Demand!AW182,0,(IF(((2*(Retailers!AL164+Distributors_Cap!$P$47)-Retailers_Cap!$BB$7)*(Demand!AW182-Retailers_Cap!P165))&lt;0,0,((IF(BD165&gt;2*(Retailers!AL164+Distributors_Cap!$P$47),0,(IF(BI165=0,ROUNDUP((2*(Retailers!AL164+Distributors_Cap!$P$47)-BD165)^0.5,0),ROUNDUP((2*(Retailers!AL164+Distributors_Cap!$P$47)-BD165)^0.5,0)))))))))</f>
        <v/>
      </c>
      <c r="W165" s="64" t="n">
        <v>169</v>
      </c>
      <c r="X165" s="9" t="n">
        <v>12</v>
      </c>
      <c r="Y165" s="9" t="n">
        <v>0</v>
      </c>
      <c r="Z165" s="9" t="n">
        <v>12</v>
      </c>
      <c r="AB165" s="2">
        <f>ROUNDDOWN(LOG((X165+1),2),0)</f>
        <v/>
      </c>
      <c r="AC165" s="2">
        <f>ROUNDDOWN(LOG((Y165+1),2),0)</f>
        <v/>
      </c>
      <c r="AD165" s="2">
        <f>ROUNDDOWN(LOG((Z165+1),2),0)</f>
        <v/>
      </c>
      <c r="AG165" s="64" t="n">
        <v>169</v>
      </c>
      <c r="AH165" s="9" t="n">
        <v>3</v>
      </c>
      <c r="AI165" s="9" t="n">
        <v>0</v>
      </c>
      <c r="AJ165" s="9" t="n">
        <v>3</v>
      </c>
      <c r="AQ165" s="64" t="n">
        <v>169</v>
      </c>
      <c r="AR165" s="64" t="n">
        <v>74.321</v>
      </c>
      <c r="AS165" s="64" t="n">
        <v>49.833</v>
      </c>
      <c r="AT165" s="64" t="n">
        <v>44.144</v>
      </c>
      <c r="AV165" s="64" t="n">
        <v>169</v>
      </c>
      <c r="AW165" s="64">
        <f>Beginning_stock!AT193</f>
        <v/>
      </c>
      <c r="AX165" s="64">
        <f>Beginning_stock!AU193</f>
        <v/>
      </c>
      <c r="AY165" s="64">
        <f>Beginning_stock!AV193</f>
        <v/>
      </c>
      <c r="BA165" s="64" t="n">
        <v>169</v>
      </c>
      <c r="BB165" s="64">
        <f>IF(Demand!AU182=Retailers_Cap!N165,"ret=0",(AW165/(Demand!AU182-Retailers_Cap!N165)))</f>
        <v/>
      </c>
      <c r="BC165" s="64">
        <f>IF(Demand!AV182=Retailers_Cap!O165,"ret=0",(AX165/(Demand!AV182-Retailers_Cap!O165)))</f>
        <v/>
      </c>
      <c r="BD165" s="64">
        <f>IF(Demand!AW182=Retailers_Cap!P165,"ret=0",(AY165/(Demand!AW182-Retailers_Cap!P165)))</f>
        <v/>
      </c>
      <c r="BF165" s="64" t="n">
        <v>169</v>
      </c>
      <c r="BG165" s="2">
        <f>IF(Demand!AU182&lt;=Retailers_Cap!N165,"ret=0",(IF(BB165&lt;=AR165+Distributors_Cap!$P$47,1,0)))</f>
        <v/>
      </c>
      <c r="BH165" s="2">
        <f>IF(Demand!AV182&lt;=Retailers_Cap!O165,"ret=0",(IF(BC165&lt;=AS165+Distributors_Cap!$P$47,1,0)))</f>
        <v/>
      </c>
      <c r="BI165" s="2">
        <f>IF(Demand!AW182&lt;=Retailers_Cap!P165,"ret=0",(IF(BD165&lt;=AT165+Distributors_Cap!$P$47,1,0)))</f>
        <v/>
      </c>
      <c r="BK165" s="64" t="n">
        <v>169</v>
      </c>
      <c r="BL165" s="64">
        <f>Retailers!BH164</f>
        <v/>
      </c>
      <c r="BM165" s="64">
        <f>Retailers!BI164</f>
        <v/>
      </c>
      <c r="BN165" s="64">
        <f>Retailers!BJ164</f>
        <v/>
      </c>
      <c r="BP165" s="64" t="n">
        <v>169</v>
      </c>
      <c r="BQ165" s="64">
        <f>#REF!</f>
        <v/>
      </c>
      <c r="BR165" s="64">
        <f>#REF!</f>
        <v/>
      </c>
      <c r="BS165" s="64">
        <f>#REF!</f>
        <v/>
      </c>
      <c r="BU165" s="64" t="n">
        <v>169</v>
      </c>
      <c r="BV165" s="64">
        <f>Retailers!AS164</f>
        <v/>
      </c>
      <c r="BW165" s="64">
        <f>Retailers!AT164</f>
        <v/>
      </c>
      <c r="BX165" s="64">
        <f>Retailers!AU164</f>
        <v/>
      </c>
      <c r="BZ165" s="64" t="n">
        <v>169</v>
      </c>
      <c r="CA165" s="64">
        <f>Results!#REF!</f>
        <v/>
      </c>
      <c r="CB165" s="64">
        <f>Results!#REF!</f>
        <v/>
      </c>
      <c r="CC165" s="64">
        <f>Results!#REF!</f>
        <v/>
      </c>
      <c r="CE165" s="64" t="n">
        <v>169</v>
      </c>
      <c r="CF165" s="64">
        <f>Retailers!BN164</f>
        <v/>
      </c>
      <c r="CG165" s="64">
        <f>Retailers!BO164</f>
        <v/>
      </c>
      <c r="CH165" s="64">
        <f>Retailers!BP164</f>
        <v/>
      </c>
      <c r="CJ165" s="64" t="n">
        <v>169</v>
      </c>
      <c r="CK165" s="64">
        <f>IF(BB165="ret=0",0,IF(BB165&gt;0,AR165+Distributors_Cap!$P$47-BB165,0))</f>
        <v/>
      </c>
      <c r="CL165" s="64">
        <f>IF(BC165="ret=0",0,IF(BC165&gt;0,AS165+Distributors_Cap!$P$47-BC165,0))</f>
        <v/>
      </c>
      <c r="CM165" s="64">
        <f>IF(BD165="ret=0",0,IF(BD165&gt;0,AT165+Distributors_Cap!$P$47-BD165,0))</f>
        <v/>
      </c>
    </row>
    <row r="166">
      <c r="G166" s="64" t="n">
        <v>170</v>
      </c>
      <c r="H166" s="64" t="n">
        <v>60.961</v>
      </c>
      <c r="I166" s="64" t="n">
        <v>62.96</v>
      </c>
      <c r="J166" s="64" t="n">
        <v>80.188</v>
      </c>
      <c r="L166" s="64">
        <f>TRUNC((_xlfn.NORM.INV((RAND()),$K$7,$K$8)),0)</f>
        <v/>
      </c>
      <c r="M166" s="64" t="n">
        <v>170</v>
      </c>
      <c r="N166" s="5" t="n">
        <v>34</v>
      </c>
      <c r="O166" s="5" t="n">
        <v>23</v>
      </c>
      <c r="P166" s="5" t="n">
        <v>28</v>
      </c>
      <c r="R166" s="2">
        <f>IF(N166&gt;Demand!AU183,0,(IF(((2*(Retailers!AJ165+Distributors_Cap!$P$47)-Retailers_Cap!$BB$7)*(Demand!AU183-Retailers_Cap!N166))&lt;0,0,((IF(BB166&gt;2*(Retailers!AJ165+Distributors_Cap!$P$47),0,(IF(BG166=0,ROUNDUP((2*(Retailers!AJ165+Distributors_Cap!$P$47)-BB166)^0.5,0),ROUNDUP((2*(Retailers!AJ165+Distributors_Cap!$P$47)-BB166)^0.5,0)))))))))</f>
        <v/>
      </c>
      <c r="S166" s="2">
        <f>IF(O166&gt;Demand!AV183,0,(IF(((2*(Retailers!AK165+Distributors_Cap!$P$47)-Retailers_Cap!$BB$7)*(Demand!AV183-Retailers_Cap!O166))&lt;0,0,((IF(BC166&gt;2*(Retailers!AK165+Distributors_Cap!$P$47),0,(IF(BH166=0,ROUNDUP((2*(Retailers!AK165+Distributors_Cap!$P$47)-BC166)^0.5,0),ROUNDUP((2*(Retailers!AK165+Distributors_Cap!$P$47)-BC166)^0.5,0)))))))))</f>
        <v/>
      </c>
      <c r="T166" s="2">
        <f>IF(P166&gt;Demand!AW183,0,(IF(((2*(Retailers!AL165+Distributors_Cap!$P$47)-Retailers_Cap!$BB$7)*(Demand!AW183-Retailers_Cap!P166))&lt;0,0,((IF(BD166&gt;2*(Retailers!AL165+Distributors_Cap!$P$47),0,(IF(BI166=0,ROUNDUP((2*(Retailers!AL165+Distributors_Cap!$P$47)-BD166)^0.5,0),ROUNDUP((2*(Retailers!AL165+Distributors_Cap!$P$47)-BD166)^0.5,0)))))))))</f>
        <v/>
      </c>
      <c r="W166" s="64" t="n">
        <v>170</v>
      </c>
      <c r="X166" s="9" t="n">
        <v>0</v>
      </c>
      <c r="Y166" s="9" t="n">
        <v>0</v>
      </c>
      <c r="Z166" s="9" t="n">
        <v>15</v>
      </c>
      <c r="AB166" s="2">
        <f>ROUNDDOWN(LOG((X166+1),2),0)</f>
        <v/>
      </c>
      <c r="AC166" s="2">
        <f>ROUNDDOWN(LOG((Y166+1),2),0)</f>
        <v/>
      </c>
      <c r="AD166" s="2">
        <f>ROUNDDOWN(LOG((Z166+1),2),0)</f>
        <v/>
      </c>
      <c r="AG166" s="64" t="n">
        <v>170</v>
      </c>
      <c r="AH166" s="9" t="n">
        <v>0</v>
      </c>
      <c r="AI166" s="9" t="n">
        <v>0</v>
      </c>
      <c r="AJ166" s="9" t="n">
        <v>4</v>
      </c>
      <c r="AQ166" s="64" t="n">
        <v>170</v>
      </c>
      <c r="AR166" s="64" t="n">
        <v>60.961</v>
      </c>
      <c r="AS166" s="64" t="n">
        <v>62.96</v>
      </c>
      <c r="AT166" s="64" t="n">
        <v>80.188</v>
      </c>
      <c r="AV166" s="64" t="n">
        <v>170</v>
      </c>
      <c r="AW166" s="64">
        <f>Beginning_stock!AT194</f>
        <v/>
      </c>
      <c r="AX166" s="64">
        <f>Beginning_stock!AU194</f>
        <v/>
      </c>
      <c r="AY166" s="64">
        <f>Beginning_stock!AV194</f>
        <v/>
      </c>
      <c r="BA166" s="64" t="n">
        <v>170</v>
      </c>
      <c r="BB166" s="64">
        <f>IF(Demand!AU183=Retailers_Cap!N166,"ret=0",(AW166/(Demand!AU183-Retailers_Cap!N166)))</f>
        <v/>
      </c>
      <c r="BC166" s="64">
        <f>IF(Demand!AV183=Retailers_Cap!O166,"ret=0",(AX166/(Demand!AV183-Retailers_Cap!O166)))</f>
        <v/>
      </c>
      <c r="BD166" s="64">
        <f>IF(Demand!AW183=Retailers_Cap!P166,"ret=0",(AY166/(Demand!AW183-Retailers_Cap!P166)))</f>
        <v/>
      </c>
      <c r="BF166" s="64" t="n">
        <v>170</v>
      </c>
      <c r="BG166" s="2">
        <f>IF(Demand!AU183&lt;=Retailers_Cap!N166,"ret=0",(IF(BB166&lt;=AR166+Distributors_Cap!$P$47,1,0)))</f>
        <v/>
      </c>
      <c r="BH166" s="2">
        <f>IF(Demand!AV183&lt;=Retailers_Cap!O166,"ret=0",(IF(BC166&lt;=AS166+Distributors_Cap!$P$47,1,0)))</f>
        <v/>
      </c>
      <c r="BI166" s="2">
        <f>IF(Demand!AW183&lt;=Retailers_Cap!P166,"ret=0",(IF(BD166&lt;=AT166+Distributors_Cap!$P$47,1,0)))</f>
        <v/>
      </c>
      <c r="BK166" s="64" t="n">
        <v>170</v>
      </c>
      <c r="BL166" s="64">
        <f>Retailers!BH165</f>
        <v/>
      </c>
      <c r="BM166" s="64">
        <f>Retailers!BI165</f>
        <v/>
      </c>
      <c r="BN166" s="64">
        <f>Retailers!BJ165</f>
        <v/>
      </c>
      <c r="BP166" s="64" t="n">
        <v>170</v>
      </c>
      <c r="BQ166" s="64">
        <f>#REF!</f>
        <v/>
      </c>
      <c r="BR166" s="64">
        <f>#REF!</f>
        <v/>
      </c>
      <c r="BS166" s="64">
        <f>#REF!</f>
        <v/>
      </c>
      <c r="BU166" s="64" t="n">
        <v>170</v>
      </c>
      <c r="BV166" s="64">
        <f>Retailers!AS165</f>
        <v/>
      </c>
      <c r="BW166" s="64">
        <f>Retailers!AT165</f>
        <v/>
      </c>
      <c r="BX166" s="64">
        <f>Retailers!AU165</f>
        <v/>
      </c>
      <c r="BZ166" s="64" t="n">
        <v>170</v>
      </c>
      <c r="CA166" s="64">
        <f>Results!#REF!</f>
        <v/>
      </c>
      <c r="CB166" s="64">
        <f>Results!#REF!</f>
        <v/>
      </c>
      <c r="CC166" s="64">
        <f>Results!#REF!</f>
        <v/>
      </c>
      <c r="CE166" s="64" t="n">
        <v>170</v>
      </c>
      <c r="CF166" s="64">
        <f>Retailers!BN165</f>
        <v/>
      </c>
      <c r="CG166" s="64">
        <f>Retailers!BO165</f>
        <v/>
      </c>
      <c r="CH166" s="64">
        <f>Retailers!BP165</f>
        <v/>
      </c>
      <c r="CJ166" s="64" t="n">
        <v>170</v>
      </c>
      <c r="CK166" s="64">
        <f>IF(BB166="ret=0",0,IF(BB166&gt;0,AR166+Distributors_Cap!$P$47-BB166,0))</f>
        <v/>
      </c>
      <c r="CL166" s="64">
        <f>IF(BC166="ret=0",0,IF(BC166&gt;0,AS166+Distributors_Cap!$P$47-BC166,0))</f>
        <v/>
      </c>
      <c r="CM166" s="64">
        <f>IF(BD166="ret=0",0,IF(BD166&gt;0,AT166+Distributors_Cap!$P$47-BD166,0))</f>
        <v/>
      </c>
    </row>
    <row r="167">
      <c r="G167" s="64" t="n">
        <v>171</v>
      </c>
      <c r="H167" s="64" t="n">
        <v>63.182</v>
      </c>
      <c r="I167" s="64" t="n">
        <v>85.98399999999999</v>
      </c>
      <c r="J167" s="64" t="n">
        <v>51.093</v>
      </c>
      <c r="L167" s="64">
        <f>TRUNC((_xlfn.NORM.INV((RAND()),$K$7,$K$8)),0)</f>
        <v/>
      </c>
      <c r="M167" s="64" t="n">
        <v>171</v>
      </c>
      <c r="N167" s="5" t="n">
        <v>14</v>
      </c>
      <c r="O167" s="5" t="n">
        <v>30</v>
      </c>
      <c r="P167" s="5" t="n">
        <v>27</v>
      </c>
      <c r="R167" s="2">
        <f>IF(N167&gt;Demand!AU184,0,(IF(((2*(Retailers!AJ166+Distributors_Cap!$P$47)-Retailers_Cap!$BB$7)*(Demand!AU184-Retailers_Cap!N167))&lt;0,0,((IF(BB167&gt;2*(Retailers!AJ166+Distributors_Cap!$P$47),0,(IF(BG167=0,ROUNDUP((2*(Retailers!AJ166+Distributors_Cap!$P$47)-BB167)^0.5,0),ROUNDUP((2*(Retailers!AJ166+Distributors_Cap!$P$47)-BB167)^0.5,0)))))))))</f>
        <v/>
      </c>
      <c r="S167" s="2">
        <f>IF(O167&gt;Demand!AV184,0,(IF(((2*(Retailers!AK166+Distributors_Cap!$P$47)-Retailers_Cap!$BB$7)*(Demand!AV184-Retailers_Cap!O167))&lt;0,0,((IF(BC167&gt;2*(Retailers!AK166+Distributors_Cap!$P$47),0,(IF(BH167=0,ROUNDUP((2*(Retailers!AK166+Distributors_Cap!$P$47)-BC167)^0.5,0),ROUNDUP((2*(Retailers!AK166+Distributors_Cap!$P$47)-BC167)^0.5,0)))))))))</f>
        <v/>
      </c>
      <c r="T167" s="2">
        <f>IF(P167&gt;Demand!AW184,0,(IF(((2*(Retailers!AL166+Distributors_Cap!$P$47)-Retailers_Cap!$BB$7)*(Demand!AW184-Retailers_Cap!P167))&lt;0,0,((IF(BD167&gt;2*(Retailers!AL166+Distributors_Cap!$P$47),0,(IF(BI167=0,ROUNDUP((2*(Retailers!AL166+Distributors_Cap!$P$47)-BD167)^0.5,0),ROUNDUP((2*(Retailers!AL166+Distributors_Cap!$P$47)-BD167)^0.5,0)))))))))</f>
        <v/>
      </c>
      <c r="W167" s="64" t="n">
        <v>171</v>
      </c>
      <c r="X167" s="9" t="n">
        <v>14</v>
      </c>
      <c r="Y167" s="9" t="n">
        <v>14</v>
      </c>
      <c r="Z167" s="9" t="n">
        <v>0</v>
      </c>
      <c r="AB167" s="2">
        <f>ROUNDDOWN(LOG((X167+1),2),0)</f>
        <v/>
      </c>
      <c r="AC167" s="2">
        <f>ROUNDDOWN(LOG((Y167+1),2),0)</f>
        <v/>
      </c>
      <c r="AD167" s="2">
        <f>ROUNDDOWN(LOG((Z167+1),2),0)</f>
        <v/>
      </c>
      <c r="AG167" s="64" t="n">
        <v>171</v>
      </c>
      <c r="AH167" s="9" t="n">
        <v>3</v>
      </c>
      <c r="AI167" s="9" t="n">
        <v>3</v>
      </c>
      <c r="AJ167" s="9" t="n">
        <v>0</v>
      </c>
      <c r="AQ167" s="64" t="n">
        <v>171</v>
      </c>
      <c r="AR167" s="64" t="n">
        <v>63.182</v>
      </c>
      <c r="AS167" s="64" t="n">
        <v>85.98399999999999</v>
      </c>
      <c r="AT167" s="64" t="n">
        <v>51.093</v>
      </c>
      <c r="AV167" s="64" t="n">
        <v>171</v>
      </c>
      <c r="AW167" s="64">
        <f>Beginning_stock!AT195</f>
        <v/>
      </c>
      <c r="AX167" s="64">
        <f>Beginning_stock!AU195</f>
        <v/>
      </c>
      <c r="AY167" s="64">
        <f>Beginning_stock!AV195</f>
        <v/>
      </c>
      <c r="BA167" s="64" t="n">
        <v>171</v>
      </c>
      <c r="BB167" s="64">
        <f>IF(Demand!AU184=Retailers_Cap!N167,"ret=0",(AW167/(Demand!AU184-Retailers_Cap!N167)))</f>
        <v/>
      </c>
      <c r="BC167" s="64">
        <f>IF(Demand!AV184=Retailers_Cap!O167,"ret=0",(AX167/(Demand!AV184-Retailers_Cap!O167)))</f>
        <v/>
      </c>
      <c r="BD167" s="64">
        <f>IF(Demand!AW184=Retailers_Cap!P167,"ret=0",(AY167/(Demand!AW184-Retailers_Cap!P167)))</f>
        <v/>
      </c>
      <c r="BF167" s="64" t="n">
        <v>171</v>
      </c>
      <c r="BG167" s="2">
        <f>IF(Demand!AU184&lt;=Retailers_Cap!N167,"ret=0",(IF(BB167&lt;=AR167+Distributors_Cap!$P$47,1,0)))</f>
        <v/>
      </c>
      <c r="BH167" s="2">
        <f>IF(Demand!AV184&lt;=Retailers_Cap!O167,"ret=0",(IF(BC167&lt;=AS167+Distributors_Cap!$P$47,1,0)))</f>
        <v/>
      </c>
      <c r="BI167" s="2">
        <f>IF(Demand!AW184&lt;=Retailers_Cap!P167,"ret=0",(IF(BD167&lt;=AT167+Distributors_Cap!$P$47,1,0)))</f>
        <v/>
      </c>
      <c r="BK167" s="64" t="n">
        <v>171</v>
      </c>
      <c r="BL167" s="64">
        <f>Retailers!BH166</f>
        <v/>
      </c>
      <c r="BM167" s="64">
        <f>Retailers!BI166</f>
        <v/>
      </c>
      <c r="BN167" s="64">
        <f>Retailers!BJ166</f>
        <v/>
      </c>
      <c r="BP167" s="64" t="n">
        <v>171</v>
      </c>
      <c r="BQ167" s="64">
        <f>#REF!</f>
        <v/>
      </c>
      <c r="BR167" s="64">
        <f>#REF!</f>
        <v/>
      </c>
      <c r="BS167" s="64">
        <f>#REF!</f>
        <v/>
      </c>
      <c r="BU167" s="64" t="n">
        <v>171</v>
      </c>
      <c r="BV167" s="64">
        <f>Retailers!AS166</f>
        <v/>
      </c>
      <c r="BW167" s="64">
        <f>Retailers!AT166</f>
        <v/>
      </c>
      <c r="BX167" s="64">
        <f>Retailers!AU166</f>
        <v/>
      </c>
      <c r="BZ167" s="64" t="n">
        <v>171</v>
      </c>
      <c r="CA167" s="64">
        <f>Results!#REF!</f>
        <v/>
      </c>
      <c r="CB167" s="64">
        <f>Results!#REF!</f>
        <v/>
      </c>
      <c r="CC167" s="64">
        <f>Results!#REF!</f>
        <v/>
      </c>
      <c r="CE167" s="64" t="n">
        <v>171</v>
      </c>
      <c r="CF167" s="64">
        <f>Retailers!BN166</f>
        <v/>
      </c>
      <c r="CG167" s="64">
        <f>Retailers!BO166</f>
        <v/>
      </c>
      <c r="CH167" s="64">
        <f>Retailers!BP166</f>
        <v/>
      </c>
      <c r="CJ167" s="64" t="n">
        <v>171</v>
      </c>
      <c r="CK167" s="64">
        <f>IF(BB167="ret=0",0,IF(BB167&gt;0,AR167+Distributors_Cap!$P$47-BB167,0))</f>
        <v/>
      </c>
      <c r="CL167" s="64">
        <f>IF(BC167="ret=0",0,IF(BC167&gt;0,AS167+Distributors_Cap!$P$47-BC167,0))</f>
        <v/>
      </c>
      <c r="CM167" s="64">
        <f>IF(BD167="ret=0",0,IF(BD167&gt;0,AT167+Distributors_Cap!$P$47-BD167,0))</f>
        <v/>
      </c>
    </row>
    <row r="168">
      <c r="G168" s="64" t="n">
        <v>172</v>
      </c>
      <c r="H168" s="64" t="n">
        <v>66.661</v>
      </c>
      <c r="I168" s="64" t="n">
        <v>46.471</v>
      </c>
      <c r="J168" s="64" t="n">
        <v>78.14700000000001</v>
      </c>
      <c r="L168" s="64">
        <f>TRUNC((_xlfn.NORM.INV((RAND()),$K$7,$K$8)),0)</f>
        <v/>
      </c>
      <c r="M168" s="64" t="n">
        <v>172</v>
      </c>
      <c r="N168" s="5" t="n">
        <v>24</v>
      </c>
      <c r="O168" s="5" t="n">
        <v>30</v>
      </c>
      <c r="P168" s="5" t="n">
        <v>29</v>
      </c>
      <c r="R168" s="2">
        <f>IF(N168&gt;Demand!AU185,0,(IF(((2*(Retailers!AJ167+Distributors_Cap!$P$47)-Retailers_Cap!$BB$7)*(Demand!AU185-Retailers_Cap!N168))&lt;0,0,((IF(BB168&gt;2*(Retailers!AJ167+Distributors_Cap!$P$47),0,(IF(BG168=0,ROUNDUP((2*(Retailers!AJ167+Distributors_Cap!$P$47)-BB168)^0.5,0),ROUNDUP((2*(Retailers!AJ167+Distributors_Cap!$P$47)-BB168)^0.5,0)))))))))</f>
        <v/>
      </c>
      <c r="S168" s="2">
        <f>IF(O168&gt;Demand!AV185,0,(IF(((2*(Retailers!AK167+Distributors_Cap!$P$47)-Retailers_Cap!$BB$7)*(Demand!AV185-Retailers_Cap!O168))&lt;0,0,((IF(BC168&gt;2*(Retailers!AK167+Distributors_Cap!$P$47),0,(IF(BH168=0,ROUNDUP((2*(Retailers!AK167+Distributors_Cap!$P$47)-BC168)^0.5,0),ROUNDUP((2*(Retailers!AK167+Distributors_Cap!$P$47)-BC168)^0.5,0)))))))))</f>
        <v/>
      </c>
      <c r="T168" s="2">
        <f>IF(P168&gt;Demand!AW185,0,(IF(((2*(Retailers!AL167+Distributors_Cap!$P$47)-Retailers_Cap!$BB$7)*(Demand!AW185-Retailers_Cap!P168))&lt;0,0,((IF(BD168&gt;2*(Retailers!AL167+Distributors_Cap!$P$47),0,(IF(BI168=0,ROUNDUP((2*(Retailers!AL167+Distributors_Cap!$P$47)-BD168)^0.5,0),ROUNDUP((2*(Retailers!AL167+Distributors_Cap!$P$47)-BD168)^0.5,0)))))))))</f>
        <v/>
      </c>
      <c r="W168" s="64" t="n">
        <v>172</v>
      </c>
      <c r="X168" s="9" t="n">
        <v>0</v>
      </c>
      <c r="Y168" s="9" t="n">
        <v>8</v>
      </c>
      <c r="Z168" s="9" t="n">
        <v>0</v>
      </c>
      <c r="AB168" s="2">
        <f>ROUNDDOWN(LOG((X168+1),2),0)</f>
        <v/>
      </c>
      <c r="AC168" s="2">
        <f>ROUNDDOWN(LOG((Y168+1),2),0)</f>
        <v/>
      </c>
      <c r="AD168" s="2">
        <f>ROUNDDOWN(LOG((Z168+1),2),0)</f>
        <v/>
      </c>
      <c r="AG168" s="64" t="n">
        <v>172</v>
      </c>
      <c r="AH168" s="9" t="n">
        <v>0</v>
      </c>
      <c r="AI168" s="9" t="n">
        <v>3</v>
      </c>
      <c r="AJ168" s="9" t="n">
        <v>0</v>
      </c>
      <c r="AQ168" s="64" t="n">
        <v>172</v>
      </c>
      <c r="AR168" s="64" t="n">
        <v>66.661</v>
      </c>
      <c r="AS168" s="64" t="n">
        <v>46.471</v>
      </c>
      <c r="AT168" s="64" t="n">
        <v>78.14700000000001</v>
      </c>
      <c r="AV168" s="64" t="n">
        <v>172</v>
      </c>
      <c r="AW168" s="64">
        <f>Beginning_stock!AT196</f>
        <v/>
      </c>
      <c r="AX168" s="64">
        <f>Beginning_stock!AU196</f>
        <v/>
      </c>
      <c r="AY168" s="64">
        <f>Beginning_stock!AV196</f>
        <v/>
      </c>
      <c r="BA168" s="64" t="n">
        <v>172</v>
      </c>
      <c r="BB168" s="64">
        <f>IF(Demand!AU185=Retailers_Cap!N168,"ret=0",(AW168/(Demand!AU185-Retailers_Cap!N168)))</f>
        <v/>
      </c>
      <c r="BC168" s="64">
        <f>IF(Demand!AV185=Retailers_Cap!O168,"ret=0",(AX168/(Demand!AV185-Retailers_Cap!O168)))</f>
        <v/>
      </c>
      <c r="BD168" s="64">
        <f>IF(Demand!AW185=Retailers_Cap!P168,"ret=0",(AY168/(Demand!AW185-Retailers_Cap!P168)))</f>
        <v/>
      </c>
      <c r="BF168" s="64" t="n">
        <v>172</v>
      </c>
      <c r="BG168" s="2">
        <f>IF(Demand!AU185&lt;=Retailers_Cap!N168,"ret=0",(IF(BB168&lt;=AR168+Distributors_Cap!$P$47,1,0)))</f>
        <v/>
      </c>
      <c r="BH168" s="2">
        <f>IF(Demand!AV185&lt;=Retailers_Cap!O168,"ret=0",(IF(BC168&lt;=AS168+Distributors_Cap!$P$47,1,0)))</f>
        <v/>
      </c>
      <c r="BI168" s="2">
        <f>IF(Demand!AW185&lt;=Retailers_Cap!P168,"ret=0",(IF(BD168&lt;=AT168+Distributors_Cap!$P$47,1,0)))</f>
        <v/>
      </c>
      <c r="BK168" s="64" t="n">
        <v>172</v>
      </c>
      <c r="BL168" s="64">
        <f>Retailers!BH167</f>
        <v/>
      </c>
      <c r="BM168" s="64">
        <f>Retailers!BI167</f>
        <v/>
      </c>
      <c r="BN168" s="64">
        <f>Retailers!BJ167</f>
        <v/>
      </c>
      <c r="BP168" s="64" t="n">
        <v>172</v>
      </c>
      <c r="BQ168" s="64">
        <f>#REF!</f>
        <v/>
      </c>
      <c r="BR168" s="64">
        <f>#REF!</f>
        <v/>
      </c>
      <c r="BS168" s="64">
        <f>#REF!</f>
        <v/>
      </c>
      <c r="BU168" s="64" t="n">
        <v>172</v>
      </c>
      <c r="BV168" s="64">
        <f>Retailers!AS167</f>
        <v/>
      </c>
      <c r="BW168" s="64">
        <f>Retailers!AT167</f>
        <v/>
      </c>
      <c r="BX168" s="64">
        <f>Retailers!AU167</f>
        <v/>
      </c>
      <c r="BZ168" s="64" t="n">
        <v>172</v>
      </c>
      <c r="CA168" s="64">
        <f>Results!#REF!</f>
        <v/>
      </c>
      <c r="CB168" s="64">
        <f>Results!#REF!</f>
        <v/>
      </c>
      <c r="CC168" s="64">
        <f>Results!#REF!</f>
        <v/>
      </c>
      <c r="CE168" s="64" t="n">
        <v>172</v>
      </c>
      <c r="CF168" s="64">
        <f>Retailers!BN167</f>
        <v/>
      </c>
      <c r="CG168" s="64">
        <f>Retailers!BO167</f>
        <v/>
      </c>
      <c r="CH168" s="64">
        <f>Retailers!BP167</f>
        <v/>
      </c>
      <c r="CJ168" s="64" t="n">
        <v>172</v>
      </c>
      <c r="CK168" s="64">
        <f>IF(BB168="ret=0",0,IF(BB168&gt;0,AR168+Distributors_Cap!$P$47-BB168,0))</f>
        <v/>
      </c>
      <c r="CL168" s="64">
        <f>IF(BC168="ret=0",0,IF(BC168&gt;0,AS168+Distributors_Cap!$P$47-BC168,0))</f>
        <v/>
      </c>
      <c r="CM168" s="64">
        <f>IF(BD168="ret=0",0,IF(BD168&gt;0,AT168+Distributors_Cap!$P$47-BD168,0))</f>
        <v/>
      </c>
    </row>
    <row r="169">
      <c r="G169" s="64" t="n">
        <v>173</v>
      </c>
      <c r="H169" s="64" t="n">
        <v>55.997</v>
      </c>
      <c r="I169" s="64" t="n">
        <v>62.861</v>
      </c>
      <c r="J169" s="64" t="n">
        <v>94.697</v>
      </c>
      <c r="L169" s="64">
        <f>TRUNC((_xlfn.NORM.INV((RAND()),$K$7,$K$8)),0)</f>
        <v/>
      </c>
      <c r="M169" s="64" t="n">
        <v>173</v>
      </c>
      <c r="N169" s="5" t="n">
        <v>20</v>
      </c>
      <c r="O169" s="5" t="n">
        <v>36</v>
      </c>
      <c r="P169" s="5" t="n">
        <v>32</v>
      </c>
      <c r="R169" s="2">
        <f>IF(N169&gt;Demand!AU186,0,(IF(((2*(Retailers!AJ168+Distributors_Cap!$P$47)-Retailers_Cap!$BB$7)*(Demand!AU186-Retailers_Cap!N169))&lt;0,0,((IF(BB169&gt;2*(Retailers!AJ168+Distributors_Cap!$P$47),0,(IF(BG169=0,ROUNDUP((2*(Retailers!AJ168+Distributors_Cap!$P$47)-BB169)^0.5,0),ROUNDUP((2*(Retailers!AJ168+Distributors_Cap!$P$47)-BB169)^0.5,0)))))))))</f>
        <v/>
      </c>
      <c r="S169" s="2">
        <f>IF(O169&gt;Demand!AV186,0,(IF(((2*(Retailers!AK168+Distributors_Cap!$P$47)-Retailers_Cap!$BB$7)*(Demand!AV186-Retailers_Cap!O169))&lt;0,0,((IF(BC169&gt;2*(Retailers!AK168+Distributors_Cap!$P$47),0,(IF(BH169=0,ROUNDUP((2*(Retailers!AK168+Distributors_Cap!$P$47)-BC169)^0.5,0),ROUNDUP((2*(Retailers!AK168+Distributors_Cap!$P$47)-BC169)^0.5,0)))))))))</f>
        <v/>
      </c>
      <c r="T169" s="2">
        <f>IF(P169&gt;Demand!AW186,0,(IF(((2*(Retailers!AL168+Distributors_Cap!$P$47)-Retailers_Cap!$BB$7)*(Demand!AW186-Retailers_Cap!P169))&lt;0,0,((IF(BD169&gt;2*(Retailers!AL168+Distributors_Cap!$P$47),0,(IF(BI169=0,ROUNDUP((2*(Retailers!AL168+Distributors_Cap!$P$47)-BD169)^0.5,0),ROUNDUP((2*(Retailers!AL168+Distributors_Cap!$P$47)-BD169)^0.5,0)))))))))</f>
        <v/>
      </c>
      <c r="W169" s="64" t="n">
        <v>173</v>
      </c>
      <c r="X169" s="9" t="n">
        <v>5</v>
      </c>
      <c r="Y169" s="9" t="n">
        <v>0</v>
      </c>
      <c r="Z169" s="9" t="n">
        <v>0</v>
      </c>
      <c r="AB169" s="2">
        <f>ROUNDDOWN(LOG((X169+1),2),0)</f>
        <v/>
      </c>
      <c r="AC169" s="2">
        <f>ROUNDDOWN(LOG((Y169+1),2),0)</f>
        <v/>
      </c>
      <c r="AD169" s="2">
        <f>ROUNDDOWN(LOG((Z169+1),2),0)</f>
        <v/>
      </c>
      <c r="AG169" s="64" t="n">
        <v>173</v>
      </c>
      <c r="AH169" s="9" t="n">
        <v>2</v>
      </c>
      <c r="AI169" s="9" t="n">
        <v>0</v>
      </c>
      <c r="AJ169" s="9" t="n">
        <v>0</v>
      </c>
      <c r="AQ169" s="64" t="n">
        <v>173</v>
      </c>
      <c r="AR169" s="64" t="n">
        <v>55.997</v>
      </c>
      <c r="AS169" s="64" t="n">
        <v>62.861</v>
      </c>
      <c r="AT169" s="64" t="n">
        <v>94.697</v>
      </c>
      <c r="AV169" s="64" t="n">
        <v>173</v>
      </c>
      <c r="AW169" s="64">
        <f>Beginning_stock!AT197</f>
        <v/>
      </c>
      <c r="AX169" s="64">
        <f>Beginning_stock!AU197</f>
        <v/>
      </c>
      <c r="AY169" s="64">
        <f>Beginning_stock!AV197</f>
        <v/>
      </c>
      <c r="BA169" s="64" t="n">
        <v>173</v>
      </c>
      <c r="BB169" s="64">
        <f>IF(Demand!AU186=Retailers_Cap!N169,"ret=0",(AW169/(Demand!AU186-Retailers_Cap!N169)))</f>
        <v/>
      </c>
      <c r="BC169" s="64">
        <f>IF(Demand!AV186=Retailers_Cap!O169,"ret=0",(AX169/(Demand!AV186-Retailers_Cap!O169)))</f>
        <v/>
      </c>
      <c r="BD169" s="64">
        <f>IF(Demand!AW186=Retailers_Cap!P169,"ret=0",(AY169/(Demand!AW186-Retailers_Cap!P169)))</f>
        <v/>
      </c>
      <c r="BF169" s="64" t="n">
        <v>173</v>
      </c>
      <c r="BG169" s="2">
        <f>IF(Demand!AU186&lt;=Retailers_Cap!N169,"ret=0",(IF(BB169&lt;=AR169+Distributors_Cap!$P$47,1,0)))</f>
        <v/>
      </c>
      <c r="BH169" s="2">
        <f>IF(Demand!AV186&lt;=Retailers_Cap!O169,"ret=0",(IF(BC169&lt;=AS169+Distributors_Cap!$P$47,1,0)))</f>
        <v/>
      </c>
      <c r="BI169" s="2">
        <f>IF(Demand!AW186&lt;=Retailers_Cap!P169,"ret=0",(IF(BD169&lt;=AT169+Distributors_Cap!$P$47,1,0)))</f>
        <v/>
      </c>
      <c r="BK169" s="64" t="n">
        <v>173</v>
      </c>
      <c r="BL169" s="64">
        <f>Retailers!BH168</f>
        <v/>
      </c>
      <c r="BM169" s="64">
        <f>Retailers!BI168</f>
        <v/>
      </c>
      <c r="BN169" s="64">
        <f>Retailers!BJ168</f>
        <v/>
      </c>
      <c r="BP169" s="64" t="n">
        <v>173</v>
      </c>
      <c r="BQ169" s="64">
        <f>#REF!</f>
        <v/>
      </c>
      <c r="BR169" s="64">
        <f>#REF!</f>
        <v/>
      </c>
      <c r="BS169" s="64">
        <f>#REF!</f>
        <v/>
      </c>
      <c r="BU169" s="64" t="n">
        <v>173</v>
      </c>
      <c r="BV169" s="64">
        <f>Retailers!AS168</f>
        <v/>
      </c>
      <c r="BW169" s="64">
        <f>Retailers!AT168</f>
        <v/>
      </c>
      <c r="BX169" s="64">
        <f>Retailers!AU168</f>
        <v/>
      </c>
      <c r="BZ169" s="64" t="n">
        <v>173</v>
      </c>
      <c r="CA169" s="64">
        <f>Results!#REF!</f>
        <v/>
      </c>
      <c r="CB169" s="64">
        <f>Results!#REF!</f>
        <v/>
      </c>
      <c r="CC169" s="64">
        <f>Results!#REF!</f>
        <v/>
      </c>
      <c r="CE169" s="64" t="n">
        <v>173</v>
      </c>
      <c r="CF169" s="64">
        <f>Retailers!BN168</f>
        <v/>
      </c>
      <c r="CG169" s="64">
        <f>Retailers!BO168</f>
        <v/>
      </c>
      <c r="CH169" s="64">
        <f>Retailers!BP168</f>
        <v/>
      </c>
      <c r="CJ169" s="64" t="n">
        <v>173</v>
      </c>
      <c r="CK169" s="64">
        <f>IF(BB169="ret=0",0,IF(BB169&gt;0,AR169+Distributors_Cap!$P$47-BB169,0))</f>
        <v/>
      </c>
      <c r="CL169" s="64">
        <f>IF(BC169="ret=0",0,IF(BC169&gt;0,AS169+Distributors_Cap!$P$47-BC169,0))</f>
        <v/>
      </c>
      <c r="CM169" s="64">
        <f>IF(BD169="ret=0",0,IF(BD169&gt;0,AT169+Distributors_Cap!$P$47-BD169,0))</f>
        <v/>
      </c>
    </row>
    <row r="170">
      <c r="G170" s="64" t="n">
        <v>174</v>
      </c>
      <c r="H170" s="64" t="n">
        <v>62.222</v>
      </c>
      <c r="I170" s="64" t="n">
        <v>53.686</v>
      </c>
      <c r="J170" s="64" t="n">
        <v>67.50700000000001</v>
      </c>
      <c r="L170" s="64">
        <f>TRUNC((_xlfn.NORM.INV((RAND()),$K$7,$K$8)),0)</f>
        <v/>
      </c>
      <c r="M170" s="64" t="n">
        <v>174</v>
      </c>
      <c r="N170" s="5" t="n">
        <v>35</v>
      </c>
      <c r="O170" s="5" t="n">
        <v>27</v>
      </c>
      <c r="P170" s="5" t="n">
        <v>20</v>
      </c>
      <c r="R170" s="2">
        <f>IF(N170&gt;Demand!AU187,0,(IF(((2*(Retailers!AJ169+Distributors_Cap!$P$47)-Retailers_Cap!$BB$7)*(Demand!AU187-Retailers_Cap!N170))&lt;0,0,((IF(BB170&gt;2*(Retailers!AJ169+Distributors_Cap!$P$47),0,(IF(BG170=0,ROUNDUP((2*(Retailers!AJ169+Distributors_Cap!$P$47)-BB170)^0.5,0),ROUNDUP((2*(Retailers!AJ169+Distributors_Cap!$P$47)-BB170)^0.5,0)))))))))</f>
        <v/>
      </c>
      <c r="S170" s="2">
        <f>IF(O170&gt;Demand!AV187,0,(IF(((2*(Retailers!AK169+Distributors_Cap!$P$47)-Retailers_Cap!$BB$7)*(Demand!AV187-Retailers_Cap!O170))&lt;0,0,((IF(BC170&gt;2*(Retailers!AK169+Distributors_Cap!$P$47),0,(IF(BH170=0,ROUNDUP((2*(Retailers!AK169+Distributors_Cap!$P$47)-BC170)^0.5,0),ROUNDUP((2*(Retailers!AK169+Distributors_Cap!$P$47)-BC170)^0.5,0)))))))))</f>
        <v/>
      </c>
      <c r="T170" s="2">
        <f>IF(P170&gt;Demand!AW187,0,(IF(((2*(Retailers!AL169+Distributors_Cap!$P$47)-Retailers_Cap!$BB$7)*(Demand!AW187-Retailers_Cap!P170))&lt;0,0,((IF(BD170&gt;2*(Retailers!AL169+Distributors_Cap!$P$47),0,(IF(BI170=0,ROUNDUP((2*(Retailers!AL169+Distributors_Cap!$P$47)-BD170)^0.5,0),ROUNDUP((2*(Retailers!AL169+Distributors_Cap!$P$47)-BD170)^0.5,0)))))))))</f>
        <v/>
      </c>
      <c r="W170" s="64" t="n">
        <v>174</v>
      </c>
      <c r="X170" s="9" t="n">
        <v>0</v>
      </c>
      <c r="Y170" s="9" t="n">
        <v>0</v>
      </c>
      <c r="Z170" s="9" t="n">
        <v>0</v>
      </c>
      <c r="AB170" s="2">
        <f>ROUNDDOWN(LOG((X170+1),2),0)</f>
        <v/>
      </c>
      <c r="AC170" s="2">
        <f>ROUNDDOWN(LOG((Y170+1),2),0)</f>
        <v/>
      </c>
      <c r="AD170" s="2">
        <f>ROUNDDOWN(LOG((Z170+1),2),0)</f>
        <v/>
      </c>
      <c r="AG170" s="64" t="n">
        <v>174</v>
      </c>
      <c r="AH170" s="9" t="n">
        <v>0</v>
      </c>
      <c r="AI170" s="9" t="n">
        <v>0</v>
      </c>
      <c r="AJ170" s="9" t="n">
        <v>0</v>
      </c>
      <c r="AQ170" s="64" t="n">
        <v>174</v>
      </c>
      <c r="AR170" s="64" t="n">
        <v>62.222</v>
      </c>
      <c r="AS170" s="64" t="n">
        <v>53.686</v>
      </c>
      <c r="AT170" s="64" t="n">
        <v>67.50700000000001</v>
      </c>
      <c r="AV170" s="64" t="n">
        <v>174</v>
      </c>
      <c r="AW170" s="64">
        <f>Beginning_stock!AT198</f>
        <v/>
      </c>
      <c r="AX170" s="64">
        <f>Beginning_stock!AU198</f>
        <v/>
      </c>
      <c r="AY170" s="64">
        <f>Beginning_stock!AV198</f>
        <v/>
      </c>
      <c r="BA170" s="64" t="n">
        <v>174</v>
      </c>
      <c r="BB170" s="64">
        <f>IF(Demand!AU187=Retailers_Cap!N170,"ret=0",(AW170/(Demand!AU187-Retailers_Cap!N170)))</f>
        <v/>
      </c>
      <c r="BC170" s="64">
        <f>IF(Demand!AV187=Retailers_Cap!O170,"ret=0",(AX170/(Demand!AV187-Retailers_Cap!O170)))</f>
        <v/>
      </c>
      <c r="BD170" s="64">
        <f>IF(Demand!AW187=Retailers_Cap!P170,"ret=0",(AY170/(Demand!AW187-Retailers_Cap!P170)))</f>
        <v/>
      </c>
      <c r="BF170" s="64" t="n">
        <v>174</v>
      </c>
      <c r="BG170" s="2">
        <f>IF(Demand!AU187&lt;=Retailers_Cap!N170,"ret=0",(IF(BB170&lt;=AR170+Distributors_Cap!$P$47,1,0)))</f>
        <v/>
      </c>
      <c r="BH170" s="2">
        <f>IF(Demand!AV187&lt;=Retailers_Cap!O170,"ret=0",(IF(BC170&lt;=AS170+Distributors_Cap!$P$47,1,0)))</f>
        <v/>
      </c>
      <c r="BI170" s="2">
        <f>IF(Demand!AW187&lt;=Retailers_Cap!P170,"ret=0",(IF(BD170&lt;=AT170+Distributors_Cap!$P$47,1,0)))</f>
        <v/>
      </c>
      <c r="BK170" s="64" t="n">
        <v>174</v>
      </c>
      <c r="BL170" s="64">
        <f>Retailers!BH169</f>
        <v/>
      </c>
      <c r="BM170" s="64">
        <f>Retailers!BI169</f>
        <v/>
      </c>
      <c r="BN170" s="64">
        <f>Retailers!BJ169</f>
        <v/>
      </c>
      <c r="BP170" s="64" t="n">
        <v>174</v>
      </c>
      <c r="BQ170" s="64">
        <f>#REF!</f>
        <v/>
      </c>
      <c r="BR170" s="64">
        <f>#REF!</f>
        <v/>
      </c>
      <c r="BS170" s="64">
        <f>#REF!</f>
        <v/>
      </c>
      <c r="BU170" s="64" t="n">
        <v>174</v>
      </c>
      <c r="BV170" s="64">
        <f>Retailers!AS169</f>
        <v/>
      </c>
      <c r="BW170" s="64">
        <f>Retailers!AT169</f>
        <v/>
      </c>
      <c r="BX170" s="64">
        <f>Retailers!AU169</f>
        <v/>
      </c>
      <c r="BZ170" s="64" t="n">
        <v>174</v>
      </c>
      <c r="CA170" s="64">
        <f>Results!#REF!</f>
        <v/>
      </c>
      <c r="CB170" s="64">
        <f>Results!#REF!</f>
        <v/>
      </c>
      <c r="CC170" s="64">
        <f>Results!#REF!</f>
        <v/>
      </c>
      <c r="CE170" s="64" t="n">
        <v>174</v>
      </c>
      <c r="CF170" s="64">
        <f>Retailers!BN169</f>
        <v/>
      </c>
      <c r="CG170" s="64">
        <f>Retailers!BO169</f>
        <v/>
      </c>
      <c r="CH170" s="64">
        <f>Retailers!BP169</f>
        <v/>
      </c>
      <c r="CJ170" s="64" t="n">
        <v>174</v>
      </c>
      <c r="CK170" s="64">
        <f>IF(BB170="ret=0",0,IF(BB170&gt;0,AR170+Distributors_Cap!$P$47-BB170,0))</f>
        <v/>
      </c>
      <c r="CL170" s="64">
        <f>IF(BC170="ret=0",0,IF(BC170&gt;0,AS170+Distributors_Cap!$P$47-BC170,0))</f>
        <v/>
      </c>
      <c r="CM170" s="64">
        <f>IF(BD170="ret=0",0,IF(BD170&gt;0,AT170+Distributors_Cap!$P$47-BD170,0))</f>
        <v/>
      </c>
    </row>
    <row r="171">
      <c r="G171" s="64" t="n">
        <v>175</v>
      </c>
      <c r="H171" s="64" t="n">
        <v>51.259</v>
      </c>
      <c r="I171" s="64" t="n">
        <v>47.085</v>
      </c>
      <c r="J171" s="64" t="n">
        <v>74.723</v>
      </c>
      <c r="L171" s="64">
        <f>TRUNC((_xlfn.NORM.INV((RAND()),$K$7,$K$8)),0)</f>
        <v/>
      </c>
      <c r="M171" s="64" t="n">
        <v>175</v>
      </c>
      <c r="N171" s="5" t="n">
        <v>32</v>
      </c>
      <c r="O171" s="5" t="n">
        <v>23</v>
      </c>
      <c r="P171" s="5" t="n">
        <v>22</v>
      </c>
      <c r="R171" s="2">
        <f>IF(N171&gt;Demand!AU188,0,(IF(((2*(Retailers!AJ170+Distributors_Cap!$P$47)-Retailers_Cap!$BB$7)*(Demand!AU188-Retailers_Cap!N171))&lt;0,0,((IF(BB171&gt;2*(Retailers!AJ170+Distributors_Cap!$P$47),0,(IF(BG171=0,ROUNDUP((2*(Retailers!AJ170+Distributors_Cap!$P$47)-BB171)^0.5,0),ROUNDUP((2*(Retailers!AJ170+Distributors_Cap!$P$47)-BB171)^0.5,0)))))))))</f>
        <v/>
      </c>
      <c r="S171" s="2">
        <f>IF(O171&gt;Demand!AV188,0,(IF(((2*(Retailers!AK170+Distributors_Cap!$P$47)-Retailers_Cap!$BB$7)*(Demand!AV188-Retailers_Cap!O171))&lt;0,0,((IF(BC171&gt;2*(Retailers!AK170+Distributors_Cap!$P$47),0,(IF(BH171=0,ROUNDUP((2*(Retailers!AK170+Distributors_Cap!$P$47)-BC171)^0.5,0),ROUNDUP((2*(Retailers!AK170+Distributors_Cap!$P$47)-BC171)^0.5,0)))))))))</f>
        <v/>
      </c>
      <c r="T171" s="2">
        <f>IF(P171&gt;Demand!AW188,0,(IF(((2*(Retailers!AL170+Distributors_Cap!$P$47)-Retailers_Cap!$BB$7)*(Demand!AW188-Retailers_Cap!P171))&lt;0,0,((IF(BD171&gt;2*(Retailers!AL170+Distributors_Cap!$P$47),0,(IF(BI171=0,ROUNDUP((2*(Retailers!AL170+Distributors_Cap!$P$47)-BD171)^0.5,0),ROUNDUP((2*(Retailers!AL170+Distributors_Cap!$P$47)-BD171)^0.5,0)))))))))</f>
        <v/>
      </c>
      <c r="W171" s="64" t="n">
        <v>175</v>
      </c>
      <c r="X171" s="9" t="n">
        <v>0</v>
      </c>
      <c r="Y171" s="9" t="n">
        <v>0</v>
      </c>
      <c r="Z171" s="9" t="n">
        <v>0</v>
      </c>
      <c r="AB171" s="2">
        <f>ROUNDDOWN(LOG((X171+1),2),0)</f>
        <v/>
      </c>
      <c r="AC171" s="2">
        <f>ROUNDDOWN(LOG((Y171+1),2),0)</f>
        <v/>
      </c>
      <c r="AD171" s="2">
        <f>ROUNDDOWN(LOG((Z171+1),2),0)</f>
        <v/>
      </c>
      <c r="AG171" s="64" t="n">
        <v>175</v>
      </c>
      <c r="AH171" s="9" t="n">
        <v>0</v>
      </c>
      <c r="AI171" s="9" t="n">
        <v>0</v>
      </c>
      <c r="AJ171" s="9" t="n">
        <v>0</v>
      </c>
      <c r="AQ171" s="64" t="n">
        <v>175</v>
      </c>
      <c r="AR171" s="64" t="n">
        <v>51.259</v>
      </c>
      <c r="AS171" s="64" t="n">
        <v>47.085</v>
      </c>
      <c r="AT171" s="64" t="n">
        <v>74.723</v>
      </c>
      <c r="AV171" s="64" t="n">
        <v>175</v>
      </c>
      <c r="AW171" s="64">
        <f>Beginning_stock!AT199</f>
        <v/>
      </c>
      <c r="AX171" s="64">
        <f>Beginning_stock!AU199</f>
        <v/>
      </c>
      <c r="AY171" s="64">
        <f>Beginning_stock!AV199</f>
        <v/>
      </c>
      <c r="BA171" s="64" t="n">
        <v>175</v>
      </c>
      <c r="BB171" s="64">
        <f>IF(Demand!AU188=Retailers_Cap!N171,"ret=0",(AW171/(Demand!AU188-Retailers_Cap!N171)))</f>
        <v/>
      </c>
      <c r="BC171" s="64">
        <f>IF(Demand!AV188=Retailers_Cap!O171,"ret=0",(AX171/(Demand!AV188-Retailers_Cap!O171)))</f>
        <v/>
      </c>
      <c r="BD171" s="64">
        <f>IF(Demand!AW188=Retailers_Cap!P171,"ret=0",(AY171/(Demand!AW188-Retailers_Cap!P171)))</f>
        <v/>
      </c>
      <c r="BF171" s="64" t="n">
        <v>175</v>
      </c>
      <c r="BG171" s="2">
        <f>IF(Demand!AU188&lt;=Retailers_Cap!N171,"ret=0",(IF(BB171&lt;=AR171+Distributors_Cap!$P$47,1,0)))</f>
        <v/>
      </c>
      <c r="BH171" s="2">
        <f>IF(Demand!AV188&lt;=Retailers_Cap!O171,"ret=0",(IF(BC171&lt;=AS171+Distributors_Cap!$P$47,1,0)))</f>
        <v/>
      </c>
      <c r="BI171" s="2">
        <f>IF(Demand!AW188&lt;=Retailers_Cap!P171,"ret=0",(IF(BD171&lt;=AT171+Distributors_Cap!$P$47,1,0)))</f>
        <v/>
      </c>
      <c r="BK171" s="64" t="n">
        <v>175</v>
      </c>
      <c r="BL171" s="64">
        <f>Retailers!BH170</f>
        <v/>
      </c>
      <c r="BM171" s="64">
        <f>Retailers!BI170</f>
        <v/>
      </c>
      <c r="BN171" s="64">
        <f>Retailers!BJ170</f>
        <v/>
      </c>
      <c r="BP171" s="64" t="n">
        <v>175</v>
      </c>
      <c r="BQ171" s="64">
        <f>#REF!</f>
        <v/>
      </c>
      <c r="BR171" s="64">
        <f>#REF!</f>
        <v/>
      </c>
      <c r="BS171" s="64">
        <f>#REF!</f>
        <v/>
      </c>
      <c r="BU171" s="64" t="n">
        <v>175</v>
      </c>
      <c r="BV171" s="64">
        <f>Retailers!AS170</f>
        <v/>
      </c>
      <c r="BW171" s="64">
        <f>Retailers!AT170</f>
        <v/>
      </c>
      <c r="BX171" s="64">
        <f>Retailers!AU170</f>
        <v/>
      </c>
      <c r="BZ171" s="64" t="n">
        <v>175</v>
      </c>
      <c r="CA171" s="64">
        <f>Results!#REF!</f>
        <v/>
      </c>
      <c r="CB171" s="64">
        <f>Results!#REF!</f>
        <v/>
      </c>
      <c r="CC171" s="64">
        <f>Results!#REF!</f>
        <v/>
      </c>
      <c r="CE171" s="64" t="n">
        <v>175</v>
      </c>
      <c r="CF171" s="64">
        <f>Retailers!BN170</f>
        <v/>
      </c>
      <c r="CG171" s="64">
        <f>Retailers!BO170</f>
        <v/>
      </c>
      <c r="CH171" s="64">
        <f>Retailers!BP170</f>
        <v/>
      </c>
      <c r="CJ171" s="64" t="n">
        <v>175</v>
      </c>
      <c r="CK171" s="64">
        <f>IF(BB171="ret=0",0,IF(BB171&gt;0,AR171+Distributors_Cap!$P$47-BB171,0))</f>
        <v/>
      </c>
      <c r="CL171" s="64">
        <f>IF(BC171="ret=0",0,IF(BC171&gt;0,AS171+Distributors_Cap!$P$47-BC171,0))</f>
        <v/>
      </c>
      <c r="CM171" s="64">
        <f>IF(BD171="ret=0",0,IF(BD171&gt;0,AT171+Distributors_Cap!$P$47-BD171,0))</f>
        <v/>
      </c>
    </row>
    <row r="172">
      <c r="G172" s="64" t="n">
        <v>176</v>
      </c>
      <c r="H172" s="64" t="n">
        <v>76.328</v>
      </c>
      <c r="I172" s="64" t="n">
        <v>59.529</v>
      </c>
      <c r="J172" s="64" t="n">
        <v>78.256</v>
      </c>
      <c r="L172" s="64">
        <f>TRUNC((_xlfn.NORM.INV((RAND()),$K$7,$K$8)),0)</f>
        <v/>
      </c>
      <c r="M172" s="64" t="n">
        <v>176</v>
      </c>
      <c r="N172" s="5" t="n">
        <v>16</v>
      </c>
      <c r="O172" s="5" t="n">
        <v>15</v>
      </c>
      <c r="P172" s="5" t="n">
        <v>28</v>
      </c>
      <c r="R172" s="2">
        <f>IF(N172&gt;Demand!AU189,0,(IF(((2*(Retailers!AJ171+Distributors_Cap!$P$47)-Retailers_Cap!$BB$7)*(Demand!AU189-Retailers_Cap!N172))&lt;0,0,((IF(BB172&gt;2*(Retailers!AJ171+Distributors_Cap!$P$47),0,(IF(BG172=0,ROUNDUP((2*(Retailers!AJ171+Distributors_Cap!$P$47)-BB172)^0.5,0),ROUNDUP((2*(Retailers!AJ171+Distributors_Cap!$P$47)-BB172)^0.5,0)))))))))</f>
        <v/>
      </c>
      <c r="S172" s="2">
        <f>IF(O172&gt;Demand!AV189,0,(IF(((2*(Retailers!AK171+Distributors_Cap!$P$47)-Retailers_Cap!$BB$7)*(Demand!AV189-Retailers_Cap!O172))&lt;0,0,((IF(BC172&gt;2*(Retailers!AK171+Distributors_Cap!$P$47),0,(IF(BH172=0,ROUNDUP((2*(Retailers!AK171+Distributors_Cap!$P$47)-BC172)^0.5,0),ROUNDUP((2*(Retailers!AK171+Distributors_Cap!$P$47)-BC172)^0.5,0)))))))))</f>
        <v/>
      </c>
      <c r="T172" s="2">
        <f>IF(P172&gt;Demand!AW189,0,(IF(((2*(Retailers!AL171+Distributors_Cap!$P$47)-Retailers_Cap!$BB$7)*(Demand!AW189-Retailers_Cap!P172))&lt;0,0,((IF(BD172&gt;2*(Retailers!AL171+Distributors_Cap!$P$47),0,(IF(BI172=0,ROUNDUP((2*(Retailers!AL171+Distributors_Cap!$P$47)-BD172)^0.5,0),ROUNDUP((2*(Retailers!AL171+Distributors_Cap!$P$47)-BD172)^0.5,0)))))))))</f>
        <v/>
      </c>
      <c r="W172" s="64" t="n">
        <v>176</v>
      </c>
      <c r="X172" s="9" t="n">
        <v>14</v>
      </c>
      <c r="Y172" s="9" t="n">
        <v>13</v>
      </c>
      <c r="Z172" s="9" t="n">
        <v>13</v>
      </c>
      <c r="AB172" s="2">
        <f>ROUNDDOWN(LOG((X172+1),2),0)</f>
        <v/>
      </c>
      <c r="AC172" s="2">
        <f>ROUNDDOWN(LOG((Y172+1),2),0)</f>
        <v/>
      </c>
      <c r="AD172" s="2">
        <f>ROUNDDOWN(LOG((Z172+1),2),0)</f>
        <v/>
      </c>
      <c r="AG172" s="64" t="n">
        <v>176</v>
      </c>
      <c r="AH172" s="9" t="n">
        <v>3</v>
      </c>
      <c r="AI172" s="9" t="n">
        <v>3</v>
      </c>
      <c r="AJ172" s="9" t="n">
        <v>3</v>
      </c>
      <c r="AQ172" s="64" t="n">
        <v>176</v>
      </c>
      <c r="AR172" s="64" t="n">
        <v>76.328</v>
      </c>
      <c r="AS172" s="64" t="n">
        <v>59.529</v>
      </c>
      <c r="AT172" s="64" t="n">
        <v>78.256</v>
      </c>
      <c r="AV172" s="64" t="n">
        <v>176</v>
      </c>
      <c r="AW172" s="64">
        <f>Beginning_stock!AT200</f>
        <v/>
      </c>
      <c r="AX172" s="64">
        <f>Beginning_stock!AU200</f>
        <v/>
      </c>
      <c r="AY172" s="64">
        <f>Beginning_stock!AV200</f>
        <v/>
      </c>
      <c r="BA172" s="64" t="n">
        <v>176</v>
      </c>
      <c r="BB172" s="64">
        <f>IF(Demand!AU189=Retailers_Cap!N172,"ret=0",(AW172/(Demand!AU189-Retailers_Cap!N172)))</f>
        <v/>
      </c>
      <c r="BC172" s="64">
        <f>IF(Demand!AV189=Retailers_Cap!O172,"ret=0",(AX172/(Demand!AV189-Retailers_Cap!O172)))</f>
        <v/>
      </c>
      <c r="BD172" s="64">
        <f>IF(Demand!AW189=Retailers_Cap!P172,"ret=0",(AY172/(Demand!AW189-Retailers_Cap!P172)))</f>
        <v/>
      </c>
      <c r="BF172" s="64" t="n">
        <v>176</v>
      </c>
      <c r="BG172" s="2">
        <f>IF(Demand!AU189&lt;=Retailers_Cap!N172,"ret=0",(IF(BB172&lt;=AR172+Distributors_Cap!$P$47,1,0)))</f>
        <v/>
      </c>
      <c r="BH172" s="2">
        <f>IF(Demand!AV189&lt;=Retailers_Cap!O172,"ret=0",(IF(BC172&lt;=AS172+Distributors_Cap!$P$47,1,0)))</f>
        <v/>
      </c>
      <c r="BI172" s="2">
        <f>IF(Demand!AW189&lt;=Retailers_Cap!P172,"ret=0",(IF(BD172&lt;=AT172+Distributors_Cap!$P$47,1,0)))</f>
        <v/>
      </c>
      <c r="BK172" s="64" t="n">
        <v>176</v>
      </c>
      <c r="BL172" s="64">
        <f>Retailers!BH171</f>
        <v/>
      </c>
      <c r="BM172" s="64">
        <f>Retailers!BI171</f>
        <v/>
      </c>
      <c r="BN172" s="64">
        <f>Retailers!BJ171</f>
        <v/>
      </c>
      <c r="BP172" s="64" t="n">
        <v>176</v>
      </c>
      <c r="BQ172" s="64">
        <f>#REF!</f>
        <v/>
      </c>
      <c r="BR172" s="64">
        <f>#REF!</f>
        <v/>
      </c>
      <c r="BS172" s="64">
        <f>#REF!</f>
        <v/>
      </c>
      <c r="BU172" s="64" t="n">
        <v>176</v>
      </c>
      <c r="BV172" s="64">
        <f>Retailers!AS171</f>
        <v/>
      </c>
      <c r="BW172" s="64">
        <f>Retailers!AT171</f>
        <v/>
      </c>
      <c r="BX172" s="64">
        <f>Retailers!AU171</f>
        <v/>
      </c>
      <c r="BZ172" s="64" t="n">
        <v>176</v>
      </c>
      <c r="CA172" s="64">
        <f>Results!#REF!</f>
        <v/>
      </c>
      <c r="CB172" s="64">
        <f>Results!#REF!</f>
        <v/>
      </c>
      <c r="CC172" s="64">
        <f>Results!#REF!</f>
        <v/>
      </c>
      <c r="CE172" s="64" t="n">
        <v>176</v>
      </c>
      <c r="CF172" s="64">
        <f>Retailers!BN171</f>
        <v/>
      </c>
      <c r="CG172" s="64">
        <f>Retailers!BO171</f>
        <v/>
      </c>
      <c r="CH172" s="64">
        <f>Retailers!BP171</f>
        <v/>
      </c>
      <c r="CJ172" s="64" t="n">
        <v>176</v>
      </c>
      <c r="CK172" s="64">
        <f>IF(BB172="ret=0",0,IF(BB172&gt;0,AR172+Distributors_Cap!$P$47-BB172,0))</f>
        <v/>
      </c>
      <c r="CL172" s="64">
        <f>IF(BC172="ret=0",0,IF(BC172&gt;0,AS172+Distributors_Cap!$P$47-BC172,0))</f>
        <v/>
      </c>
      <c r="CM172" s="64">
        <f>IF(BD172="ret=0",0,IF(BD172&gt;0,AT172+Distributors_Cap!$P$47-BD172,0))</f>
        <v/>
      </c>
    </row>
    <row r="173">
      <c r="G173" s="64" t="n">
        <v>177</v>
      </c>
      <c r="H173" s="64" t="n">
        <v>61.991</v>
      </c>
      <c r="I173" s="64" t="n">
        <v>50.447</v>
      </c>
      <c r="J173" s="64" t="n">
        <v>44.912</v>
      </c>
      <c r="L173" s="64">
        <f>TRUNC((_xlfn.NORM.INV((RAND()),$K$7,$K$8)),0)</f>
        <v/>
      </c>
      <c r="M173" s="64" t="n">
        <v>177</v>
      </c>
      <c r="N173" s="5" t="n">
        <v>27</v>
      </c>
      <c r="O173" s="5" t="n">
        <v>22</v>
      </c>
      <c r="P173" s="5" t="n">
        <v>28</v>
      </c>
      <c r="R173" s="2">
        <f>IF(N173&gt;Demand!AU190,0,(IF(((2*(Retailers!AJ172+Distributors_Cap!$P$47)-Retailers_Cap!$BB$7)*(Demand!AU190-Retailers_Cap!N173))&lt;0,0,((IF(BB173&gt;2*(Retailers!AJ172+Distributors_Cap!$P$47),0,(IF(BG173=0,ROUNDUP((2*(Retailers!AJ172+Distributors_Cap!$P$47)-BB173)^0.5,0),ROUNDUP((2*(Retailers!AJ172+Distributors_Cap!$P$47)-BB173)^0.5,0)))))))))</f>
        <v/>
      </c>
      <c r="S173" s="2">
        <f>IF(O173&gt;Demand!AV190,0,(IF(((2*(Retailers!AK172+Distributors_Cap!$P$47)-Retailers_Cap!$BB$7)*(Demand!AV190-Retailers_Cap!O173))&lt;0,0,((IF(BC173&gt;2*(Retailers!AK172+Distributors_Cap!$P$47),0,(IF(BH173=0,ROUNDUP((2*(Retailers!AK172+Distributors_Cap!$P$47)-BC173)^0.5,0),ROUNDUP((2*(Retailers!AK172+Distributors_Cap!$P$47)-BC173)^0.5,0)))))))))</f>
        <v/>
      </c>
      <c r="T173" s="2">
        <f>IF(P173&gt;Demand!AW190,0,(IF(((2*(Retailers!AL172+Distributors_Cap!$P$47)-Retailers_Cap!$BB$7)*(Demand!AW190-Retailers_Cap!P173))&lt;0,0,((IF(BD173&gt;2*(Retailers!AL172+Distributors_Cap!$P$47),0,(IF(BI173=0,ROUNDUP((2*(Retailers!AL172+Distributors_Cap!$P$47)-BD173)^0.5,0),ROUNDUP((2*(Retailers!AL172+Distributors_Cap!$P$47)-BD173)^0.5,0)))))))))</f>
        <v/>
      </c>
      <c r="W173" s="64" t="n">
        <v>177</v>
      </c>
      <c r="X173" s="9" t="n">
        <v>0</v>
      </c>
      <c r="Y173" s="9" t="n">
        <v>10</v>
      </c>
      <c r="Z173" s="9" t="n">
        <v>0</v>
      </c>
      <c r="AB173" s="2">
        <f>ROUNDDOWN(LOG((X173+1),2),0)</f>
        <v/>
      </c>
      <c r="AC173" s="2">
        <f>ROUNDDOWN(LOG((Y173+1),2),0)</f>
        <v/>
      </c>
      <c r="AD173" s="2">
        <f>ROUNDDOWN(LOG((Z173+1),2),0)</f>
        <v/>
      </c>
      <c r="AG173" s="64" t="n">
        <v>177</v>
      </c>
      <c r="AH173" s="9" t="n">
        <v>0</v>
      </c>
      <c r="AI173" s="9" t="n">
        <v>3</v>
      </c>
      <c r="AJ173" s="9" t="n">
        <v>0</v>
      </c>
      <c r="AQ173" s="64" t="n">
        <v>177</v>
      </c>
      <c r="AR173" s="64" t="n">
        <v>61.991</v>
      </c>
      <c r="AS173" s="64" t="n">
        <v>50.447</v>
      </c>
      <c r="AT173" s="64" t="n">
        <v>44.912</v>
      </c>
      <c r="AV173" s="64" t="n">
        <v>177</v>
      </c>
      <c r="AW173" s="64">
        <f>Beginning_stock!AT201</f>
        <v/>
      </c>
      <c r="AX173" s="64">
        <f>Beginning_stock!AU201</f>
        <v/>
      </c>
      <c r="AY173" s="64">
        <f>Beginning_stock!AV201</f>
        <v/>
      </c>
      <c r="BA173" s="64" t="n">
        <v>177</v>
      </c>
      <c r="BB173" s="64">
        <f>IF(Demand!AU190=Retailers_Cap!N173,"ret=0",(AW173/(Demand!AU190-Retailers_Cap!N173)))</f>
        <v/>
      </c>
      <c r="BC173" s="64">
        <f>IF(Demand!AV190=Retailers_Cap!O173,"ret=0",(AX173/(Demand!AV190-Retailers_Cap!O173)))</f>
        <v/>
      </c>
      <c r="BD173" s="64">
        <f>IF(Demand!AW190=Retailers_Cap!P173,"ret=0",(AY173/(Demand!AW190-Retailers_Cap!P173)))</f>
        <v/>
      </c>
      <c r="BF173" s="64" t="n">
        <v>177</v>
      </c>
      <c r="BG173" s="2">
        <f>IF(Demand!AU190&lt;=Retailers_Cap!N173,"ret=0",(IF(BB173&lt;=AR173+Distributors_Cap!$P$47,1,0)))</f>
        <v/>
      </c>
      <c r="BH173" s="2">
        <f>IF(Demand!AV190&lt;=Retailers_Cap!O173,"ret=0",(IF(BC173&lt;=AS173+Distributors_Cap!$P$47,1,0)))</f>
        <v/>
      </c>
      <c r="BI173" s="2">
        <f>IF(Demand!AW190&lt;=Retailers_Cap!P173,"ret=0",(IF(BD173&lt;=AT173+Distributors_Cap!$P$47,1,0)))</f>
        <v/>
      </c>
      <c r="BK173" s="64" t="n">
        <v>177</v>
      </c>
      <c r="BL173" s="64">
        <f>Retailers!BH172</f>
        <v/>
      </c>
      <c r="BM173" s="64">
        <f>Retailers!BI172</f>
        <v/>
      </c>
      <c r="BN173" s="64">
        <f>Retailers!BJ172</f>
        <v/>
      </c>
      <c r="BP173" s="64" t="n">
        <v>177</v>
      </c>
      <c r="BQ173" s="64">
        <f>#REF!</f>
        <v/>
      </c>
      <c r="BR173" s="64">
        <f>#REF!</f>
        <v/>
      </c>
      <c r="BS173" s="64">
        <f>#REF!</f>
        <v/>
      </c>
      <c r="BU173" s="64" t="n">
        <v>177</v>
      </c>
      <c r="BV173" s="64">
        <f>Retailers!AS172</f>
        <v/>
      </c>
      <c r="BW173" s="64">
        <f>Retailers!AT172</f>
        <v/>
      </c>
      <c r="BX173" s="64">
        <f>Retailers!AU172</f>
        <v/>
      </c>
      <c r="BZ173" s="64" t="n">
        <v>177</v>
      </c>
      <c r="CA173" s="64">
        <f>Results!#REF!</f>
        <v/>
      </c>
      <c r="CB173" s="64">
        <f>Results!#REF!</f>
        <v/>
      </c>
      <c r="CC173" s="64">
        <f>Results!#REF!</f>
        <v/>
      </c>
      <c r="CE173" s="64" t="n">
        <v>177</v>
      </c>
      <c r="CF173" s="64">
        <f>Retailers!BN172</f>
        <v/>
      </c>
      <c r="CG173" s="64">
        <f>Retailers!BO172</f>
        <v/>
      </c>
      <c r="CH173" s="64">
        <f>Retailers!BP172</f>
        <v/>
      </c>
      <c r="CJ173" s="64" t="n">
        <v>177</v>
      </c>
      <c r="CK173" s="64">
        <f>IF(BB173="ret=0",0,IF(BB173&gt;0,AR173+Distributors_Cap!$P$47-BB173,0))</f>
        <v/>
      </c>
      <c r="CL173" s="64">
        <f>IF(BC173="ret=0",0,IF(BC173&gt;0,AS173+Distributors_Cap!$P$47-BC173,0))</f>
        <v/>
      </c>
      <c r="CM173" s="64">
        <f>IF(BD173="ret=0",0,IF(BD173&gt;0,AT173+Distributors_Cap!$P$47-BD173,0))</f>
        <v/>
      </c>
    </row>
    <row r="174">
      <c r="G174" s="64" t="n">
        <v>178</v>
      </c>
      <c r="H174" s="64" t="n">
        <v>70.702</v>
      </c>
      <c r="I174" s="64" t="n">
        <v>62.289</v>
      </c>
      <c r="J174" s="64" t="n">
        <v>57.974</v>
      </c>
      <c r="L174" s="64">
        <f>TRUNC((_xlfn.NORM.INV((RAND()),$K$7,$K$8)),0)</f>
        <v/>
      </c>
      <c r="M174" s="64" t="n">
        <v>178</v>
      </c>
      <c r="N174" s="5" t="n">
        <v>44</v>
      </c>
      <c r="O174" s="5" t="n">
        <v>36</v>
      </c>
      <c r="P174" s="5" t="n">
        <v>25</v>
      </c>
      <c r="R174" s="2">
        <f>IF(N174&gt;Demand!AU191,0,(IF(((2*(Retailers!AJ173+Distributors_Cap!$P$47)-Retailers_Cap!$BB$7)*(Demand!AU191-Retailers_Cap!N174))&lt;0,0,((IF(BB174&gt;2*(Retailers!AJ173+Distributors_Cap!$P$47),0,(IF(BG174=0,ROUNDUP((2*(Retailers!AJ173+Distributors_Cap!$P$47)-BB174)^0.5,0),ROUNDUP((2*(Retailers!AJ173+Distributors_Cap!$P$47)-BB174)^0.5,0)))))))))</f>
        <v/>
      </c>
      <c r="S174" s="2">
        <f>IF(O174&gt;Demand!AV191,0,(IF(((2*(Retailers!AK173+Distributors_Cap!$P$47)-Retailers_Cap!$BB$7)*(Demand!AV191-Retailers_Cap!O174))&lt;0,0,((IF(BC174&gt;2*(Retailers!AK173+Distributors_Cap!$P$47),0,(IF(BH174=0,ROUNDUP((2*(Retailers!AK173+Distributors_Cap!$P$47)-BC174)^0.5,0),ROUNDUP((2*(Retailers!AK173+Distributors_Cap!$P$47)-BC174)^0.5,0)))))))))</f>
        <v/>
      </c>
      <c r="T174" s="2">
        <f>IF(P174&gt;Demand!AW191,0,(IF(((2*(Retailers!AL173+Distributors_Cap!$P$47)-Retailers_Cap!$BB$7)*(Demand!AW191-Retailers_Cap!P174))&lt;0,0,((IF(BD174&gt;2*(Retailers!AL173+Distributors_Cap!$P$47),0,(IF(BI174=0,ROUNDUP((2*(Retailers!AL173+Distributors_Cap!$P$47)-BD174)^0.5,0),ROUNDUP((2*(Retailers!AL173+Distributors_Cap!$P$47)-BD174)^0.5,0)))))))))</f>
        <v/>
      </c>
      <c r="W174" s="64" t="n">
        <v>178</v>
      </c>
      <c r="X174" s="9" t="n">
        <v>0</v>
      </c>
      <c r="Y174" s="9" t="n">
        <v>13</v>
      </c>
      <c r="Z174" s="9" t="n">
        <v>10</v>
      </c>
      <c r="AB174" s="2">
        <f>ROUNDDOWN(LOG((X174+1),2),0)</f>
        <v/>
      </c>
      <c r="AC174" s="2">
        <f>ROUNDDOWN(LOG((Y174+1),2),0)</f>
        <v/>
      </c>
      <c r="AD174" s="2">
        <f>ROUNDDOWN(LOG((Z174+1),2),0)</f>
        <v/>
      </c>
      <c r="AG174" s="64" t="n">
        <v>178</v>
      </c>
      <c r="AH174" s="9" t="n">
        <v>0</v>
      </c>
      <c r="AI174" s="9" t="n">
        <v>3</v>
      </c>
      <c r="AJ174" s="9" t="n">
        <v>3</v>
      </c>
      <c r="AQ174" s="64" t="n">
        <v>178</v>
      </c>
      <c r="AR174" s="64" t="n">
        <v>70.702</v>
      </c>
      <c r="AS174" s="64" t="n">
        <v>62.289</v>
      </c>
      <c r="AT174" s="64" t="n">
        <v>57.974</v>
      </c>
      <c r="AV174" s="64" t="n">
        <v>178</v>
      </c>
      <c r="AW174" s="64">
        <f>Beginning_stock!AT202</f>
        <v/>
      </c>
      <c r="AX174" s="64">
        <f>Beginning_stock!AU202</f>
        <v/>
      </c>
      <c r="AY174" s="64">
        <f>Beginning_stock!AV202</f>
        <v/>
      </c>
      <c r="BA174" s="64" t="n">
        <v>178</v>
      </c>
      <c r="BB174" s="64">
        <f>IF(Demand!AU191=Retailers_Cap!N174,"ret=0",(AW174/(Demand!AU191-Retailers_Cap!N174)))</f>
        <v/>
      </c>
      <c r="BC174" s="64">
        <f>IF(Demand!AV191=Retailers_Cap!O174,"ret=0",(AX174/(Demand!AV191-Retailers_Cap!O174)))</f>
        <v/>
      </c>
      <c r="BD174" s="64">
        <f>IF(Demand!AW191=Retailers_Cap!P174,"ret=0",(AY174/(Demand!AW191-Retailers_Cap!P174)))</f>
        <v/>
      </c>
      <c r="BF174" s="64" t="n">
        <v>178</v>
      </c>
      <c r="BG174" s="2">
        <f>IF(Demand!AU191&lt;=Retailers_Cap!N174,"ret=0",(IF(BB174&lt;=AR174+Distributors_Cap!$P$47,1,0)))</f>
        <v/>
      </c>
      <c r="BH174" s="2">
        <f>IF(Demand!AV191&lt;=Retailers_Cap!O174,"ret=0",(IF(BC174&lt;=AS174+Distributors_Cap!$P$47,1,0)))</f>
        <v/>
      </c>
      <c r="BI174" s="2">
        <f>IF(Demand!AW191&lt;=Retailers_Cap!P174,"ret=0",(IF(BD174&lt;=AT174+Distributors_Cap!$P$47,1,0)))</f>
        <v/>
      </c>
      <c r="BK174" s="64" t="n">
        <v>178</v>
      </c>
      <c r="BL174" s="64">
        <f>Retailers!BH173</f>
        <v/>
      </c>
      <c r="BM174" s="64">
        <f>Retailers!BI173</f>
        <v/>
      </c>
      <c r="BN174" s="64">
        <f>Retailers!BJ173</f>
        <v/>
      </c>
      <c r="BP174" s="64" t="n">
        <v>178</v>
      </c>
      <c r="BQ174" s="64">
        <f>#REF!</f>
        <v/>
      </c>
      <c r="BR174" s="64">
        <f>#REF!</f>
        <v/>
      </c>
      <c r="BS174" s="64">
        <f>#REF!</f>
        <v/>
      </c>
      <c r="BU174" s="64" t="n">
        <v>178</v>
      </c>
      <c r="BV174" s="64">
        <f>Retailers!AS173</f>
        <v/>
      </c>
      <c r="BW174" s="64">
        <f>Retailers!AT173</f>
        <v/>
      </c>
      <c r="BX174" s="64">
        <f>Retailers!AU173</f>
        <v/>
      </c>
      <c r="BZ174" s="64" t="n">
        <v>178</v>
      </c>
      <c r="CA174" s="64">
        <f>Results!#REF!</f>
        <v/>
      </c>
      <c r="CB174" s="64">
        <f>Results!#REF!</f>
        <v/>
      </c>
      <c r="CC174" s="64">
        <f>Results!#REF!</f>
        <v/>
      </c>
      <c r="CE174" s="64" t="n">
        <v>178</v>
      </c>
      <c r="CF174" s="64">
        <f>Retailers!BN173</f>
        <v/>
      </c>
      <c r="CG174" s="64">
        <f>Retailers!BO173</f>
        <v/>
      </c>
      <c r="CH174" s="64">
        <f>Retailers!BP173</f>
        <v/>
      </c>
      <c r="CJ174" s="64" t="n">
        <v>178</v>
      </c>
      <c r="CK174" s="64">
        <f>IF(BB174="ret=0",0,IF(BB174&gt;0,AR174+Distributors_Cap!$P$47-BB174,0))</f>
        <v/>
      </c>
      <c r="CL174" s="64">
        <f>IF(BC174="ret=0",0,IF(BC174&gt;0,AS174+Distributors_Cap!$P$47-BC174,0))</f>
        <v/>
      </c>
      <c r="CM174" s="64">
        <f>IF(BD174="ret=0",0,IF(BD174&gt;0,AT174+Distributors_Cap!$P$47-BD174,0))</f>
        <v/>
      </c>
    </row>
    <row r="175">
      <c r="G175" s="64" t="n">
        <v>179</v>
      </c>
      <c r="H175" s="64" t="n">
        <v>49.258</v>
      </c>
      <c r="I175" s="64" t="n">
        <v>86.279</v>
      </c>
      <c r="J175" s="64" t="n">
        <v>81.41200000000001</v>
      </c>
      <c r="L175" s="64">
        <f>TRUNC((_xlfn.NORM.INV((RAND()),$K$7,$K$8)),0)</f>
        <v/>
      </c>
      <c r="M175" s="64" t="n">
        <v>179</v>
      </c>
      <c r="N175" s="5" t="n">
        <v>32</v>
      </c>
      <c r="O175" s="5" t="n">
        <v>28</v>
      </c>
      <c r="P175" s="5" t="n">
        <v>18</v>
      </c>
      <c r="R175" s="2">
        <f>IF(N175&gt;Demand!AU192,0,(IF(((2*(Retailers!AJ174+Distributors_Cap!$P$47)-Retailers_Cap!$BB$7)*(Demand!AU192-Retailers_Cap!N175))&lt;0,0,((IF(BB175&gt;2*(Retailers!AJ174+Distributors_Cap!$P$47),0,(IF(BG175=0,ROUNDUP((2*(Retailers!AJ174+Distributors_Cap!$P$47)-BB175)^0.5,0),ROUNDUP((2*(Retailers!AJ174+Distributors_Cap!$P$47)-BB175)^0.5,0)))))))))</f>
        <v/>
      </c>
      <c r="S175" s="2">
        <f>IF(O175&gt;Demand!AV192,0,(IF(((2*(Retailers!AK174+Distributors_Cap!$P$47)-Retailers_Cap!$BB$7)*(Demand!AV192-Retailers_Cap!O175))&lt;0,0,((IF(BC175&gt;2*(Retailers!AK174+Distributors_Cap!$P$47),0,(IF(BH175=0,ROUNDUP((2*(Retailers!AK174+Distributors_Cap!$P$47)-BC175)^0.5,0),ROUNDUP((2*(Retailers!AK174+Distributors_Cap!$P$47)-BC175)^0.5,0)))))))))</f>
        <v/>
      </c>
      <c r="T175" s="2">
        <f>IF(P175&gt;Demand!AW192,0,(IF(((2*(Retailers!AL174+Distributors_Cap!$P$47)-Retailers_Cap!$BB$7)*(Demand!AW192-Retailers_Cap!P175))&lt;0,0,((IF(BD175&gt;2*(Retailers!AL174+Distributors_Cap!$P$47),0,(IF(BI175=0,ROUNDUP((2*(Retailers!AL174+Distributors_Cap!$P$47)-BD175)^0.5,0),ROUNDUP((2*(Retailers!AL174+Distributors_Cap!$P$47)-BD175)^0.5,0)))))))))</f>
        <v/>
      </c>
      <c r="W175" s="64" t="n">
        <v>179</v>
      </c>
      <c r="X175" s="9" t="n">
        <v>0</v>
      </c>
      <c r="Y175" s="9" t="n">
        <v>0</v>
      </c>
      <c r="Z175" s="9" t="n">
        <v>0</v>
      </c>
      <c r="AB175" s="2">
        <f>ROUNDDOWN(LOG((X175+1),2),0)</f>
        <v/>
      </c>
      <c r="AC175" s="2">
        <f>ROUNDDOWN(LOG((Y175+1),2),0)</f>
        <v/>
      </c>
      <c r="AD175" s="2">
        <f>ROUNDDOWN(LOG((Z175+1),2),0)</f>
        <v/>
      </c>
      <c r="AG175" s="64" t="n">
        <v>179</v>
      </c>
      <c r="AH175" s="9" t="n">
        <v>0</v>
      </c>
      <c r="AI175" s="9" t="n">
        <v>0</v>
      </c>
      <c r="AJ175" s="9" t="n">
        <v>0</v>
      </c>
      <c r="AQ175" s="64" t="n">
        <v>179</v>
      </c>
      <c r="AR175" s="64" t="n">
        <v>49.258</v>
      </c>
      <c r="AS175" s="64" t="n">
        <v>86.279</v>
      </c>
      <c r="AT175" s="64" t="n">
        <v>81.41200000000001</v>
      </c>
      <c r="AV175" s="64" t="n">
        <v>179</v>
      </c>
      <c r="AW175" s="64">
        <f>Beginning_stock!AT203</f>
        <v/>
      </c>
      <c r="AX175" s="64">
        <f>Beginning_stock!AU203</f>
        <v/>
      </c>
      <c r="AY175" s="64">
        <f>Beginning_stock!AV203</f>
        <v/>
      </c>
      <c r="BA175" s="64" t="n">
        <v>179</v>
      </c>
      <c r="BB175" s="64">
        <f>IF(Demand!AU192=Retailers_Cap!N175,"ret=0",(AW175/(Demand!AU192-Retailers_Cap!N175)))</f>
        <v/>
      </c>
      <c r="BC175" s="64">
        <f>IF(Demand!AV192=Retailers_Cap!O175,"ret=0",(AX175/(Demand!AV192-Retailers_Cap!O175)))</f>
        <v/>
      </c>
      <c r="BD175" s="64">
        <f>IF(Demand!AW192=Retailers_Cap!P175,"ret=0",(AY175/(Demand!AW192-Retailers_Cap!P175)))</f>
        <v/>
      </c>
      <c r="BF175" s="64" t="n">
        <v>179</v>
      </c>
      <c r="BG175" s="2">
        <f>IF(Demand!AU192&lt;=Retailers_Cap!N175,"ret=0",(IF(BB175&lt;=AR175+Distributors_Cap!$P$47,1,0)))</f>
        <v/>
      </c>
      <c r="BH175" s="2">
        <f>IF(Demand!AV192&lt;=Retailers_Cap!O175,"ret=0",(IF(BC175&lt;=AS175+Distributors_Cap!$P$47,1,0)))</f>
        <v/>
      </c>
      <c r="BI175" s="2">
        <f>IF(Demand!AW192&lt;=Retailers_Cap!P175,"ret=0",(IF(BD175&lt;=AT175+Distributors_Cap!$P$47,1,0)))</f>
        <v/>
      </c>
      <c r="BK175" s="64" t="n">
        <v>179</v>
      </c>
      <c r="BL175" s="64">
        <f>Retailers!BH174</f>
        <v/>
      </c>
      <c r="BM175" s="64">
        <f>Retailers!BI174</f>
        <v/>
      </c>
      <c r="BN175" s="64">
        <f>Retailers!BJ174</f>
        <v/>
      </c>
      <c r="BP175" s="64" t="n">
        <v>179</v>
      </c>
      <c r="BQ175" s="64">
        <f>#REF!</f>
        <v/>
      </c>
      <c r="BR175" s="64">
        <f>#REF!</f>
        <v/>
      </c>
      <c r="BS175" s="64">
        <f>#REF!</f>
        <v/>
      </c>
      <c r="BU175" s="64" t="n">
        <v>179</v>
      </c>
      <c r="BV175" s="64">
        <f>Retailers!AS174</f>
        <v/>
      </c>
      <c r="BW175" s="64">
        <f>Retailers!AT174</f>
        <v/>
      </c>
      <c r="BX175" s="64">
        <f>Retailers!AU174</f>
        <v/>
      </c>
      <c r="BZ175" s="64" t="n">
        <v>179</v>
      </c>
      <c r="CA175" s="64">
        <f>Results!#REF!</f>
        <v/>
      </c>
      <c r="CB175" s="64">
        <f>Results!#REF!</f>
        <v/>
      </c>
      <c r="CC175" s="64">
        <f>Results!#REF!</f>
        <v/>
      </c>
      <c r="CE175" s="64" t="n">
        <v>179</v>
      </c>
      <c r="CF175" s="64">
        <f>Retailers!BN174</f>
        <v/>
      </c>
      <c r="CG175" s="64">
        <f>Retailers!BO174</f>
        <v/>
      </c>
      <c r="CH175" s="64">
        <f>Retailers!BP174</f>
        <v/>
      </c>
      <c r="CJ175" s="64" t="n">
        <v>179</v>
      </c>
      <c r="CK175" s="64">
        <f>IF(BB175="ret=0",0,IF(BB175&gt;0,AR175+Distributors_Cap!$P$47-BB175,0))</f>
        <v/>
      </c>
      <c r="CL175" s="64">
        <f>IF(BC175="ret=0",0,IF(BC175&gt;0,AS175+Distributors_Cap!$P$47-BC175,0))</f>
        <v/>
      </c>
      <c r="CM175" s="64">
        <f>IF(BD175="ret=0",0,IF(BD175&gt;0,AT175+Distributors_Cap!$P$47-BD175,0))</f>
        <v/>
      </c>
    </row>
    <row r="176">
      <c r="G176" s="64" t="n">
        <v>180</v>
      </c>
      <c r="H176" s="64" t="n">
        <v>54.315</v>
      </c>
      <c r="I176" s="64" t="n">
        <v>69.72799999999999</v>
      </c>
      <c r="J176" s="64" t="n">
        <v>66.7</v>
      </c>
      <c r="L176" s="64">
        <f>TRUNC((_xlfn.NORM.INV((RAND()),$K$7,$K$8)),0)</f>
        <v/>
      </c>
      <c r="M176" s="64" t="n">
        <v>180</v>
      </c>
      <c r="N176" s="5" t="n">
        <v>33</v>
      </c>
      <c r="O176" s="5" t="n">
        <v>19</v>
      </c>
      <c r="P176" s="5" t="n">
        <v>23</v>
      </c>
      <c r="R176" s="2">
        <f>IF(N176&gt;Demand!AU193,0,(IF(((2*(Retailers!AJ175+Distributors_Cap!$P$47)-Retailers_Cap!$BB$7)*(Demand!AU193-Retailers_Cap!N176))&lt;0,0,((IF(BB176&gt;2*(Retailers!AJ175+Distributors_Cap!$P$47),0,(IF(BG176=0,ROUNDUP((2*(Retailers!AJ175+Distributors_Cap!$P$47)-BB176)^0.5,0),ROUNDUP((2*(Retailers!AJ175+Distributors_Cap!$P$47)-BB176)^0.5,0)))))))))</f>
        <v/>
      </c>
      <c r="S176" s="2">
        <f>IF(O176&gt;Demand!AV193,0,(IF(((2*(Retailers!AK175+Distributors_Cap!$P$47)-Retailers_Cap!$BB$7)*(Demand!AV193-Retailers_Cap!O176))&lt;0,0,((IF(BC176&gt;2*(Retailers!AK175+Distributors_Cap!$P$47),0,(IF(BH176=0,ROUNDUP((2*(Retailers!AK175+Distributors_Cap!$P$47)-BC176)^0.5,0),ROUNDUP((2*(Retailers!AK175+Distributors_Cap!$P$47)-BC176)^0.5,0)))))))))</f>
        <v/>
      </c>
      <c r="T176" s="2">
        <f>IF(P176&gt;Demand!AW193,0,(IF(((2*(Retailers!AL175+Distributors_Cap!$P$47)-Retailers_Cap!$BB$7)*(Demand!AW193-Retailers_Cap!P176))&lt;0,0,((IF(BD176&gt;2*(Retailers!AL175+Distributors_Cap!$P$47),0,(IF(BI176=0,ROUNDUP((2*(Retailers!AL175+Distributors_Cap!$P$47)-BD176)^0.5,0),ROUNDUP((2*(Retailers!AL175+Distributors_Cap!$P$47)-BD176)^0.5,0)))))))))</f>
        <v/>
      </c>
      <c r="W176" s="64" t="n">
        <v>180</v>
      </c>
      <c r="X176" s="9" t="n">
        <v>0</v>
      </c>
      <c r="Y176" s="9" t="n">
        <v>11</v>
      </c>
      <c r="Z176" s="9" t="n">
        <v>10</v>
      </c>
      <c r="AB176" s="2">
        <f>ROUNDDOWN(LOG((X176+1),2),0)</f>
        <v/>
      </c>
      <c r="AC176" s="2">
        <f>ROUNDDOWN(LOG((Y176+1),2),0)</f>
        <v/>
      </c>
      <c r="AD176" s="2">
        <f>ROUNDDOWN(LOG((Z176+1),2),0)</f>
        <v/>
      </c>
      <c r="AG176" s="64" t="n">
        <v>180</v>
      </c>
      <c r="AH176" s="9" t="n">
        <v>0</v>
      </c>
      <c r="AI176" s="9" t="n">
        <v>3</v>
      </c>
      <c r="AJ176" s="9" t="n">
        <v>3</v>
      </c>
      <c r="AQ176" s="64" t="n">
        <v>180</v>
      </c>
      <c r="AR176" s="64" t="n">
        <v>54.315</v>
      </c>
      <c r="AS176" s="64" t="n">
        <v>69.72799999999999</v>
      </c>
      <c r="AT176" s="64" t="n">
        <v>66.7</v>
      </c>
      <c r="AV176" s="64" t="n">
        <v>180</v>
      </c>
      <c r="AW176" s="64">
        <f>Beginning_stock!AT204</f>
        <v/>
      </c>
      <c r="AX176" s="64">
        <f>Beginning_stock!AU204</f>
        <v/>
      </c>
      <c r="AY176" s="64">
        <f>Beginning_stock!AV204</f>
        <v/>
      </c>
      <c r="BA176" s="64" t="n">
        <v>180</v>
      </c>
      <c r="BB176" s="64">
        <f>IF(Demand!AU193=Retailers_Cap!N176,"ret=0",(AW176/(Demand!AU193-Retailers_Cap!N176)))</f>
        <v/>
      </c>
      <c r="BC176" s="64">
        <f>IF(Demand!AV193=Retailers_Cap!O176,"ret=0",(AX176/(Demand!AV193-Retailers_Cap!O176)))</f>
        <v/>
      </c>
      <c r="BD176" s="64">
        <f>IF(Demand!AW193=Retailers_Cap!P176,"ret=0",(AY176/(Demand!AW193-Retailers_Cap!P176)))</f>
        <v/>
      </c>
      <c r="BF176" s="64" t="n">
        <v>180</v>
      </c>
      <c r="BG176" s="2">
        <f>IF(Demand!AU193&lt;=Retailers_Cap!N176,"ret=0",(IF(BB176&lt;=AR176+Distributors_Cap!$P$47,1,0)))</f>
        <v/>
      </c>
      <c r="BH176" s="2">
        <f>IF(Demand!AV193&lt;=Retailers_Cap!O176,"ret=0",(IF(BC176&lt;=AS176+Distributors_Cap!$P$47,1,0)))</f>
        <v/>
      </c>
      <c r="BI176" s="2">
        <f>IF(Demand!AW193&lt;=Retailers_Cap!P176,"ret=0",(IF(BD176&lt;=AT176+Distributors_Cap!$P$47,1,0)))</f>
        <v/>
      </c>
      <c r="BK176" s="64" t="n">
        <v>180</v>
      </c>
      <c r="BL176" s="64">
        <f>Retailers!BH175</f>
        <v/>
      </c>
      <c r="BM176" s="64">
        <f>Retailers!BI175</f>
        <v/>
      </c>
      <c r="BN176" s="64">
        <f>Retailers!BJ175</f>
        <v/>
      </c>
      <c r="BP176" s="64" t="n">
        <v>180</v>
      </c>
      <c r="BQ176" s="64">
        <f>#REF!</f>
        <v/>
      </c>
      <c r="BR176" s="64">
        <f>#REF!</f>
        <v/>
      </c>
      <c r="BS176" s="64">
        <f>#REF!</f>
        <v/>
      </c>
      <c r="BU176" s="64" t="n">
        <v>180</v>
      </c>
      <c r="BV176" s="64">
        <f>Retailers!AS175</f>
        <v/>
      </c>
      <c r="BW176" s="64">
        <f>Retailers!AT175</f>
        <v/>
      </c>
      <c r="BX176" s="64">
        <f>Retailers!AU175</f>
        <v/>
      </c>
      <c r="BZ176" s="64" t="n">
        <v>180</v>
      </c>
      <c r="CA176" s="64">
        <f>Results!#REF!</f>
        <v/>
      </c>
      <c r="CB176" s="64">
        <f>Results!#REF!</f>
        <v/>
      </c>
      <c r="CC176" s="64">
        <f>Results!#REF!</f>
        <v/>
      </c>
      <c r="CE176" s="64" t="n">
        <v>180</v>
      </c>
      <c r="CF176" s="64">
        <f>Retailers!BN175</f>
        <v/>
      </c>
      <c r="CG176" s="64">
        <f>Retailers!BO175</f>
        <v/>
      </c>
      <c r="CH176" s="64">
        <f>Retailers!BP175</f>
        <v/>
      </c>
      <c r="CJ176" s="64" t="n">
        <v>180</v>
      </c>
      <c r="CK176" s="64">
        <f>IF(BB176="ret=0",0,IF(BB176&gt;0,AR176+Distributors_Cap!$P$47-BB176,0))</f>
        <v/>
      </c>
      <c r="CL176" s="64">
        <f>IF(BC176="ret=0",0,IF(BC176&gt;0,AS176+Distributors_Cap!$P$47-BC176,0))</f>
        <v/>
      </c>
      <c r="CM176" s="64">
        <f>IF(BD176="ret=0",0,IF(BD176&gt;0,AT176+Distributors_Cap!$P$47-BD176,0))</f>
        <v/>
      </c>
    </row>
    <row r="177">
      <c r="G177" s="64" t="n">
        <v>181</v>
      </c>
      <c r="H177" s="64" t="n">
        <v>56.533</v>
      </c>
      <c r="I177" s="64" t="n">
        <v>65.581</v>
      </c>
      <c r="J177" s="64" t="n">
        <v>66.003</v>
      </c>
      <c r="L177" s="64">
        <f>TRUNC((_xlfn.NORM.INV((RAND()),$K$7,$K$8)),0)</f>
        <v/>
      </c>
      <c r="M177" s="64" t="n">
        <v>181</v>
      </c>
      <c r="N177" s="5" t="n">
        <v>31</v>
      </c>
      <c r="O177" s="5" t="n">
        <v>41</v>
      </c>
      <c r="P177" s="5" t="n">
        <v>19</v>
      </c>
      <c r="R177" s="2">
        <f>IF(N177&gt;Demand!AU194,0,(IF(((2*(Retailers!AJ176+Distributors_Cap!$P$47)-Retailers_Cap!$BB$7)*(Demand!AU194-Retailers_Cap!N177))&lt;0,0,((IF(BB177&gt;2*(Retailers!AJ176+Distributors_Cap!$P$47),0,(IF(BG177=0,ROUNDUP((2*(Retailers!AJ176+Distributors_Cap!$P$47)-BB177)^0.5,0),ROUNDUP((2*(Retailers!AJ176+Distributors_Cap!$P$47)-BB177)^0.5,0)))))))))</f>
        <v/>
      </c>
      <c r="S177" s="2">
        <f>IF(O177&gt;Demand!AV194,0,(IF(((2*(Retailers!AK176+Distributors_Cap!$P$47)-Retailers_Cap!$BB$7)*(Demand!AV194-Retailers_Cap!O177))&lt;0,0,((IF(BC177&gt;2*(Retailers!AK176+Distributors_Cap!$P$47),0,(IF(BH177=0,ROUNDUP((2*(Retailers!AK176+Distributors_Cap!$P$47)-BC177)^0.5,0),ROUNDUP((2*(Retailers!AK176+Distributors_Cap!$P$47)-BC177)^0.5,0)))))))))</f>
        <v/>
      </c>
      <c r="T177" s="2">
        <f>IF(P177&gt;Demand!AW194,0,(IF(((2*(Retailers!AL176+Distributors_Cap!$P$47)-Retailers_Cap!$BB$7)*(Demand!AW194-Retailers_Cap!P177))&lt;0,0,((IF(BD177&gt;2*(Retailers!AL176+Distributors_Cap!$P$47),0,(IF(BI177=0,ROUNDUP((2*(Retailers!AL176+Distributors_Cap!$P$47)-BD177)^0.5,0),ROUNDUP((2*(Retailers!AL176+Distributors_Cap!$P$47)-BD177)^0.5,0)))))))))</f>
        <v/>
      </c>
      <c r="W177" s="64" t="n">
        <v>181</v>
      </c>
      <c r="X177" s="9" t="n">
        <v>0</v>
      </c>
      <c r="Y177" s="9" t="n">
        <v>0</v>
      </c>
      <c r="Z177" s="9" t="n">
        <v>0</v>
      </c>
      <c r="AB177" s="2">
        <f>ROUNDDOWN(LOG((X177+1),2),0)</f>
        <v/>
      </c>
      <c r="AC177" s="2">
        <f>ROUNDDOWN(LOG((Y177+1),2),0)</f>
        <v/>
      </c>
      <c r="AD177" s="2">
        <f>ROUNDDOWN(LOG((Z177+1),2),0)</f>
        <v/>
      </c>
      <c r="AG177" s="64" t="n">
        <v>181</v>
      </c>
      <c r="AH177" s="9" t="n">
        <v>0</v>
      </c>
      <c r="AI177" s="9" t="n">
        <v>0</v>
      </c>
      <c r="AJ177" s="9" t="n">
        <v>0</v>
      </c>
      <c r="AQ177" s="64" t="n">
        <v>181</v>
      </c>
      <c r="AR177" s="64" t="n">
        <v>56.533</v>
      </c>
      <c r="AS177" s="64" t="n">
        <v>65.581</v>
      </c>
      <c r="AT177" s="64" t="n">
        <v>66.003</v>
      </c>
      <c r="AV177" s="64" t="n">
        <v>181</v>
      </c>
      <c r="AW177" s="64">
        <f>Beginning_stock!AT205</f>
        <v/>
      </c>
      <c r="AX177" s="64">
        <f>Beginning_stock!AU205</f>
        <v/>
      </c>
      <c r="AY177" s="64">
        <f>Beginning_stock!AV205</f>
        <v/>
      </c>
      <c r="BA177" s="64" t="n">
        <v>181</v>
      </c>
      <c r="BB177" s="64">
        <f>IF(Demand!AU194=Retailers_Cap!N177,"ret=0",(AW177/(Demand!AU194-Retailers_Cap!N177)))</f>
        <v/>
      </c>
      <c r="BC177" s="64">
        <f>IF(Demand!AV194=Retailers_Cap!O177,"ret=0",(AX177/(Demand!AV194-Retailers_Cap!O177)))</f>
        <v/>
      </c>
      <c r="BD177" s="64">
        <f>IF(Demand!AW194=Retailers_Cap!P177,"ret=0",(AY177/(Demand!AW194-Retailers_Cap!P177)))</f>
        <v/>
      </c>
      <c r="BF177" s="64" t="n">
        <v>181</v>
      </c>
      <c r="BG177" s="2">
        <f>IF(Demand!AU194&lt;=Retailers_Cap!N177,"ret=0",(IF(BB177&lt;=AR177+Distributors_Cap!$P$47,1,0)))</f>
        <v/>
      </c>
      <c r="BH177" s="2">
        <f>IF(Demand!AV194&lt;=Retailers_Cap!O177,"ret=0",(IF(BC177&lt;=AS177+Distributors_Cap!$P$47,1,0)))</f>
        <v/>
      </c>
      <c r="BI177" s="2">
        <f>IF(Demand!AW194&lt;=Retailers_Cap!P177,"ret=0",(IF(BD177&lt;=AT177+Distributors_Cap!$P$47,1,0)))</f>
        <v/>
      </c>
      <c r="BK177" s="64" t="n">
        <v>181</v>
      </c>
      <c r="BL177" s="64">
        <f>Retailers!BH176</f>
        <v/>
      </c>
      <c r="BM177" s="64">
        <f>Retailers!BI176</f>
        <v/>
      </c>
      <c r="BN177" s="64">
        <f>Retailers!BJ176</f>
        <v/>
      </c>
      <c r="BP177" s="64" t="n">
        <v>181</v>
      </c>
      <c r="BQ177" s="64">
        <f>#REF!</f>
        <v/>
      </c>
      <c r="BR177" s="64">
        <f>#REF!</f>
        <v/>
      </c>
      <c r="BS177" s="64">
        <f>#REF!</f>
        <v/>
      </c>
      <c r="BU177" s="64" t="n">
        <v>181</v>
      </c>
      <c r="BV177" s="64">
        <f>Retailers!AS176</f>
        <v/>
      </c>
      <c r="BW177" s="64">
        <f>Retailers!AT176</f>
        <v/>
      </c>
      <c r="BX177" s="64">
        <f>Retailers!AU176</f>
        <v/>
      </c>
      <c r="BZ177" s="64" t="n">
        <v>181</v>
      </c>
      <c r="CA177" s="64">
        <f>Results!#REF!</f>
        <v/>
      </c>
      <c r="CB177" s="64">
        <f>Results!#REF!</f>
        <v/>
      </c>
      <c r="CC177" s="64">
        <f>Results!#REF!</f>
        <v/>
      </c>
      <c r="CE177" s="64" t="n">
        <v>181</v>
      </c>
      <c r="CF177" s="64">
        <f>Retailers!BN176</f>
        <v/>
      </c>
      <c r="CG177" s="64">
        <f>Retailers!BO176</f>
        <v/>
      </c>
      <c r="CH177" s="64">
        <f>Retailers!BP176</f>
        <v/>
      </c>
      <c r="CJ177" s="64" t="n">
        <v>181</v>
      </c>
      <c r="CK177" s="64">
        <f>IF(BB177="ret=0",0,IF(BB177&gt;0,AR177+Distributors_Cap!$P$47-BB177,0))</f>
        <v/>
      </c>
      <c r="CL177" s="64">
        <f>IF(BC177="ret=0",0,IF(BC177&gt;0,AS177+Distributors_Cap!$P$47-BC177,0))</f>
        <v/>
      </c>
      <c r="CM177" s="64">
        <f>IF(BD177="ret=0",0,IF(BD177&gt;0,AT177+Distributors_Cap!$P$47-BD177,0))</f>
        <v/>
      </c>
    </row>
    <row r="178">
      <c r="G178" s="64" t="n">
        <v>182</v>
      </c>
      <c r="H178" s="64" t="n">
        <v>56.555</v>
      </c>
      <c r="I178" s="64" t="n">
        <v>63.908</v>
      </c>
      <c r="J178" s="64" t="n">
        <v>69.252</v>
      </c>
      <c r="L178" s="64">
        <f>TRUNC((_xlfn.NORM.INV((RAND()),$K$7,$K$8)),0)</f>
        <v/>
      </c>
      <c r="M178" s="64" t="n">
        <v>182</v>
      </c>
      <c r="N178" s="5" t="n">
        <v>26</v>
      </c>
      <c r="O178" s="5" t="n">
        <v>35</v>
      </c>
      <c r="P178" s="5" t="n">
        <v>24</v>
      </c>
      <c r="R178" s="2">
        <f>IF(N178&gt;Demand!AU195,0,(IF(((2*(Retailers!AJ177+Distributors_Cap!$P$47)-Retailers_Cap!$BB$7)*(Demand!AU195-Retailers_Cap!N178))&lt;0,0,((IF(BB178&gt;2*(Retailers!AJ177+Distributors_Cap!$P$47),0,(IF(BG178=0,ROUNDUP((2*(Retailers!AJ177+Distributors_Cap!$P$47)-BB178)^0.5,0),ROUNDUP((2*(Retailers!AJ177+Distributors_Cap!$P$47)-BB178)^0.5,0)))))))))</f>
        <v/>
      </c>
      <c r="S178" s="2">
        <f>IF(O178&gt;Demand!AV195,0,(IF(((2*(Retailers!AK177+Distributors_Cap!$P$47)-Retailers_Cap!$BB$7)*(Demand!AV195-Retailers_Cap!O178))&lt;0,0,((IF(BC178&gt;2*(Retailers!AK177+Distributors_Cap!$P$47),0,(IF(BH178=0,ROUNDUP((2*(Retailers!AK177+Distributors_Cap!$P$47)-BC178)^0.5,0),ROUNDUP((2*(Retailers!AK177+Distributors_Cap!$P$47)-BC178)^0.5,0)))))))))</f>
        <v/>
      </c>
      <c r="T178" s="2">
        <f>IF(P178&gt;Demand!AW195,0,(IF(((2*(Retailers!AL177+Distributors_Cap!$P$47)-Retailers_Cap!$BB$7)*(Demand!AW195-Retailers_Cap!P178))&lt;0,0,((IF(BD178&gt;2*(Retailers!AL177+Distributors_Cap!$P$47),0,(IF(BI178=0,ROUNDUP((2*(Retailers!AL177+Distributors_Cap!$P$47)-BD178)^0.5,0),ROUNDUP((2*(Retailers!AL177+Distributors_Cap!$P$47)-BD178)^0.5,0)))))))))</f>
        <v/>
      </c>
      <c r="W178" s="64" t="n">
        <v>182</v>
      </c>
      <c r="X178" s="9" t="n">
        <v>0</v>
      </c>
      <c r="Y178" s="9" t="n">
        <v>0</v>
      </c>
      <c r="Z178" s="9" t="n">
        <v>14</v>
      </c>
      <c r="AB178" s="2">
        <f>ROUNDDOWN(LOG((X178+1),2),0)</f>
        <v/>
      </c>
      <c r="AC178" s="2">
        <f>ROUNDDOWN(LOG((Y178+1),2),0)</f>
        <v/>
      </c>
      <c r="AD178" s="2">
        <f>ROUNDDOWN(LOG((Z178+1),2),0)</f>
        <v/>
      </c>
      <c r="AG178" s="64" t="n">
        <v>182</v>
      </c>
      <c r="AH178" s="9" t="n">
        <v>0</v>
      </c>
      <c r="AI178" s="9" t="n">
        <v>0</v>
      </c>
      <c r="AJ178" s="9" t="n">
        <v>3</v>
      </c>
      <c r="AQ178" s="64" t="n">
        <v>182</v>
      </c>
      <c r="AR178" s="64" t="n">
        <v>56.555</v>
      </c>
      <c r="AS178" s="64" t="n">
        <v>63.908</v>
      </c>
      <c r="AT178" s="64" t="n">
        <v>69.252</v>
      </c>
      <c r="AV178" s="64" t="n">
        <v>182</v>
      </c>
      <c r="AW178" s="64">
        <f>Beginning_stock!AT206</f>
        <v/>
      </c>
      <c r="AX178" s="64">
        <f>Beginning_stock!AU206</f>
        <v/>
      </c>
      <c r="AY178" s="64">
        <f>Beginning_stock!AV206</f>
        <v/>
      </c>
      <c r="BA178" s="64" t="n">
        <v>182</v>
      </c>
      <c r="BB178" s="64">
        <f>IF(Demand!AU195=Retailers_Cap!N178,"ret=0",(AW178/(Demand!AU195-Retailers_Cap!N178)))</f>
        <v/>
      </c>
      <c r="BC178" s="64">
        <f>IF(Demand!AV195=Retailers_Cap!O178,"ret=0",(AX178/(Demand!AV195-Retailers_Cap!O178)))</f>
        <v/>
      </c>
      <c r="BD178" s="64">
        <f>IF(Demand!AW195=Retailers_Cap!P178,"ret=0",(AY178/(Demand!AW195-Retailers_Cap!P178)))</f>
        <v/>
      </c>
      <c r="BF178" s="64" t="n">
        <v>182</v>
      </c>
      <c r="BG178" s="2">
        <f>IF(Demand!AU195&lt;=Retailers_Cap!N178,"ret=0",(IF(BB178&lt;=AR178+Distributors_Cap!$P$47,1,0)))</f>
        <v/>
      </c>
      <c r="BH178" s="2">
        <f>IF(Demand!AV195&lt;=Retailers_Cap!O178,"ret=0",(IF(BC178&lt;=AS178+Distributors_Cap!$P$47,1,0)))</f>
        <v/>
      </c>
      <c r="BI178" s="2">
        <f>IF(Demand!AW195&lt;=Retailers_Cap!P178,"ret=0",(IF(BD178&lt;=AT178+Distributors_Cap!$P$47,1,0)))</f>
        <v/>
      </c>
      <c r="BK178" s="64" t="n">
        <v>182</v>
      </c>
      <c r="BL178" s="64">
        <f>Retailers!BH177</f>
        <v/>
      </c>
      <c r="BM178" s="64">
        <f>Retailers!BI177</f>
        <v/>
      </c>
      <c r="BN178" s="64">
        <f>Retailers!BJ177</f>
        <v/>
      </c>
      <c r="BP178" s="64" t="n">
        <v>182</v>
      </c>
      <c r="BQ178" s="64">
        <f>#REF!</f>
        <v/>
      </c>
      <c r="BR178" s="64">
        <f>#REF!</f>
        <v/>
      </c>
      <c r="BS178" s="64">
        <f>#REF!</f>
        <v/>
      </c>
      <c r="BU178" s="64" t="n">
        <v>182</v>
      </c>
      <c r="BV178" s="64">
        <f>Retailers!AS177</f>
        <v/>
      </c>
      <c r="BW178" s="64">
        <f>Retailers!AT177</f>
        <v/>
      </c>
      <c r="BX178" s="64">
        <f>Retailers!AU177</f>
        <v/>
      </c>
      <c r="BZ178" s="64" t="n">
        <v>182</v>
      </c>
      <c r="CA178" s="64">
        <f>Results!#REF!</f>
        <v/>
      </c>
      <c r="CB178" s="64">
        <f>Results!#REF!</f>
        <v/>
      </c>
      <c r="CC178" s="64">
        <f>Results!#REF!</f>
        <v/>
      </c>
      <c r="CE178" s="64" t="n">
        <v>182</v>
      </c>
      <c r="CF178" s="64">
        <f>Retailers!BN177</f>
        <v/>
      </c>
      <c r="CG178" s="64">
        <f>Retailers!BO177</f>
        <v/>
      </c>
      <c r="CH178" s="64">
        <f>Retailers!BP177</f>
        <v/>
      </c>
      <c r="CJ178" s="64" t="n">
        <v>182</v>
      </c>
      <c r="CK178" s="64">
        <f>IF(BB178="ret=0",0,IF(BB178&gt;0,AR178+Distributors_Cap!$P$47-BB178,0))</f>
        <v/>
      </c>
      <c r="CL178" s="64">
        <f>IF(BC178="ret=0",0,IF(BC178&gt;0,AS178+Distributors_Cap!$P$47-BC178,0))</f>
        <v/>
      </c>
      <c r="CM178" s="64">
        <f>IF(BD178="ret=0",0,IF(BD178&gt;0,AT178+Distributors_Cap!$P$47-BD178,0))</f>
        <v/>
      </c>
    </row>
    <row r="179">
      <c r="G179" s="64" t="n">
        <v>183</v>
      </c>
      <c r="H179" s="64" t="n">
        <v>67.679</v>
      </c>
      <c r="I179" s="64" t="n">
        <v>31.107</v>
      </c>
      <c r="J179" s="64" t="n">
        <v>59.942</v>
      </c>
      <c r="L179" s="64">
        <f>TRUNC((_xlfn.NORM.INV((RAND()),$K$7,$K$8)),0)</f>
        <v/>
      </c>
      <c r="M179" s="64" t="n">
        <v>183</v>
      </c>
      <c r="N179" s="5" t="n">
        <v>27</v>
      </c>
      <c r="O179" s="5" t="n">
        <v>26</v>
      </c>
      <c r="P179" s="5" t="n">
        <v>32</v>
      </c>
      <c r="R179" s="2">
        <f>IF(N179&gt;Demand!AU196,0,(IF(((2*(Retailers!AJ178+Distributors_Cap!$P$47)-Retailers_Cap!$BB$7)*(Demand!AU196-Retailers_Cap!N179))&lt;0,0,((IF(BB179&gt;2*(Retailers!AJ178+Distributors_Cap!$P$47),0,(IF(BG179=0,ROUNDUP((2*(Retailers!AJ178+Distributors_Cap!$P$47)-BB179)^0.5,0),ROUNDUP((2*(Retailers!AJ178+Distributors_Cap!$P$47)-BB179)^0.5,0)))))))))</f>
        <v/>
      </c>
      <c r="S179" s="2">
        <f>IF(O179&gt;Demand!AV196,0,(IF(((2*(Retailers!AK178+Distributors_Cap!$P$47)-Retailers_Cap!$BB$7)*(Demand!AV196-Retailers_Cap!O179))&lt;0,0,((IF(BC179&gt;2*(Retailers!AK178+Distributors_Cap!$P$47),0,(IF(BH179=0,ROUNDUP((2*(Retailers!AK178+Distributors_Cap!$P$47)-BC179)^0.5,0),ROUNDUP((2*(Retailers!AK178+Distributors_Cap!$P$47)-BC179)^0.5,0)))))))))</f>
        <v/>
      </c>
      <c r="T179" s="2">
        <f>IF(P179&gt;Demand!AW196,0,(IF(((2*(Retailers!AL178+Distributors_Cap!$P$47)-Retailers_Cap!$BB$7)*(Demand!AW196-Retailers_Cap!P179))&lt;0,0,((IF(BD179&gt;2*(Retailers!AL178+Distributors_Cap!$P$47),0,(IF(BI179=0,ROUNDUP((2*(Retailers!AL178+Distributors_Cap!$P$47)-BD179)^0.5,0),ROUNDUP((2*(Retailers!AL178+Distributors_Cap!$P$47)-BD179)^0.5,0)))))))))</f>
        <v/>
      </c>
      <c r="W179" s="64" t="n">
        <v>183</v>
      </c>
      <c r="X179" s="9" t="n">
        <v>11</v>
      </c>
      <c r="Y179" s="9" t="n">
        <v>10</v>
      </c>
      <c r="Z179" s="9" t="n">
        <v>0</v>
      </c>
      <c r="AB179" s="2">
        <f>ROUNDDOWN(LOG((X179+1),2),0)</f>
        <v/>
      </c>
      <c r="AC179" s="2">
        <f>ROUNDDOWN(LOG((Y179+1),2),0)</f>
        <v/>
      </c>
      <c r="AD179" s="2">
        <f>ROUNDDOWN(LOG((Z179+1),2),0)</f>
        <v/>
      </c>
      <c r="AG179" s="64" t="n">
        <v>183</v>
      </c>
      <c r="AH179" s="9" t="n">
        <v>3</v>
      </c>
      <c r="AI179" s="9" t="n">
        <v>3</v>
      </c>
      <c r="AJ179" s="9" t="n">
        <v>0</v>
      </c>
      <c r="AQ179" s="64" t="n">
        <v>183</v>
      </c>
      <c r="AR179" s="64" t="n">
        <v>67.679</v>
      </c>
      <c r="AS179" s="64" t="n">
        <v>31.107</v>
      </c>
      <c r="AT179" s="64" t="n">
        <v>59.942</v>
      </c>
      <c r="AV179" s="64" t="n">
        <v>183</v>
      </c>
      <c r="AW179" s="64">
        <f>Beginning_stock!AT207</f>
        <v/>
      </c>
      <c r="AX179" s="64">
        <f>Beginning_stock!AU207</f>
        <v/>
      </c>
      <c r="AY179" s="64">
        <f>Beginning_stock!AV207</f>
        <v/>
      </c>
      <c r="BA179" s="64" t="n">
        <v>183</v>
      </c>
      <c r="BB179" s="64">
        <f>IF(Demand!AU196=Retailers_Cap!N179,"ret=0",(AW179/(Demand!AU196-Retailers_Cap!N179)))</f>
        <v/>
      </c>
      <c r="BC179" s="64">
        <f>IF(Demand!AV196=Retailers_Cap!O179,"ret=0",(AX179/(Demand!AV196-Retailers_Cap!O179)))</f>
        <v/>
      </c>
      <c r="BD179" s="64">
        <f>IF(Demand!AW196=Retailers_Cap!P179,"ret=0",(AY179/(Demand!AW196-Retailers_Cap!P179)))</f>
        <v/>
      </c>
      <c r="BF179" s="64" t="n">
        <v>183</v>
      </c>
      <c r="BG179" s="2">
        <f>IF(Demand!AU196&lt;=Retailers_Cap!N179,"ret=0",(IF(BB179&lt;=AR179+Distributors_Cap!$P$47,1,0)))</f>
        <v/>
      </c>
      <c r="BH179" s="2">
        <f>IF(Demand!AV196&lt;=Retailers_Cap!O179,"ret=0",(IF(BC179&lt;=AS179+Distributors_Cap!$P$47,1,0)))</f>
        <v/>
      </c>
      <c r="BI179" s="2">
        <f>IF(Demand!AW196&lt;=Retailers_Cap!P179,"ret=0",(IF(BD179&lt;=AT179+Distributors_Cap!$P$47,1,0)))</f>
        <v/>
      </c>
      <c r="BK179" s="64" t="n">
        <v>183</v>
      </c>
      <c r="BL179" s="64">
        <f>Retailers!BH178</f>
        <v/>
      </c>
      <c r="BM179" s="64">
        <f>Retailers!BI178</f>
        <v/>
      </c>
      <c r="BN179" s="64">
        <f>Retailers!BJ178</f>
        <v/>
      </c>
      <c r="BP179" s="64" t="n">
        <v>183</v>
      </c>
      <c r="BQ179" s="64">
        <f>#REF!</f>
        <v/>
      </c>
      <c r="BR179" s="64">
        <f>#REF!</f>
        <v/>
      </c>
      <c r="BS179" s="64">
        <f>#REF!</f>
        <v/>
      </c>
      <c r="BU179" s="64" t="n">
        <v>183</v>
      </c>
      <c r="BV179" s="64">
        <f>Retailers!AS178</f>
        <v/>
      </c>
      <c r="BW179" s="64">
        <f>Retailers!AT178</f>
        <v/>
      </c>
      <c r="BX179" s="64">
        <f>Retailers!AU178</f>
        <v/>
      </c>
      <c r="BZ179" s="64" t="n">
        <v>183</v>
      </c>
      <c r="CA179" s="64">
        <f>Results!#REF!</f>
        <v/>
      </c>
      <c r="CB179" s="64">
        <f>Results!#REF!</f>
        <v/>
      </c>
      <c r="CC179" s="64">
        <f>Results!#REF!</f>
        <v/>
      </c>
      <c r="CE179" s="64" t="n">
        <v>183</v>
      </c>
      <c r="CF179" s="64">
        <f>Retailers!BN178</f>
        <v/>
      </c>
      <c r="CG179" s="64">
        <f>Retailers!BO178</f>
        <v/>
      </c>
      <c r="CH179" s="64">
        <f>Retailers!BP178</f>
        <v/>
      </c>
      <c r="CJ179" s="64" t="n">
        <v>183</v>
      </c>
      <c r="CK179" s="64">
        <f>IF(BB179="ret=0",0,IF(BB179&gt;0,AR179+Distributors_Cap!$P$47-BB179,0))</f>
        <v/>
      </c>
      <c r="CL179" s="64">
        <f>IF(BC179="ret=0",0,IF(BC179&gt;0,AS179+Distributors_Cap!$P$47-BC179,0))</f>
        <v/>
      </c>
      <c r="CM179" s="64">
        <f>IF(BD179="ret=0",0,IF(BD179&gt;0,AT179+Distributors_Cap!$P$47-BD179,0))</f>
        <v/>
      </c>
    </row>
    <row r="180">
      <c r="G180" s="64" t="n">
        <v>184</v>
      </c>
      <c r="H180" s="64" t="n">
        <v>59.455</v>
      </c>
      <c r="I180" s="64" t="n">
        <v>56.377</v>
      </c>
      <c r="J180" s="64" t="n">
        <v>66.08799999999999</v>
      </c>
      <c r="L180" s="64">
        <f>TRUNC((_xlfn.NORM.INV((RAND()),$K$7,$K$8)),0)</f>
        <v/>
      </c>
      <c r="M180" s="64" t="n">
        <v>184</v>
      </c>
      <c r="N180" s="5" t="n">
        <v>26</v>
      </c>
      <c r="O180" s="5" t="n">
        <v>20</v>
      </c>
      <c r="P180" s="5" t="n">
        <v>20</v>
      </c>
      <c r="R180" s="2">
        <f>IF(N180&gt;Demand!AU197,0,(IF(((2*(Retailers!AJ179+Distributors_Cap!$P$47)-Retailers_Cap!$BB$7)*(Demand!AU197-Retailers_Cap!N180))&lt;0,0,((IF(BB180&gt;2*(Retailers!AJ179+Distributors_Cap!$P$47),0,(IF(BG180=0,ROUNDUP((2*(Retailers!AJ179+Distributors_Cap!$P$47)-BB180)^0.5,0),ROUNDUP((2*(Retailers!AJ179+Distributors_Cap!$P$47)-BB180)^0.5,0)))))))))</f>
        <v/>
      </c>
      <c r="S180" s="2">
        <f>IF(O180&gt;Demand!AV197,0,(IF(((2*(Retailers!AK179+Distributors_Cap!$P$47)-Retailers_Cap!$BB$7)*(Demand!AV197-Retailers_Cap!O180))&lt;0,0,((IF(BC180&gt;2*(Retailers!AK179+Distributors_Cap!$P$47),0,(IF(BH180=0,ROUNDUP((2*(Retailers!AK179+Distributors_Cap!$P$47)-BC180)^0.5,0),ROUNDUP((2*(Retailers!AK179+Distributors_Cap!$P$47)-BC180)^0.5,0)))))))))</f>
        <v/>
      </c>
      <c r="T180" s="2">
        <f>IF(P180&gt;Demand!AW197,0,(IF(((2*(Retailers!AL179+Distributors_Cap!$P$47)-Retailers_Cap!$BB$7)*(Demand!AW197-Retailers_Cap!P180))&lt;0,0,((IF(BD180&gt;2*(Retailers!AL179+Distributors_Cap!$P$47),0,(IF(BI180=0,ROUNDUP((2*(Retailers!AL179+Distributors_Cap!$P$47)-BD180)^0.5,0),ROUNDUP((2*(Retailers!AL179+Distributors_Cap!$P$47)-BD180)^0.5,0)))))))))</f>
        <v/>
      </c>
      <c r="W180" s="64" t="n">
        <v>184</v>
      </c>
      <c r="X180" s="9" t="n">
        <v>13</v>
      </c>
      <c r="Y180" s="9" t="n">
        <v>13</v>
      </c>
      <c r="Z180" s="9" t="n">
        <v>14</v>
      </c>
      <c r="AB180" s="2">
        <f>ROUNDDOWN(LOG((X180+1),2),0)</f>
        <v/>
      </c>
      <c r="AC180" s="2">
        <f>ROUNDDOWN(LOG((Y180+1),2),0)</f>
        <v/>
      </c>
      <c r="AD180" s="2">
        <f>ROUNDDOWN(LOG((Z180+1),2),0)</f>
        <v/>
      </c>
      <c r="AG180" s="64" t="n">
        <v>184</v>
      </c>
      <c r="AH180" s="9" t="n">
        <v>3</v>
      </c>
      <c r="AI180" s="9" t="n">
        <v>3</v>
      </c>
      <c r="AJ180" s="9" t="n">
        <v>3</v>
      </c>
      <c r="AQ180" s="64" t="n">
        <v>184</v>
      </c>
      <c r="AR180" s="64" t="n">
        <v>59.455</v>
      </c>
      <c r="AS180" s="64" t="n">
        <v>56.377</v>
      </c>
      <c r="AT180" s="64" t="n">
        <v>66.08799999999999</v>
      </c>
      <c r="AV180" s="64" t="n">
        <v>184</v>
      </c>
      <c r="AW180" s="64">
        <f>Beginning_stock!AT208</f>
        <v/>
      </c>
      <c r="AX180" s="64">
        <f>Beginning_stock!AU208</f>
        <v/>
      </c>
      <c r="AY180" s="64">
        <f>Beginning_stock!AV208</f>
        <v/>
      </c>
      <c r="BA180" s="64" t="n">
        <v>184</v>
      </c>
      <c r="BB180" s="64">
        <f>IF(Demand!AU197=Retailers_Cap!N180,"ret=0",(AW180/(Demand!AU197-Retailers_Cap!N180)))</f>
        <v/>
      </c>
      <c r="BC180" s="64">
        <f>IF(Demand!AV197=Retailers_Cap!O180,"ret=0",(AX180/(Demand!AV197-Retailers_Cap!O180)))</f>
        <v/>
      </c>
      <c r="BD180" s="64">
        <f>IF(Demand!AW197=Retailers_Cap!P180,"ret=0",(AY180/(Demand!AW197-Retailers_Cap!P180)))</f>
        <v/>
      </c>
      <c r="BF180" s="64" t="n">
        <v>184</v>
      </c>
      <c r="BG180" s="2">
        <f>IF(Demand!AU197&lt;=Retailers_Cap!N180,"ret=0",(IF(BB180&lt;=AR180+Distributors_Cap!$P$47,1,0)))</f>
        <v/>
      </c>
      <c r="BH180" s="2">
        <f>IF(Demand!AV197&lt;=Retailers_Cap!O180,"ret=0",(IF(BC180&lt;=AS180+Distributors_Cap!$P$47,1,0)))</f>
        <v/>
      </c>
      <c r="BI180" s="2">
        <f>IF(Demand!AW197&lt;=Retailers_Cap!P180,"ret=0",(IF(BD180&lt;=AT180+Distributors_Cap!$P$47,1,0)))</f>
        <v/>
      </c>
      <c r="BK180" s="64" t="n">
        <v>184</v>
      </c>
      <c r="BL180" s="64">
        <f>Retailers!BH179</f>
        <v/>
      </c>
      <c r="BM180" s="64">
        <f>Retailers!BI179</f>
        <v/>
      </c>
      <c r="BN180" s="64">
        <f>Retailers!BJ179</f>
        <v/>
      </c>
      <c r="BP180" s="64" t="n">
        <v>184</v>
      </c>
      <c r="BQ180" s="64">
        <f>#REF!</f>
        <v/>
      </c>
      <c r="BR180" s="64">
        <f>#REF!</f>
        <v/>
      </c>
      <c r="BS180" s="64">
        <f>#REF!</f>
        <v/>
      </c>
      <c r="BU180" s="64" t="n">
        <v>184</v>
      </c>
      <c r="BV180" s="64">
        <f>Retailers!AS179</f>
        <v/>
      </c>
      <c r="BW180" s="64">
        <f>Retailers!AT179</f>
        <v/>
      </c>
      <c r="BX180" s="64">
        <f>Retailers!AU179</f>
        <v/>
      </c>
      <c r="BZ180" s="64" t="n">
        <v>184</v>
      </c>
      <c r="CA180" s="64">
        <f>Results!#REF!</f>
        <v/>
      </c>
      <c r="CB180" s="64">
        <f>Results!#REF!</f>
        <v/>
      </c>
      <c r="CC180" s="64">
        <f>Results!#REF!</f>
        <v/>
      </c>
      <c r="CE180" s="64" t="n">
        <v>184</v>
      </c>
      <c r="CF180" s="64">
        <f>Retailers!BN179</f>
        <v/>
      </c>
      <c r="CG180" s="64">
        <f>Retailers!BO179</f>
        <v/>
      </c>
      <c r="CH180" s="64">
        <f>Retailers!BP179</f>
        <v/>
      </c>
      <c r="CJ180" s="64" t="n">
        <v>184</v>
      </c>
      <c r="CK180" s="64">
        <f>IF(BB180="ret=0",0,IF(BB180&gt;0,AR180+Distributors_Cap!$P$47-BB180,0))</f>
        <v/>
      </c>
      <c r="CL180" s="64">
        <f>IF(BC180="ret=0",0,IF(BC180&gt;0,AS180+Distributors_Cap!$P$47-BC180,0))</f>
        <v/>
      </c>
      <c r="CM180" s="64">
        <f>IF(BD180="ret=0",0,IF(BD180&gt;0,AT180+Distributors_Cap!$P$47-BD180,0))</f>
        <v/>
      </c>
    </row>
    <row r="181">
      <c r="G181" s="64" t="n">
        <v>185</v>
      </c>
      <c r="H181" s="64" t="n">
        <v>58.842</v>
      </c>
      <c r="I181" s="64" t="n">
        <v>39.305</v>
      </c>
      <c r="J181" s="64" t="n">
        <v>56.79</v>
      </c>
      <c r="L181" s="64">
        <f>TRUNC((_xlfn.NORM.INV((RAND()),$K$7,$K$8)),0)</f>
        <v/>
      </c>
      <c r="M181" s="64" t="n">
        <v>185</v>
      </c>
      <c r="N181" s="5" t="n">
        <v>20</v>
      </c>
      <c r="O181" s="5" t="n">
        <v>34</v>
      </c>
      <c r="P181" s="5" t="n">
        <v>30</v>
      </c>
      <c r="R181" s="2">
        <f>IF(N181&gt;Demand!AU198,0,(IF(((2*(Retailers!AJ180+Distributors_Cap!$P$47)-Retailers_Cap!$BB$7)*(Demand!AU198-Retailers_Cap!N181))&lt;0,0,((IF(BB181&gt;2*(Retailers!AJ180+Distributors_Cap!$P$47),0,(IF(BG181=0,ROUNDUP((2*(Retailers!AJ180+Distributors_Cap!$P$47)-BB181)^0.5,0),ROUNDUP((2*(Retailers!AJ180+Distributors_Cap!$P$47)-BB181)^0.5,0)))))))))</f>
        <v/>
      </c>
      <c r="S181" s="2">
        <f>IF(O181&gt;Demand!AV198,0,(IF(((2*(Retailers!AK180+Distributors_Cap!$P$47)-Retailers_Cap!$BB$7)*(Demand!AV198-Retailers_Cap!O181))&lt;0,0,((IF(BC181&gt;2*(Retailers!AK180+Distributors_Cap!$P$47),0,(IF(BH181=0,ROUNDUP((2*(Retailers!AK180+Distributors_Cap!$P$47)-BC181)^0.5,0),ROUNDUP((2*(Retailers!AK180+Distributors_Cap!$P$47)-BC181)^0.5,0)))))))))</f>
        <v/>
      </c>
      <c r="T181" s="2">
        <f>IF(P181&gt;Demand!AW198,0,(IF(((2*(Retailers!AL180+Distributors_Cap!$P$47)-Retailers_Cap!$BB$7)*(Demand!AW198-Retailers_Cap!P181))&lt;0,0,((IF(BD181&gt;2*(Retailers!AL180+Distributors_Cap!$P$47),0,(IF(BI181=0,ROUNDUP((2*(Retailers!AL180+Distributors_Cap!$P$47)-BD181)^0.5,0),ROUNDUP((2*(Retailers!AL180+Distributors_Cap!$P$47)-BD181)^0.5,0)))))))))</f>
        <v/>
      </c>
      <c r="W181" s="64" t="n">
        <v>185</v>
      </c>
      <c r="X181" s="9" t="n">
        <v>12</v>
      </c>
      <c r="Y181" s="9" t="n">
        <v>0</v>
      </c>
      <c r="Z181" s="9" t="n">
        <v>0</v>
      </c>
      <c r="AB181" s="2">
        <f>ROUNDDOWN(LOG((X181+1),2),0)</f>
        <v/>
      </c>
      <c r="AC181" s="2">
        <f>ROUNDDOWN(LOG((Y181+1),2),0)</f>
        <v/>
      </c>
      <c r="AD181" s="2">
        <f>ROUNDDOWN(LOG((Z181+1),2),0)</f>
        <v/>
      </c>
      <c r="AG181" s="64" t="n">
        <v>185</v>
      </c>
      <c r="AH181" s="9" t="n">
        <v>3</v>
      </c>
      <c r="AI181" s="9" t="n">
        <v>0</v>
      </c>
      <c r="AJ181" s="9" t="n">
        <v>0</v>
      </c>
      <c r="AQ181" s="64" t="n">
        <v>185</v>
      </c>
      <c r="AR181" s="64" t="n">
        <v>58.842</v>
      </c>
      <c r="AS181" s="64" t="n">
        <v>39.305</v>
      </c>
      <c r="AT181" s="64" t="n">
        <v>56.79</v>
      </c>
      <c r="AV181" s="64" t="n">
        <v>185</v>
      </c>
      <c r="AW181" s="64">
        <f>Beginning_stock!AT209</f>
        <v/>
      </c>
      <c r="AX181" s="64">
        <f>Beginning_stock!AU209</f>
        <v/>
      </c>
      <c r="AY181" s="64">
        <f>Beginning_stock!AV209</f>
        <v/>
      </c>
      <c r="BA181" s="64" t="n">
        <v>185</v>
      </c>
      <c r="BB181" s="64">
        <f>IF(Demand!AU198=Retailers_Cap!N181,"ret=0",(AW181/(Demand!AU198-Retailers_Cap!N181)))</f>
        <v/>
      </c>
      <c r="BC181" s="64">
        <f>IF(Demand!AV198=Retailers_Cap!O181,"ret=0",(AX181/(Demand!AV198-Retailers_Cap!O181)))</f>
        <v/>
      </c>
      <c r="BD181" s="64">
        <f>IF(Demand!AW198=Retailers_Cap!P181,"ret=0",(AY181/(Demand!AW198-Retailers_Cap!P181)))</f>
        <v/>
      </c>
      <c r="BF181" s="64" t="n">
        <v>185</v>
      </c>
      <c r="BG181" s="2">
        <f>IF(Demand!AU198&lt;=Retailers_Cap!N181,"ret=0",(IF(BB181&lt;=AR181+Distributors_Cap!$P$47,1,0)))</f>
        <v/>
      </c>
      <c r="BH181" s="2">
        <f>IF(Demand!AV198&lt;=Retailers_Cap!O181,"ret=0",(IF(BC181&lt;=AS181+Distributors_Cap!$P$47,1,0)))</f>
        <v/>
      </c>
      <c r="BI181" s="2">
        <f>IF(Demand!AW198&lt;=Retailers_Cap!P181,"ret=0",(IF(BD181&lt;=AT181+Distributors_Cap!$P$47,1,0)))</f>
        <v/>
      </c>
      <c r="BK181" s="64" t="n">
        <v>185</v>
      </c>
      <c r="BL181" s="64">
        <f>Retailers!BH180</f>
        <v/>
      </c>
      <c r="BM181" s="64">
        <f>Retailers!BI180</f>
        <v/>
      </c>
      <c r="BN181" s="64">
        <f>Retailers!BJ180</f>
        <v/>
      </c>
      <c r="BP181" s="64" t="n">
        <v>185</v>
      </c>
      <c r="BQ181" s="64">
        <f>#REF!</f>
        <v/>
      </c>
      <c r="BR181" s="64">
        <f>#REF!</f>
        <v/>
      </c>
      <c r="BS181" s="64">
        <f>#REF!</f>
        <v/>
      </c>
      <c r="BU181" s="64" t="n">
        <v>185</v>
      </c>
      <c r="BV181" s="64">
        <f>Retailers!AS180</f>
        <v/>
      </c>
      <c r="BW181" s="64">
        <f>Retailers!AT180</f>
        <v/>
      </c>
      <c r="BX181" s="64">
        <f>Retailers!AU180</f>
        <v/>
      </c>
      <c r="BZ181" s="64" t="n">
        <v>185</v>
      </c>
      <c r="CA181" s="64">
        <f>Results!#REF!</f>
        <v/>
      </c>
      <c r="CB181" s="64">
        <f>Results!#REF!</f>
        <v/>
      </c>
      <c r="CC181" s="64">
        <f>Results!#REF!</f>
        <v/>
      </c>
      <c r="CE181" s="64" t="n">
        <v>185</v>
      </c>
      <c r="CF181" s="64">
        <f>Retailers!BN180</f>
        <v/>
      </c>
      <c r="CG181" s="64">
        <f>Retailers!BO180</f>
        <v/>
      </c>
      <c r="CH181" s="64">
        <f>Retailers!BP180</f>
        <v/>
      </c>
      <c r="CJ181" s="64" t="n">
        <v>185</v>
      </c>
      <c r="CK181" s="64">
        <f>IF(BB181="ret=0",0,IF(BB181&gt;0,AR181+Distributors_Cap!$P$47-BB181,0))</f>
        <v/>
      </c>
      <c r="CL181" s="64">
        <f>IF(BC181="ret=0",0,IF(BC181&gt;0,AS181+Distributors_Cap!$P$47-BC181,0))</f>
        <v/>
      </c>
      <c r="CM181" s="64">
        <f>IF(BD181="ret=0",0,IF(BD181&gt;0,AT181+Distributors_Cap!$P$47-BD181,0))</f>
        <v/>
      </c>
    </row>
    <row r="182">
      <c r="G182" s="64" t="n">
        <v>186</v>
      </c>
      <c r="H182" s="64" t="n">
        <v>45.586</v>
      </c>
      <c r="I182" s="64" t="n">
        <v>68.288</v>
      </c>
      <c r="J182" s="64" t="n">
        <v>71.79600000000001</v>
      </c>
      <c r="L182" s="64">
        <f>TRUNC((_xlfn.NORM.INV((RAND()),$K$7,$K$8)),0)</f>
        <v/>
      </c>
      <c r="M182" s="64" t="n">
        <v>186</v>
      </c>
      <c r="N182" s="5" t="n">
        <v>30</v>
      </c>
      <c r="O182" s="5" t="n">
        <v>18</v>
      </c>
      <c r="P182" s="5" t="n">
        <v>26</v>
      </c>
      <c r="R182" s="2">
        <f>IF(N182&gt;Demand!AU199,0,(IF(((2*(Retailers!AJ181+Distributors_Cap!$P$47)-Retailers_Cap!$BB$7)*(Demand!AU199-Retailers_Cap!N182))&lt;0,0,((IF(BB182&gt;2*(Retailers!AJ181+Distributors_Cap!$P$47),0,(IF(BG182=0,ROUNDUP((2*(Retailers!AJ181+Distributors_Cap!$P$47)-BB182)^0.5,0),ROUNDUP((2*(Retailers!AJ181+Distributors_Cap!$P$47)-BB182)^0.5,0)))))))))</f>
        <v/>
      </c>
      <c r="S182" s="2">
        <f>IF(O182&gt;Demand!AV199,0,(IF(((2*(Retailers!AK181+Distributors_Cap!$P$47)-Retailers_Cap!$BB$7)*(Demand!AV199-Retailers_Cap!O182))&lt;0,0,((IF(BC182&gt;2*(Retailers!AK181+Distributors_Cap!$P$47),0,(IF(BH182=0,ROUNDUP((2*(Retailers!AK181+Distributors_Cap!$P$47)-BC182)^0.5,0),ROUNDUP((2*(Retailers!AK181+Distributors_Cap!$P$47)-BC182)^0.5,0)))))))))</f>
        <v/>
      </c>
      <c r="T182" s="2">
        <f>IF(P182&gt;Demand!AW199,0,(IF(((2*(Retailers!AL181+Distributors_Cap!$P$47)-Retailers_Cap!$BB$7)*(Demand!AW199-Retailers_Cap!P182))&lt;0,0,((IF(BD182&gt;2*(Retailers!AL181+Distributors_Cap!$P$47),0,(IF(BI182=0,ROUNDUP((2*(Retailers!AL181+Distributors_Cap!$P$47)-BD182)^0.5,0),ROUNDUP((2*(Retailers!AL181+Distributors_Cap!$P$47)-BD182)^0.5,0)))))))))</f>
        <v/>
      </c>
      <c r="W182" s="64" t="n">
        <v>186</v>
      </c>
      <c r="X182" s="9" t="n">
        <v>0</v>
      </c>
      <c r="Y182" s="9" t="n">
        <v>12</v>
      </c>
      <c r="Z182" s="9" t="n">
        <v>0</v>
      </c>
      <c r="AB182" s="2">
        <f>ROUNDDOWN(LOG((X182+1),2),0)</f>
        <v/>
      </c>
      <c r="AC182" s="2">
        <f>ROUNDDOWN(LOG((Y182+1),2),0)</f>
        <v/>
      </c>
      <c r="AD182" s="2">
        <f>ROUNDDOWN(LOG((Z182+1),2),0)</f>
        <v/>
      </c>
      <c r="AG182" s="64" t="n">
        <v>186</v>
      </c>
      <c r="AH182" s="9" t="n">
        <v>0</v>
      </c>
      <c r="AI182" s="9" t="n">
        <v>3</v>
      </c>
      <c r="AJ182" s="9" t="n">
        <v>0</v>
      </c>
      <c r="AQ182" s="64" t="n">
        <v>186</v>
      </c>
      <c r="AR182" s="64" t="n">
        <v>45.586</v>
      </c>
      <c r="AS182" s="64" t="n">
        <v>68.288</v>
      </c>
      <c r="AT182" s="64" t="n">
        <v>71.79600000000001</v>
      </c>
      <c r="AV182" s="64" t="n">
        <v>186</v>
      </c>
      <c r="AW182" s="64">
        <f>Beginning_stock!AT210</f>
        <v/>
      </c>
      <c r="AX182" s="64">
        <f>Beginning_stock!AU210</f>
        <v/>
      </c>
      <c r="AY182" s="64">
        <f>Beginning_stock!AV210</f>
        <v/>
      </c>
      <c r="BA182" s="64" t="n">
        <v>186</v>
      </c>
      <c r="BB182" s="64">
        <f>IF(Demand!AU199=Retailers_Cap!N182,"ret=0",(AW182/(Demand!AU199-Retailers_Cap!N182)))</f>
        <v/>
      </c>
      <c r="BC182" s="64">
        <f>IF(Demand!AV199=Retailers_Cap!O182,"ret=0",(AX182/(Demand!AV199-Retailers_Cap!O182)))</f>
        <v/>
      </c>
      <c r="BD182" s="64">
        <f>IF(Demand!AW199=Retailers_Cap!P182,"ret=0",(AY182/(Demand!AW199-Retailers_Cap!P182)))</f>
        <v/>
      </c>
      <c r="BF182" s="64" t="n">
        <v>186</v>
      </c>
      <c r="BG182" s="2">
        <f>IF(Demand!AU199&lt;=Retailers_Cap!N182,"ret=0",(IF(BB182&lt;=AR182+Distributors_Cap!$P$47,1,0)))</f>
        <v/>
      </c>
      <c r="BH182" s="2">
        <f>IF(Demand!AV199&lt;=Retailers_Cap!O182,"ret=0",(IF(BC182&lt;=AS182+Distributors_Cap!$P$47,1,0)))</f>
        <v/>
      </c>
      <c r="BI182" s="2">
        <f>IF(Demand!AW199&lt;=Retailers_Cap!P182,"ret=0",(IF(BD182&lt;=AT182+Distributors_Cap!$P$47,1,0)))</f>
        <v/>
      </c>
      <c r="BK182" s="64" t="n">
        <v>186</v>
      </c>
      <c r="BL182" s="64">
        <f>Retailers!BH181</f>
        <v/>
      </c>
      <c r="BM182" s="64">
        <f>Retailers!BI181</f>
        <v/>
      </c>
      <c r="BN182" s="64">
        <f>Retailers!BJ181</f>
        <v/>
      </c>
      <c r="BP182" s="64" t="n">
        <v>186</v>
      </c>
      <c r="BQ182" s="64">
        <f>#REF!</f>
        <v/>
      </c>
      <c r="BR182" s="64">
        <f>#REF!</f>
        <v/>
      </c>
      <c r="BS182" s="64">
        <f>#REF!</f>
        <v/>
      </c>
      <c r="BU182" s="64" t="n">
        <v>186</v>
      </c>
      <c r="BV182" s="64">
        <f>Retailers!AS181</f>
        <v/>
      </c>
      <c r="BW182" s="64">
        <f>Retailers!AT181</f>
        <v/>
      </c>
      <c r="BX182" s="64">
        <f>Retailers!AU181</f>
        <v/>
      </c>
      <c r="BZ182" s="64" t="n">
        <v>186</v>
      </c>
      <c r="CA182" s="64">
        <f>Results!#REF!</f>
        <v/>
      </c>
      <c r="CB182" s="64">
        <f>Results!#REF!</f>
        <v/>
      </c>
      <c r="CC182" s="64">
        <f>Results!#REF!</f>
        <v/>
      </c>
      <c r="CE182" s="64" t="n">
        <v>186</v>
      </c>
      <c r="CF182" s="64">
        <f>Retailers!BN181</f>
        <v/>
      </c>
      <c r="CG182" s="64">
        <f>Retailers!BO181</f>
        <v/>
      </c>
      <c r="CH182" s="64">
        <f>Retailers!BP181</f>
        <v/>
      </c>
      <c r="CJ182" s="64" t="n">
        <v>186</v>
      </c>
      <c r="CK182" s="64">
        <f>IF(BB182="ret=0",0,IF(BB182&gt;0,AR182+Distributors_Cap!$P$47-BB182,0))</f>
        <v/>
      </c>
      <c r="CL182" s="64">
        <f>IF(BC182="ret=0",0,IF(BC182&gt;0,AS182+Distributors_Cap!$P$47-BC182,0))</f>
        <v/>
      </c>
      <c r="CM182" s="64">
        <f>IF(BD182="ret=0",0,IF(BD182&gt;0,AT182+Distributors_Cap!$P$47-BD182,0))</f>
        <v/>
      </c>
    </row>
    <row r="183">
      <c r="G183" s="64" t="n">
        <v>187</v>
      </c>
      <c r="H183" s="64" t="n">
        <v>65.64400000000001</v>
      </c>
      <c r="I183" s="64" t="n">
        <v>71.682</v>
      </c>
      <c r="J183" s="64" t="n">
        <v>49.387</v>
      </c>
      <c r="L183" s="64">
        <f>TRUNC((_xlfn.NORM.INV((RAND()),$K$7,$K$8)),0)</f>
        <v/>
      </c>
      <c r="M183" s="64" t="n">
        <v>187</v>
      </c>
      <c r="N183" s="5" t="n">
        <v>9</v>
      </c>
      <c r="O183" s="5" t="n">
        <v>34</v>
      </c>
      <c r="P183" s="5" t="n">
        <v>39</v>
      </c>
      <c r="R183" s="2">
        <f>IF(N183&gt;Demand!AU200,0,(IF(((2*(Retailers!AJ182+Distributors_Cap!$P$47)-Retailers_Cap!$BB$7)*(Demand!AU200-Retailers_Cap!N183))&lt;0,0,((IF(BB183&gt;2*(Retailers!AJ182+Distributors_Cap!$P$47),0,(IF(BG183=0,ROUNDUP((2*(Retailers!AJ182+Distributors_Cap!$P$47)-BB183)^0.5,0),ROUNDUP((2*(Retailers!AJ182+Distributors_Cap!$P$47)-BB183)^0.5,0)))))))))</f>
        <v/>
      </c>
      <c r="S183" s="2">
        <f>IF(O183&gt;Demand!AV200,0,(IF(((2*(Retailers!AK182+Distributors_Cap!$P$47)-Retailers_Cap!$BB$7)*(Demand!AV200-Retailers_Cap!O183))&lt;0,0,((IF(BC183&gt;2*(Retailers!AK182+Distributors_Cap!$P$47),0,(IF(BH183=0,ROUNDUP((2*(Retailers!AK182+Distributors_Cap!$P$47)-BC183)^0.5,0),ROUNDUP((2*(Retailers!AK182+Distributors_Cap!$P$47)-BC183)^0.5,0)))))))))</f>
        <v/>
      </c>
      <c r="T183" s="2">
        <f>IF(P183&gt;Demand!AW200,0,(IF(((2*(Retailers!AL182+Distributors_Cap!$P$47)-Retailers_Cap!$BB$7)*(Demand!AW200-Retailers_Cap!P183))&lt;0,0,((IF(BD183&gt;2*(Retailers!AL182+Distributors_Cap!$P$47),0,(IF(BI183=0,ROUNDUP((2*(Retailers!AL182+Distributors_Cap!$P$47)-BD183)^0.5,0),ROUNDUP((2*(Retailers!AL182+Distributors_Cap!$P$47)-BD183)^0.5,0)))))))))</f>
        <v/>
      </c>
      <c r="W183" s="64" t="n">
        <v>187</v>
      </c>
      <c r="X183" s="9" t="n">
        <v>14</v>
      </c>
      <c r="Y183" s="9" t="n">
        <v>0</v>
      </c>
      <c r="Z183" s="9" t="n">
        <v>0</v>
      </c>
      <c r="AB183" s="2">
        <f>ROUNDDOWN(LOG((X183+1),2),0)</f>
        <v/>
      </c>
      <c r="AC183" s="2">
        <f>ROUNDDOWN(LOG((Y183+1),2),0)</f>
        <v/>
      </c>
      <c r="AD183" s="2">
        <f>ROUNDDOWN(LOG((Z183+1),2),0)</f>
        <v/>
      </c>
      <c r="AG183" s="64" t="n">
        <v>187</v>
      </c>
      <c r="AH183" s="9" t="n">
        <v>3</v>
      </c>
      <c r="AI183" s="9" t="n">
        <v>0</v>
      </c>
      <c r="AJ183" s="9" t="n">
        <v>0</v>
      </c>
      <c r="AQ183" s="64" t="n">
        <v>187</v>
      </c>
      <c r="AR183" s="64" t="n">
        <v>65.64400000000001</v>
      </c>
      <c r="AS183" s="64" t="n">
        <v>71.682</v>
      </c>
      <c r="AT183" s="64" t="n">
        <v>49.387</v>
      </c>
      <c r="AV183" s="64" t="n">
        <v>187</v>
      </c>
      <c r="AW183" s="64">
        <f>Beginning_stock!AT211</f>
        <v/>
      </c>
      <c r="AX183" s="64">
        <f>Beginning_stock!AU211</f>
        <v/>
      </c>
      <c r="AY183" s="64">
        <f>Beginning_stock!AV211</f>
        <v/>
      </c>
      <c r="BA183" s="64" t="n">
        <v>187</v>
      </c>
      <c r="BB183" s="64">
        <f>IF(Demand!AU200=Retailers_Cap!N183,"ret=0",(AW183/(Demand!AU200-Retailers_Cap!N183)))</f>
        <v/>
      </c>
      <c r="BC183" s="64">
        <f>IF(Demand!AV200=Retailers_Cap!O183,"ret=0",(AX183/(Demand!AV200-Retailers_Cap!O183)))</f>
        <v/>
      </c>
      <c r="BD183" s="64">
        <f>IF(Demand!AW200=Retailers_Cap!P183,"ret=0",(AY183/(Demand!AW200-Retailers_Cap!P183)))</f>
        <v/>
      </c>
      <c r="BF183" s="64" t="n">
        <v>187</v>
      </c>
      <c r="BG183" s="2">
        <f>IF(Demand!AU200&lt;=Retailers_Cap!N183,"ret=0",(IF(BB183&lt;=AR183+Distributors_Cap!$P$47,1,0)))</f>
        <v/>
      </c>
      <c r="BH183" s="2">
        <f>IF(Demand!AV200&lt;=Retailers_Cap!O183,"ret=0",(IF(BC183&lt;=AS183+Distributors_Cap!$P$47,1,0)))</f>
        <v/>
      </c>
      <c r="BI183" s="2">
        <f>IF(Demand!AW200&lt;=Retailers_Cap!P183,"ret=0",(IF(BD183&lt;=AT183+Distributors_Cap!$P$47,1,0)))</f>
        <v/>
      </c>
      <c r="BK183" s="64" t="n">
        <v>187</v>
      </c>
      <c r="BL183" s="64">
        <f>Retailers!BH182</f>
        <v/>
      </c>
      <c r="BM183" s="64">
        <f>Retailers!BI182</f>
        <v/>
      </c>
      <c r="BN183" s="64">
        <f>Retailers!BJ182</f>
        <v/>
      </c>
      <c r="BP183" s="64" t="n">
        <v>187</v>
      </c>
      <c r="BQ183" s="64">
        <f>#REF!</f>
        <v/>
      </c>
      <c r="BR183" s="64">
        <f>#REF!</f>
        <v/>
      </c>
      <c r="BS183" s="64">
        <f>#REF!</f>
        <v/>
      </c>
      <c r="BU183" s="64" t="n">
        <v>187</v>
      </c>
      <c r="BV183" s="64">
        <f>Retailers!AS182</f>
        <v/>
      </c>
      <c r="BW183" s="64">
        <f>Retailers!AT182</f>
        <v/>
      </c>
      <c r="BX183" s="64">
        <f>Retailers!AU182</f>
        <v/>
      </c>
      <c r="BZ183" s="64" t="n">
        <v>187</v>
      </c>
      <c r="CA183" s="64">
        <f>Results!#REF!</f>
        <v/>
      </c>
      <c r="CB183" s="64">
        <f>Results!#REF!</f>
        <v/>
      </c>
      <c r="CC183" s="64">
        <f>Results!#REF!</f>
        <v/>
      </c>
      <c r="CE183" s="64" t="n">
        <v>187</v>
      </c>
      <c r="CF183" s="64">
        <f>Retailers!BN182</f>
        <v/>
      </c>
      <c r="CG183" s="64">
        <f>Retailers!BO182</f>
        <v/>
      </c>
      <c r="CH183" s="64">
        <f>Retailers!BP182</f>
        <v/>
      </c>
      <c r="CJ183" s="64" t="n">
        <v>187</v>
      </c>
      <c r="CK183" s="64">
        <f>IF(BB183="ret=0",0,IF(BB183&gt;0,AR183+Distributors_Cap!$P$47-BB183,0))</f>
        <v/>
      </c>
      <c r="CL183" s="64">
        <f>IF(BC183="ret=0",0,IF(BC183&gt;0,AS183+Distributors_Cap!$P$47-BC183,0))</f>
        <v/>
      </c>
      <c r="CM183" s="64">
        <f>IF(BD183="ret=0",0,IF(BD183&gt;0,AT183+Distributors_Cap!$P$47-BD183,0))</f>
        <v/>
      </c>
    </row>
    <row r="184">
      <c r="G184" s="64" t="n">
        <v>188</v>
      </c>
      <c r="H184" s="64" t="n">
        <v>43.098</v>
      </c>
      <c r="I184" s="64" t="n">
        <v>69.706</v>
      </c>
      <c r="J184" s="64" t="n">
        <v>62.839</v>
      </c>
      <c r="L184" s="64">
        <f>TRUNC((_xlfn.NORM.INV((RAND()),$K$7,$K$8)),0)</f>
        <v/>
      </c>
      <c r="M184" s="64" t="n">
        <v>188</v>
      </c>
      <c r="N184" s="5" t="n">
        <v>38</v>
      </c>
      <c r="O184" s="5" t="n">
        <v>21</v>
      </c>
      <c r="P184" s="5" t="n">
        <v>35</v>
      </c>
      <c r="R184" s="2">
        <f>IF(N184&gt;Demand!AU201,0,(IF(((2*(Retailers!AJ183+Distributors_Cap!$P$47)-Retailers_Cap!$BB$7)*(Demand!AU201-Retailers_Cap!N184))&lt;0,0,((IF(BB184&gt;2*(Retailers!AJ183+Distributors_Cap!$P$47),0,(IF(BG184=0,ROUNDUP((2*(Retailers!AJ183+Distributors_Cap!$P$47)-BB184)^0.5,0),ROUNDUP((2*(Retailers!AJ183+Distributors_Cap!$P$47)-BB184)^0.5,0)))))))))</f>
        <v/>
      </c>
      <c r="S184" s="2">
        <f>IF(O184&gt;Demand!AV201,0,(IF(((2*(Retailers!AK183+Distributors_Cap!$P$47)-Retailers_Cap!$BB$7)*(Demand!AV201-Retailers_Cap!O184))&lt;0,0,((IF(BC184&gt;2*(Retailers!AK183+Distributors_Cap!$P$47),0,(IF(BH184=0,ROUNDUP((2*(Retailers!AK183+Distributors_Cap!$P$47)-BC184)^0.5,0),ROUNDUP((2*(Retailers!AK183+Distributors_Cap!$P$47)-BC184)^0.5,0)))))))))</f>
        <v/>
      </c>
      <c r="T184" s="2">
        <f>IF(P184&gt;Demand!AW201,0,(IF(((2*(Retailers!AL183+Distributors_Cap!$P$47)-Retailers_Cap!$BB$7)*(Demand!AW201-Retailers_Cap!P184))&lt;0,0,((IF(BD184&gt;2*(Retailers!AL183+Distributors_Cap!$P$47),0,(IF(BI184=0,ROUNDUP((2*(Retailers!AL183+Distributors_Cap!$P$47)-BD184)^0.5,0),ROUNDUP((2*(Retailers!AL183+Distributors_Cap!$P$47)-BD184)^0.5,0)))))))))</f>
        <v/>
      </c>
      <c r="W184" s="64" t="n">
        <v>188</v>
      </c>
      <c r="X184" s="9" t="n">
        <v>0</v>
      </c>
      <c r="Y184" s="9" t="n">
        <v>13</v>
      </c>
      <c r="Z184" s="9" t="n">
        <v>13</v>
      </c>
      <c r="AB184" s="2">
        <f>ROUNDDOWN(LOG((X184+1),2),0)</f>
        <v/>
      </c>
      <c r="AC184" s="2">
        <f>ROUNDDOWN(LOG((Y184+1),2),0)</f>
        <v/>
      </c>
      <c r="AD184" s="2">
        <f>ROUNDDOWN(LOG((Z184+1),2),0)</f>
        <v/>
      </c>
      <c r="AG184" s="64" t="n">
        <v>188</v>
      </c>
      <c r="AH184" s="9" t="n">
        <v>0</v>
      </c>
      <c r="AI184" s="9" t="n">
        <v>3</v>
      </c>
      <c r="AJ184" s="9" t="n">
        <v>3</v>
      </c>
      <c r="AQ184" s="64" t="n">
        <v>188</v>
      </c>
      <c r="AR184" s="64" t="n">
        <v>43.098</v>
      </c>
      <c r="AS184" s="64" t="n">
        <v>69.706</v>
      </c>
      <c r="AT184" s="64" t="n">
        <v>62.839</v>
      </c>
      <c r="AV184" s="64" t="n">
        <v>188</v>
      </c>
      <c r="AW184" s="64">
        <f>Beginning_stock!AT212</f>
        <v/>
      </c>
      <c r="AX184" s="64">
        <f>Beginning_stock!AU212</f>
        <v/>
      </c>
      <c r="AY184" s="64">
        <f>Beginning_stock!AV212</f>
        <v/>
      </c>
      <c r="BA184" s="64" t="n">
        <v>188</v>
      </c>
      <c r="BB184" s="64">
        <f>IF(Demand!AU201=Retailers_Cap!N184,"ret=0",(AW184/(Demand!AU201-Retailers_Cap!N184)))</f>
        <v/>
      </c>
      <c r="BC184" s="64">
        <f>IF(Demand!AV201=Retailers_Cap!O184,"ret=0",(AX184/(Demand!AV201-Retailers_Cap!O184)))</f>
        <v/>
      </c>
      <c r="BD184" s="64">
        <f>IF(Demand!AW201=Retailers_Cap!P184,"ret=0",(AY184/(Demand!AW201-Retailers_Cap!P184)))</f>
        <v/>
      </c>
      <c r="BF184" s="64" t="n">
        <v>188</v>
      </c>
      <c r="BG184" s="2">
        <f>IF(Demand!AU201&lt;=Retailers_Cap!N184,"ret=0",(IF(BB184&lt;=AR184+Distributors_Cap!$P$47,1,0)))</f>
        <v/>
      </c>
      <c r="BH184" s="2">
        <f>IF(Demand!AV201&lt;=Retailers_Cap!O184,"ret=0",(IF(BC184&lt;=AS184+Distributors_Cap!$P$47,1,0)))</f>
        <v/>
      </c>
      <c r="BI184" s="2">
        <f>IF(Demand!AW201&lt;=Retailers_Cap!P184,"ret=0",(IF(BD184&lt;=AT184+Distributors_Cap!$P$47,1,0)))</f>
        <v/>
      </c>
      <c r="BK184" s="64" t="n">
        <v>188</v>
      </c>
      <c r="BL184" s="64">
        <f>Retailers!BH183</f>
        <v/>
      </c>
      <c r="BM184" s="64">
        <f>Retailers!BI183</f>
        <v/>
      </c>
      <c r="BN184" s="64">
        <f>Retailers!BJ183</f>
        <v/>
      </c>
      <c r="BP184" s="64" t="n">
        <v>188</v>
      </c>
      <c r="BQ184" s="64">
        <f>#REF!</f>
        <v/>
      </c>
      <c r="BR184" s="64">
        <f>#REF!</f>
        <v/>
      </c>
      <c r="BS184" s="64">
        <f>#REF!</f>
        <v/>
      </c>
      <c r="BU184" s="64" t="n">
        <v>188</v>
      </c>
      <c r="BV184" s="64">
        <f>Retailers!AS183</f>
        <v/>
      </c>
      <c r="BW184" s="64">
        <f>Retailers!AT183</f>
        <v/>
      </c>
      <c r="BX184" s="64">
        <f>Retailers!AU183</f>
        <v/>
      </c>
      <c r="BZ184" s="64" t="n">
        <v>188</v>
      </c>
      <c r="CA184" s="64">
        <f>Results!#REF!</f>
        <v/>
      </c>
      <c r="CB184" s="64">
        <f>Results!#REF!</f>
        <v/>
      </c>
      <c r="CC184" s="64">
        <f>Results!#REF!</f>
        <v/>
      </c>
      <c r="CE184" s="64" t="n">
        <v>188</v>
      </c>
      <c r="CF184" s="64">
        <f>Retailers!BN183</f>
        <v/>
      </c>
      <c r="CG184" s="64">
        <f>Retailers!BO183</f>
        <v/>
      </c>
      <c r="CH184" s="64">
        <f>Retailers!BP183</f>
        <v/>
      </c>
      <c r="CJ184" s="64" t="n">
        <v>188</v>
      </c>
      <c r="CK184" s="64">
        <f>IF(BB184="ret=0",0,IF(BB184&gt;0,AR184+Distributors_Cap!$P$47-BB184,0))</f>
        <v/>
      </c>
      <c r="CL184" s="64">
        <f>IF(BC184="ret=0",0,IF(BC184&gt;0,AS184+Distributors_Cap!$P$47-BC184,0))</f>
        <v/>
      </c>
      <c r="CM184" s="64">
        <f>IF(BD184="ret=0",0,IF(BD184&gt;0,AT184+Distributors_Cap!$P$47-BD184,0))</f>
        <v/>
      </c>
    </row>
    <row r="185">
      <c r="G185" s="64" t="n">
        <v>189</v>
      </c>
      <c r="H185" s="64" t="n">
        <v>56.564</v>
      </c>
      <c r="I185" s="64" t="n">
        <v>62.17</v>
      </c>
      <c r="J185" s="64" t="n">
        <v>57.854</v>
      </c>
      <c r="L185" s="64">
        <f>TRUNC((_xlfn.NORM.INV((RAND()),$K$7,$K$8)),0)</f>
        <v/>
      </c>
      <c r="M185" s="64" t="n">
        <v>189</v>
      </c>
      <c r="N185" s="5" t="n">
        <v>29</v>
      </c>
      <c r="O185" s="5" t="n">
        <v>40</v>
      </c>
      <c r="P185" s="5" t="n">
        <v>35</v>
      </c>
      <c r="R185" s="2">
        <f>IF(N185&gt;Demand!AU202,0,(IF(((2*(Retailers!AJ184+Distributors_Cap!$P$47)-Retailers_Cap!$BB$7)*(Demand!AU202-Retailers_Cap!N185))&lt;0,0,((IF(BB185&gt;2*(Retailers!AJ184+Distributors_Cap!$P$47),0,(IF(BG185=0,ROUNDUP((2*(Retailers!AJ184+Distributors_Cap!$P$47)-BB185)^0.5,0),ROUNDUP((2*(Retailers!AJ184+Distributors_Cap!$P$47)-BB185)^0.5,0)))))))))</f>
        <v/>
      </c>
      <c r="S185" s="2">
        <f>IF(O185&gt;Demand!AV202,0,(IF(((2*(Retailers!AK184+Distributors_Cap!$P$47)-Retailers_Cap!$BB$7)*(Demand!AV202-Retailers_Cap!O185))&lt;0,0,((IF(BC185&gt;2*(Retailers!AK184+Distributors_Cap!$P$47),0,(IF(BH185=0,ROUNDUP((2*(Retailers!AK184+Distributors_Cap!$P$47)-BC185)^0.5,0),ROUNDUP((2*(Retailers!AK184+Distributors_Cap!$P$47)-BC185)^0.5,0)))))))))</f>
        <v/>
      </c>
      <c r="T185" s="2">
        <f>IF(P185&gt;Demand!AW202,0,(IF(((2*(Retailers!AL184+Distributors_Cap!$P$47)-Retailers_Cap!$BB$7)*(Demand!AW202-Retailers_Cap!P185))&lt;0,0,((IF(BD185&gt;2*(Retailers!AL184+Distributors_Cap!$P$47),0,(IF(BI185=0,ROUNDUP((2*(Retailers!AL184+Distributors_Cap!$P$47)-BD185)^0.5,0),ROUNDUP((2*(Retailers!AL184+Distributors_Cap!$P$47)-BD185)^0.5,0)))))))))</f>
        <v/>
      </c>
      <c r="W185" s="64" t="n">
        <v>189</v>
      </c>
      <c r="X185" s="9" t="n">
        <v>0</v>
      </c>
      <c r="Y185" s="9" t="n">
        <v>0</v>
      </c>
      <c r="Z185" s="9" t="n">
        <v>0</v>
      </c>
      <c r="AB185" s="2">
        <f>ROUNDDOWN(LOG((X185+1),2),0)</f>
        <v/>
      </c>
      <c r="AC185" s="2">
        <f>ROUNDDOWN(LOG((Y185+1),2),0)</f>
        <v/>
      </c>
      <c r="AD185" s="2">
        <f>ROUNDDOWN(LOG((Z185+1),2),0)</f>
        <v/>
      </c>
      <c r="AG185" s="64" t="n">
        <v>189</v>
      </c>
      <c r="AH185" s="9" t="n">
        <v>0</v>
      </c>
      <c r="AI185" s="9" t="n">
        <v>0</v>
      </c>
      <c r="AJ185" s="9" t="n">
        <v>0</v>
      </c>
      <c r="AQ185" s="64" t="n">
        <v>189</v>
      </c>
      <c r="AR185" s="64" t="n">
        <v>56.564</v>
      </c>
      <c r="AS185" s="64" t="n">
        <v>62.17</v>
      </c>
      <c r="AT185" s="64" t="n">
        <v>57.854</v>
      </c>
      <c r="AV185" s="64" t="n">
        <v>189</v>
      </c>
      <c r="AW185" s="64">
        <f>Beginning_stock!AT213</f>
        <v/>
      </c>
      <c r="AX185" s="64">
        <f>Beginning_stock!AU213</f>
        <v/>
      </c>
      <c r="AY185" s="64">
        <f>Beginning_stock!AV213</f>
        <v/>
      </c>
      <c r="BA185" s="64" t="n">
        <v>189</v>
      </c>
      <c r="BB185" s="64">
        <f>IF(Demand!AU202=Retailers_Cap!N185,"ret=0",(AW185/(Demand!AU202-Retailers_Cap!N185)))</f>
        <v/>
      </c>
      <c r="BC185" s="64">
        <f>IF(Demand!AV202=Retailers_Cap!O185,"ret=0",(AX185/(Demand!AV202-Retailers_Cap!O185)))</f>
        <v/>
      </c>
      <c r="BD185" s="64">
        <f>IF(Demand!AW202=Retailers_Cap!P185,"ret=0",(AY185/(Demand!AW202-Retailers_Cap!P185)))</f>
        <v/>
      </c>
      <c r="BF185" s="64" t="n">
        <v>189</v>
      </c>
      <c r="BG185" s="2">
        <f>IF(Demand!AU202&lt;=Retailers_Cap!N185,"ret=0",(IF(BB185&lt;=AR185+Distributors_Cap!$P$47,1,0)))</f>
        <v/>
      </c>
      <c r="BH185" s="2">
        <f>IF(Demand!AV202&lt;=Retailers_Cap!O185,"ret=0",(IF(BC185&lt;=AS185+Distributors_Cap!$P$47,1,0)))</f>
        <v/>
      </c>
      <c r="BI185" s="2">
        <f>IF(Demand!AW202&lt;=Retailers_Cap!P185,"ret=0",(IF(BD185&lt;=AT185+Distributors_Cap!$P$47,1,0)))</f>
        <v/>
      </c>
      <c r="BK185" s="64" t="n">
        <v>189</v>
      </c>
      <c r="BL185" s="64">
        <f>Retailers!BH184</f>
        <v/>
      </c>
      <c r="BM185" s="64">
        <f>Retailers!BI184</f>
        <v/>
      </c>
      <c r="BN185" s="64">
        <f>Retailers!BJ184</f>
        <v/>
      </c>
      <c r="BP185" s="64" t="n">
        <v>189</v>
      </c>
      <c r="BQ185" s="64">
        <f>#REF!</f>
        <v/>
      </c>
      <c r="BR185" s="64">
        <f>#REF!</f>
        <v/>
      </c>
      <c r="BS185" s="64">
        <f>#REF!</f>
        <v/>
      </c>
      <c r="BU185" s="64" t="n">
        <v>189</v>
      </c>
      <c r="BV185" s="64">
        <f>Retailers!AS184</f>
        <v/>
      </c>
      <c r="BW185" s="64">
        <f>Retailers!AT184</f>
        <v/>
      </c>
      <c r="BX185" s="64">
        <f>Retailers!AU184</f>
        <v/>
      </c>
      <c r="BZ185" s="64" t="n">
        <v>189</v>
      </c>
      <c r="CA185" s="64">
        <f>Results!#REF!</f>
        <v/>
      </c>
      <c r="CB185" s="64">
        <f>Results!#REF!</f>
        <v/>
      </c>
      <c r="CC185" s="64">
        <f>Results!#REF!</f>
        <v/>
      </c>
      <c r="CE185" s="64" t="n">
        <v>189</v>
      </c>
      <c r="CF185" s="64">
        <f>Retailers!BN184</f>
        <v/>
      </c>
      <c r="CG185" s="64">
        <f>Retailers!BO184</f>
        <v/>
      </c>
      <c r="CH185" s="64">
        <f>Retailers!BP184</f>
        <v/>
      </c>
      <c r="CJ185" s="64" t="n">
        <v>189</v>
      </c>
      <c r="CK185" s="64">
        <f>IF(BB185="ret=0",0,IF(BB185&gt;0,AR185+Distributors_Cap!$P$47-BB185,0))</f>
        <v/>
      </c>
      <c r="CL185" s="64">
        <f>IF(BC185="ret=0",0,IF(BC185&gt;0,AS185+Distributors_Cap!$P$47-BC185,0))</f>
        <v/>
      </c>
      <c r="CM185" s="64">
        <f>IF(BD185="ret=0",0,IF(BD185&gt;0,AT185+Distributors_Cap!$P$47-BD185,0))</f>
        <v/>
      </c>
    </row>
    <row r="186">
      <c r="G186" s="64" t="n">
        <v>190</v>
      </c>
      <c r="H186" s="64" t="n">
        <v>39.428</v>
      </c>
      <c r="I186" s="64" t="n">
        <v>66.18899999999999</v>
      </c>
      <c r="J186" s="64" t="n">
        <v>60.83</v>
      </c>
      <c r="L186" s="64">
        <f>TRUNC((_xlfn.NORM.INV((RAND()),$K$7,$K$8)),0)</f>
        <v/>
      </c>
      <c r="M186" s="64" t="n">
        <v>190</v>
      </c>
      <c r="N186" s="5" t="n">
        <v>34</v>
      </c>
      <c r="O186" s="5" t="n">
        <v>26</v>
      </c>
      <c r="P186" s="5" t="n">
        <v>32</v>
      </c>
      <c r="R186" s="2">
        <f>IF(N186&gt;Demand!AU203,0,(IF(((2*(Retailers!AJ185+Distributors_Cap!$P$47)-Retailers_Cap!$BB$7)*(Demand!AU203-Retailers_Cap!N186))&lt;0,0,((IF(BB186&gt;2*(Retailers!AJ185+Distributors_Cap!$P$47),0,(IF(BG186=0,ROUNDUP((2*(Retailers!AJ185+Distributors_Cap!$P$47)-BB186)^0.5,0),ROUNDUP((2*(Retailers!AJ185+Distributors_Cap!$P$47)-BB186)^0.5,0)))))))))</f>
        <v/>
      </c>
      <c r="S186" s="2">
        <f>IF(O186&gt;Demand!AV203,0,(IF(((2*(Retailers!AK185+Distributors_Cap!$P$47)-Retailers_Cap!$BB$7)*(Demand!AV203-Retailers_Cap!O186))&lt;0,0,((IF(BC186&gt;2*(Retailers!AK185+Distributors_Cap!$P$47),0,(IF(BH186=0,ROUNDUP((2*(Retailers!AK185+Distributors_Cap!$P$47)-BC186)^0.5,0),ROUNDUP((2*(Retailers!AK185+Distributors_Cap!$P$47)-BC186)^0.5,0)))))))))</f>
        <v/>
      </c>
      <c r="T186" s="2">
        <f>IF(P186&gt;Demand!AW203,0,(IF(((2*(Retailers!AL185+Distributors_Cap!$P$47)-Retailers_Cap!$BB$7)*(Demand!AW203-Retailers_Cap!P186))&lt;0,0,((IF(BD186&gt;2*(Retailers!AL185+Distributors_Cap!$P$47),0,(IF(BI186=0,ROUNDUP((2*(Retailers!AL185+Distributors_Cap!$P$47)-BD186)^0.5,0),ROUNDUP((2*(Retailers!AL185+Distributors_Cap!$P$47)-BD186)^0.5,0)))))))))</f>
        <v/>
      </c>
      <c r="W186" s="64" t="n">
        <v>190</v>
      </c>
      <c r="X186" s="9" t="n">
        <v>0</v>
      </c>
      <c r="Y186" s="9" t="n">
        <v>13</v>
      </c>
      <c r="Z186" s="9" t="n">
        <v>0</v>
      </c>
      <c r="AB186" s="2">
        <f>ROUNDDOWN(LOG((X186+1),2),0)</f>
        <v/>
      </c>
      <c r="AC186" s="2">
        <f>ROUNDDOWN(LOG((Y186+1),2),0)</f>
        <v/>
      </c>
      <c r="AD186" s="2">
        <f>ROUNDDOWN(LOG((Z186+1),2),0)</f>
        <v/>
      </c>
      <c r="AG186" s="64" t="n">
        <v>190</v>
      </c>
      <c r="AH186" s="9" t="n">
        <v>0</v>
      </c>
      <c r="AI186" s="9" t="n">
        <v>3</v>
      </c>
      <c r="AJ186" s="9" t="n">
        <v>0</v>
      </c>
      <c r="AQ186" s="64" t="n">
        <v>190</v>
      </c>
      <c r="AR186" s="64" t="n">
        <v>39.428</v>
      </c>
      <c r="AS186" s="64" t="n">
        <v>66.18899999999999</v>
      </c>
      <c r="AT186" s="64" t="n">
        <v>60.83</v>
      </c>
      <c r="AV186" s="64" t="n">
        <v>190</v>
      </c>
      <c r="AW186" s="64">
        <f>Beginning_stock!AT214</f>
        <v/>
      </c>
      <c r="AX186" s="64">
        <f>Beginning_stock!AU214</f>
        <v/>
      </c>
      <c r="AY186" s="64">
        <f>Beginning_stock!AV214</f>
        <v/>
      </c>
      <c r="BA186" s="64" t="n">
        <v>190</v>
      </c>
      <c r="BB186" s="64">
        <f>IF(Demand!AU203=Retailers_Cap!N186,"ret=0",(AW186/(Demand!AU203-Retailers_Cap!N186)))</f>
        <v/>
      </c>
      <c r="BC186" s="64">
        <f>IF(Demand!AV203=Retailers_Cap!O186,"ret=0",(AX186/(Demand!AV203-Retailers_Cap!O186)))</f>
        <v/>
      </c>
      <c r="BD186" s="64">
        <f>IF(Demand!AW203=Retailers_Cap!P186,"ret=0",(AY186/(Demand!AW203-Retailers_Cap!P186)))</f>
        <v/>
      </c>
      <c r="BF186" s="64" t="n">
        <v>190</v>
      </c>
      <c r="BG186" s="2">
        <f>IF(Demand!AU203&lt;=Retailers_Cap!N186,"ret=0",(IF(BB186&lt;=AR186+Distributors_Cap!$P$47,1,0)))</f>
        <v/>
      </c>
      <c r="BH186" s="2">
        <f>IF(Demand!AV203&lt;=Retailers_Cap!O186,"ret=0",(IF(BC186&lt;=AS186+Distributors_Cap!$P$47,1,0)))</f>
        <v/>
      </c>
      <c r="BI186" s="2">
        <f>IF(Demand!AW203&lt;=Retailers_Cap!P186,"ret=0",(IF(BD186&lt;=AT186+Distributors_Cap!$P$47,1,0)))</f>
        <v/>
      </c>
      <c r="BK186" s="64" t="n">
        <v>190</v>
      </c>
      <c r="BL186" s="64">
        <f>Retailers!BH185</f>
        <v/>
      </c>
      <c r="BM186" s="64">
        <f>Retailers!BI185</f>
        <v/>
      </c>
      <c r="BN186" s="64">
        <f>Retailers!BJ185</f>
        <v/>
      </c>
      <c r="BP186" s="64" t="n">
        <v>190</v>
      </c>
      <c r="BQ186" s="64">
        <f>#REF!</f>
        <v/>
      </c>
      <c r="BR186" s="64">
        <f>#REF!</f>
        <v/>
      </c>
      <c r="BS186" s="64">
        <f>#REF!</f>
        <v/>
      </c>
      <c r="BU186" s="64" t="n">
        <v>190</v>
      </c>
      <c r="BV186" s="64">
        <f>Retailers!AS185</f>
        <v/>
      </c>
      <c r="BW186" s="64">
        <f>Retailers!AT185</f>
        <v/>
      </c>
      <c r="BX186" s="64">
        <f>Retailers!AU185</f>
        <v/>
      </c>
      <c r="BZ186" s="64" t="n">
        <v>190</v>
      </c>
      <c r="CA186" s="64">
        <f>Results!#REF!</f>
        <v/>
      </c>
      <c r="CB186" s="64">
        <f>Results!#REF!</f>
        <v/>
      </c>
      <c r="CC186" s="64">
        <f>Results!#REF!</f>
        <v/>
      </c>
      <c r="CE186" s="64" t="n">
        <v>190</v>
      </c>
      <c r="CF186" s="64">
        <f>Retailers!BN185</f>
        <v/>
      </c>
      <c r="CG186" s="64">
        <f>Retailers!BO185</f>
        <v/>
      </c>
      <c r="CH186" s="64">
        <f>Retailers!BP185</f>
        <v/>
      </c>
      <c r="CJ186" s="64" t="n">
        <v>190</v>
      </c>
      <c r="CK186" s="64">
        <f>IF(BB186="ret=0",0,IF(BB186&gt;0,AR186+Distributors_Cap!$P$47-BB186,0))</f>
        <v/>
      </c>
      <c r="CL186" s="64">
        <f>IF(BC186="ret=0",0,IF(BC186&gt;0,AS186+Distributors_Cap!$P$47-BC186,0))</f>
        <v/>
      </c>
      <c r="CM186" s="64">
        <f>IF(BD186="ret=0",0,IF(BD186&gt;0,AT186+Distributors_Cap!$P$47-BD186,0))</f>
        <v/>
      </c>
    </row>
    <row r="187">
      <c r="G187" s="64" t="n">
        <v>191</v>
      </c>
      <c r="H187" s="64" t="n">
        <v>67.929</v>
      </c>
      <c r="I187" s="64" t="n">
        <v>58.746</v>
      </c>
      <c r="J187" s="64" t="n">
        <v>67.633</v>
      </c>
      <c r="L187" s="64">
        <f>TRUNC((_xlfn.NORM.INV((RAND()),$K$7,$K$8)),0)</f>
        <v/>
      </c>
      <c r="M187" s="64" t="n">
        <v>191</v>
      </c>
      <c r="N187" s="5" t="n">
        <v>20</v>
      </c>
      <c r="O187" s="5" t="n">
        <v>20</v>
      </c>
      <c r="P187" s="5" t="n">
        <v>15</v>
      </c>
      <c r="R187" s="2">
        <f>IF(N187&gt;Demand!AU204,0,(IF(((2*(Retailers!AJ186+Distributors_Cap!$P$47)-Retailers_Cap!$BB$7)*(Demand!AU204-Retailers_Cap!N187))&lt;0,0,((IF(BB187&gt;2*(Retailers!AJ186+Distributors_Cap!$P$47),0,(IF(BG187=0,ROUNDUP((2*(Retailers!AJ186+Distributors_Cap!$P$47)-BB187)^0.5,0),ROUNDUP((2*(Retailers!AJ186+Distributors_Cap!$P$47)-BB187)^0.5,0)))))))))</f>
        <v/>
      </c>
      <c r="S187" s="2">
        <f>IF(O187&gt;Demand!AV204,0,(IF(((2*(Retailers!AK186+Distributors_Cap!$P$47)-Retailers_Cap!$BB$7)*(Demand!AV204-Retailers_Cap!O187))&lt;0,0,((IF(BC187&gt;2*(Retailers!AK186+Distributors_Cap!$P$47),0,(IF(BH187=0,ROUNDUP((2*(Retailers!AK186+Distributors_Cap!$P$47)-BC187)^0.5,0),ROUNDUP((2*(Retailers!AK186+Distributors_Cap!$P$47)-BC187)^0.5,0)))))))))</f>
        <v/>
      </c>
      <c r="T187" s="2">
        <f>IF(P187&gt;Demand!AW204,0,(IF(((2*(Retailers!AL186+Distributors_Cap!$P$47)-Retailers_Cap!$BB$7)*(Demand!AW204-Retailers_Cap!P187))&lt;0,0,((IF(BD187&gt;2*(Retailers!AL186+Distributors_Cap!$P$47),0,(IF(BI187=0,ROUNDUP((2*(Retailers!AL186+Distributors_Cap!$P$47)-BD187)^0.5,0),ROUNDUP((2*(Retailers!AL186+Distributors_Cap!$P$47)-BD187)^0.5,0)))))))))</f>
        <v/>
      </c>
      <c r="W187" s="64" t="n">
        <v>191</v>
      </c>
      <c r="X187" s="9" t="n">
        <v>12</v>
      </c>
      <c r="Y187" s="9" t="n">
        <v>13</v>
      </c>
      <c r="Z187" s="9" t="n">
        <v>13</v>
      </c>
      <c r="AB187" s="2">
        <f>ROUNDDOWN(LOG((X187+1),2),0)</f>
        <v/>
      </c>
      <c r="AC187" s="2">
        <f>ROUNDDOWN(LOG((Y187+1),2),0)</f>
        <v/>
      </c>
      <c r="AD187" s="2">
        <f>ROUNDDOWN(LOG((Z187+1),2),0)</f>
        <v/>
      </c>
      <c r="AG187" s="64" t="n">
        <v>191</v>
      </c>
      <c r="AH187" s="9" t="n">
        <v>3</v>
      </c>
      <c r="AI187" s="9" t="n">
        <v>3</v>
      </c>
      <c r="AJ187" s="9" t="n">
        <v>3</v>
      </c>
      <c r="AQ187" s="64" t="n">
        <v>191</v>
      </c>
      <c r="AR187" s="64" t="n">
        <v>67.929</v>
      </c>
      <c r="AS187" s="64" t="n">
        <v>58.746</v>
      </c>
      <c r="AT187" s="64" t="n">
        <v>67.633</v>
      </c>
      <c r="AV187" s="64" t="n">
        <v>191</v>
      </c>
      <c r="AW187" s="64">
        <f>Beginning_stock!AT215</f>
        <v/>
      </c>
      <c r="AX187" s="64">
        <f>Beginning_stock!AU215</f>
        <v/>
      </c>
      <c r="AY187" s="64">
        <f>Beginning_stock!AV215</f>
        <v/>
      </c>
      <c r="BA187" s="64" t="n">
        <v>191</v>
      </c>
      <c r="BB187" s="64">
        <f>IF(Demand!AU204=Retailers_Cap!N187,"ret=0",(AW187/(Demand!AU204-Retailers_Cap!N187)))</f>
        <v/>
      </c>
      <c r="BC187" s="64">
        <f>IF(Demand!AV204=Retailers_Cap!O187,"ret=0",(AX187/(Demand!AV204-Retailers_Cap!O187)))</f>
        <v/>
      </c>
      <c r="BD187" s="64">
        <f>IF(Demand!AW204=Retailers_Cap!P187,"ret=0",(AY187/(Demand!AW204-Retailers_Cap!P187)))</f>
        <v/>
      </c>
      <c r="BF187" s="64" t="n">
        <v>191</v>
      </c>
      <c r="BG187" s="2">
        <f>IF(Demand!AU204&lt;=Retailers_Cap!N187,"ret=0",(IF(BB187&lt;=AR187+Distributors_Cap!$P$47,1,0)))</f>
        <v/>
      </c>
      <c r="BH187" s="2">
        <f>IF(Demand!AV204&lt;=Retailers_Cap!O187,"ret=0",(IF(BC187&lt;=AS187+Distributors_Cap!$P$47,1,0)))</f>
        <v/>
      </c>
      <c r="BI187" s="2">
        <f>IF(Demand!AW204&lt;=Retailers_Cap!P187,"ret=0",(IF(BD187&lt;=AT187+Distributors_Cap!$P$47,1,0)))</f>
        <v/>
      </c>
      <c r="BK187" s="64" t="n">
        <v>191</v>
      </c>
      <c r="BL187" s="64">
        <f>Retailers!BH186</f>
        <v/>
      </c>
      <c r="BM187" s="64">
        <f>Retailers!BI186</f>
        <v/>
      </c>
      <c r="BN187" s="64">
        <f>Retailers!BJ186</f>
        <v/>
      </c>
      <c r="BP187" s="64" t="n">
        <v>191</v>
      </c>
      <c r="BQ187" s="64">
        <f>#REF!</f>
        <v/>
      </c>
      <c r="BR187" s="64">
        <f>#REF!</f>
        <v/>
      </c>
      <c r="BS187" s="64">
        <f>#REF!</f>
        <v/>
      </c>
      <c r="BU187" s="64" t="n">
        <v>191</v>
      </c>
      <c r="BV187" s="64">
        <f>Retailers!AS186</f>
        <v/>
      </c>
      <c r="BW187" s="64">
        <f>Retailers!AT186</f>
        <v/>
      </c>
      <c r="BX187" s="64">
        <f>Retailers!AU186</f>
        <v/>
      </c>
      <c r="BZ187" s="64" t="n">
        <v>191</v>
      </c>
      <c r="CA187" s="64">
        <f>Results!#REF!</f>
        <v/>
      </c>
      <c r="CB187" s="64">
        <f>Results!#REF!</f>
        <v/>
      </c>
      <c r="CC187" s="64">
        <f>Results!#REF!</f>
        <v/>
      </c>
      <c r="CE187" s="64" t="n">
        <v>191</v>
      </c>
      <c r="CF187" s="64">
        <f>Retailers!BN186</f>
        <v/>
      </c>
      <c r="CG187" s="64">
        <f>Retailers!BO186</f>
        <v/>
      </c>
      <c r="CH187" s="64">
        <f>Retailers!BP186</f>
        <v/>
      </c>
      <c r="CJ187" s="64" t="n">
        <v>191</v>
      </c>
      <c r="CK187" s="64">
        <f>IF(BB187="ret=0",0,IF(BB187&gt;0,AR187+Distributors_Cap!$P$47-BB187,0))</f>
        <v/>
      </c>
      <c r="CL187" s="64">
        <f>IF(BC187="ret=0",0,IF(BC187&gt;0,AS187+Distributors_Cap!$P$47-BC187,0))</f>
        <v/>
      </c>
      <c r="CM187" s="64">
        <f>IF(BD187="ret=0",0,IF(BD187&gt;0,AT187+Distributors_Cap!$P$47-BD187,0))</f>
        <v/>
      </c>
    </row>
    <row r="188">
      <c r="G188" s="64" t="n">
        <v>192</v>
      </c>
      <c r="H188" s="64" t="n">
        <v>71.443</v>
      </c>
      <c r="I188" s="64" t="n">
        <v>54.613</v>
      </c>
      <c r="J188" s="64" t="n">
        <v>60.529</v>
      </c>
      <c r="L188" s="64">
        <f>TRUNC((_xlfn.NORM.INV((RAND()),$K$7,$K$8)),0)</f>
        <v/>
      </c>
      <c r="M188" s="64" t="n">
        <v>192</v>
      </c>
      <c r="N188" s="5" t="n">
        <v>32</v>
      </c>
      <c r="O188" s="5" t="n">
        <v>29</v>
      </c>
      <c r="P188" s="5" t="n">
        <v>27</v>
      </c>
      <c r="R188" s="2">
        <f>IF(N188&gt;Demand!AU205,0,(IF(((2*(Retailers!AJ187+Distributors_Cap!$P$47)-Retailers_Cap!$BB$7)*(Demand!AU205-Retailers_Cap!N188))&lt;0,0,((IF(BB188&gt;2*(Retailers!AJ187+Distributors_Cap!$P$47),0,(IF(BG188=0,ROUNDUP((2*(Retailers!AJ187+Distributors_Cap!$P$47)-BB188)^0.5,0),ROUNDUP((2*(Retailers!AJ187+Distributors_Cap!$P$47)-BB188)^0.5,0)))))))))</f>
        <v/>
      </c>
      <c r="S188" s="2">
        <f>IF(O188&gt;Demand!AV205,0,(IF(((2*(Retailers!AK187+Distributors_Cap!$P$47)-Retailers_Cap!$BB$7)*(Demand!AV205-Retailers_Cap!O188))&lt;0,0,((IF(BC188&gt;2*(Retailers!AK187+Distributors_Cap!$P$47),0,(IF(BH188=0,ROUNDUP((2*(Retailers!AK187+Distributors_Cap!$P$47)-BC188)^0.5,0),ROUNDUP((2*(Retailers!AK187+Distributors_Cap!$P$47)-BC188)^0.5,0)))))))))</f>
        <v/>
      </c>
      <c r="T188" s="2">
        <f>IF(P188&gt;Demand!AW205,0,(IF(((2*(Retailers!AL187+Distributors_Cap!$P$47)-Retailers_Cap!$BB$7)*(Demand!AW205-Retailers_Cap!P188))&lt;0,0,((IF(BD188&gt;2*(Retailers!AL187+Distributors_Cap!$P$47),0,(IF(BI188=0,ROUNDUP((2*(Retailers!AL187+Distributors_Cap!$P$47)-BD188)^0.5,0),ROUNDUP((2*(Retailers!AL187+Distributors_Cap!$P$47)-BD188)^0.5,0)))))))))</f>
        <v/>
      </c>
      <c r="W188" s="64" t="n">
        <v>192</v>
      </c>
      <c r="X188" s="9" t="n">
        <v>0</v>
      </c>
      <c r="Y188" s="9" t="n">
        <v>0</v>
      </c>
      <c r="Z188" s="9" t="n">
        <v>0</v>
      </c>
      <c r="AB188" s="2">
        <f>ROUNDDOWN(LOG((X188+1),2),0)</f>
        <v/>
      </c>
      <c r="AC188" s="2">
        <f>ROUNDDOWN(LOG((Y188+1),2),0)</f>
        <v/>
      </c>
      <c r="AD188" s="2">
        <f>ROUNDDOWN(LOG((Z188+1),2),0)</f>
        <v/>
      </c>
      <c r="AG188" s="64" t="n">
        <v>192</v>
      </c>
      <c r="AH188" s="9" t="n">
        <v>0</v>
      </c>
      <c r="AI188" s="9" t="n">
        <v>0</v>
      </c>
      <c r="AJ188" s="9" t="n">
        <v>0</v>
      </c>
      <c r="AQ188" s="64" t="n">
        <v>192</v>
      </c>
      <c r="AR188" s="64" t="n">
        <v>71.443</v>
      </c>
      <c r="AS188" s="64" t="n">
        <v>54.613</v>
      </c>
      <c r="AT188" s="64" t="n">
        <v>60.529</v>
      </c>
      <c r="AV188" s="64" t="n">
        <v>192</v>
      </c>
      <c r="AW188" s="64">
        <f>Beginning_stock!AT216</f>
        <v/>
      </c>
      <c r="AX188" s="64">
        <f>Beginning_stock!AU216</f>
        <v/>
      </c>
      <c r="AY188" s="64">
        <f>Beginning_stock!AV216</f>
        <v/>
      </c>
      <c r="BA188" s="64" t="n">
        <v>192</v>
      </c>
      <c r="BB188" s="64">
        <f>IF(Demand!AU205=Retailers_Cap!N188,"ret=0",(AW188/(Demand!AU205-Retailers_Cap!N188)))</f>
        <v/>
      </c>
      <c r="BC188" s="64">
        <f>IF(Demand!AV205=Retailers_Cap!O188,"ret=0",(AX188/(Demand!AV205-Retailers_Cap!O188)))</f>
        <v/>
      </c>
      <c r="BD188" s="64">
        <f>IF(Demand!AW205=Retailers_Cap!P188,"ret=0",(AY188/(Demand!AW205-Retailers_Cap!P188)))</f>
        <v/>
      </c>
      <c r="BF188" s="64" t="n">
        <v>192</v>
      </c>
      <c r="BG188" s="2">
        <f>IF(Demand!AU205&lt;=Retailers_Cap!N188,"ret=0",(IF(BB188&lt;=AR188+Distributors_Cap!$P$47,1,0)))</f>
        <v/>
      </c>
      <c r="BH188" s="2">
        <f>IF(Demand!AV205&lt;=Retailers_Cap!O188,"ret=0",(IF(BC188&lt;=AS188+Distributors_Cap!$P$47,1,0)))</f>
        <v/>
      </c>
      <c r="BI188" s="2">
        <f>IF(Demand!AW205&lt;=Retailers_Cap!P188,"ret=0",(IF(BD188&lt;=AT188+Distributors_Cap!$P$47,1,0)))</f>
        <v/>
      </c>
      <c r="BK188" s="64" t="n">
        <v>192</v>
      </c>
      <c r="BL188" s="64">
        <f>Retailers!BH187</f>
        <v/>
      </c>
      <c r="BM188" s="64">
        <f>Retailers!BI187</f>
        <v/>
      </c>
      <c r="BN188" s="64">
        <f>Retailers!BJ187</f>
        <v/>
      </c>
      <c r="BP188" s="64" t="n">
        <v>192</v>
      </c>
      <c r="BQ188" s="64">
        <f>#REF!</f>
        <v/>
      </c>
      <c r="BR188" s="64">
        <f>#REF!</f>
        <v/>
      </c>
      <c r="BS188" s="64">
        <f>#REF!</f>
        <v/>
      </c>
      <c r="BU188" s="64" t="n">
        <v>192</v>
      </c>
      <c r="BV188" s="64">
        <f>Retailers!AS187</f>
        <v/>
      </c>
      <c r="BW188" s="64">
        <f>Retailers!AT187</f>
        <v/>
      </c>
      <c r="BX188" s="64">
        <f>Retailers!AU187</f>
        <v/>
      </c>
      <c r="BZ188" s="64" t="n">
        <v>192</v>
      </c>
      <c r="CA188" s="64">
        <f>Results!#REF!</f>
        <v/>
      </c>
      <c r="CB188" s="64">
        <f>Results!#REF!</f>
        <v/>
      </c>
      <c r="CC188" s="64">
        <f>Results!#REF!</f>
        <v/>
      </c>
      <c r="CE188" s="64" t="n">
        <v>192</v>
      </c>
      <c r="CF188" s="64">
        <f>Retailers!BN187</f>
        <v/>
      </c>
      <c r="CG188" s="64">
        <f>Retailers!BO187</f>
        <v/>
      </c>
      <c r="CH188" s="64">
        <f>Retailers!BP187</f>
        <v/>
      </c>
      <c r="CJ188" s="64" t="n">
        <v>192</v>
      </c>
      <c r="CK188" s="64">
        <f>IF(BB188="ret=0",0,IF(BB188&gt;0,AR188+Distributors_Cap!$P$47-BB188,0))</f>
        <v/>
      </c>
      <c r="CL188" s="64">
        <f>IF(BC188="ret=0",0,IF(BC188&gt;0,AS188+Distributors_Cap!$P$47-BC188,0))</f>
        <v/>
      </c>
      <c r="CM188" s="64">
        <f>IF(BD188="ret=0",0,IF(BD188&gt;0,AT188+Distributors_Cap!$P$47-BD188,0))</f>
        <v/>
      </c>
    </row>
    <row r="189">
      <c r="G189" s="64" t="n">
        <v>193</v>
      </c>
      <c r="H189" s="64" t="n">
        <v>39.353</v>
      </c>
      <c r="I189" s="64" t="n">
        <v>32.532</v>
      </c>
      <c r="J189" s="64" t="n">
        <v>67.015</v>
      </c>
      <c r="L189" s="64">
        <f>TRUNC((_xlfn.NORM.INV((RAND()),$K$7,$K$8)),0)</f>
        <v/>
      </c>
      <c r="M189" s="64" t="n">
        <v>193</v>
      </c>
      <c r="N189" s="5" t="n">
        <v>26</v>
      </c>
      <c r="O189" s="5" t="n">
        <v>26</v>
      </c>
      <c r="P189" s="5" t="n">
        <v>24</v>
      </c>
      <c r="R189" s="2">
        <f>IF(N189&gt;Demand!AU206,0,(IF(((2*(Retailers!AJ188+Distributors_Cap!$P$47)-Retailers_Cap!$BB$7)*(Demand!AU206-Retailers_Cap!N189))&lt;0,0,((IF(BB189&gt;2*(Retailers!AJ188+Distributors_Cap!$P$47),0,(IF(BG189=0,ROUNDUP((2*(Retailers!AJ188+Distributors_Cap!$P$47)-BB189)^0.5,0),ROUNDUP((2*(Retailers!AJ188+Distributors_Cap!$P$47)-BB189)^0.5,0)))))))))</f>
        <v/>
      </c>
      <c r="S189" s="2">
        <f>IF(O189&gt;Demand!AV206,0,(IF(((2*(Retailers!AK188+Distributors_Cap!$P$47)-Retailers_Cap!$BB$7)*(Demand!AV206-Retailers_Cap!O189))&lt;0,0,((IF(BC189&gt;2*(Retailers!AK188+Distributors_Cap!$P$47),0,(IF(BH189=0,ROUNDUP((2*(Retailers!AK188+Distributors_Cap!$P$47)-BC189)^0.5,0),ROUNDUP((2*(Retailers!AK188+Distributors_Cap!$P$47)-BC189)^0.5,0)))))))))</f>
        <v/>
      </c>
      <c r="T189" s="2">
        <f>IF(P189&gt;Demand!AW206,0,(IF(((2*(Retailers!AL188+Distributors_Cap!$P$47)-Retailers_Cap!$BB$7)*(Demand!AW206-Retailers_Cap!P189))&lt;0,0,((IF(BD189&gt;2*(Retailers!AL188+Distributors_Cap!$P$47),0,(IF(BI189=0,ROUNDUP((2*(Retailers!AL188+Distributors_Cap!$P$47)-BD189)^0.5,0),ROUNDUP((2*(Retailers!AL188+Distributors_Cap!$P$47)-BD189)^0.5,0)))))))))</f>
        <v/>
      </c>
      <c r="W189" s="64" t="n">
        <v>193</v>
      </c>
      <c r="X189" s="9" t="n">
        <v>12</v>
      </c>
      <c r="Y189" s="9" t="n">
        <v>10</v>
      </c>
      <c r="Z189" s="9" t="n">
        <v>10</v>
      </c>
      <c r="AB189" s="2">
        <f>ROUNDDOWN(LOG((X189+1),2),0)</f>
        <v/>
      </c>
      <c r="AC189" s="2">
        <f>ROUNDDOWN(LOG((Y189+1),2),0)</f>
        <v/>
      </c>
      <c r="AD189" s="2">
        <f>ROUNDDOWN(LOG((Z189+1),2),0)</f>
        <v/>
      </c>
      <c r="AG189" s="64" t="n">
        <v>193</v>
      </c>
      <c r="AH189" s="9" t="n">
        <v>3</v>
      </c>
      <c r="AI189" s="9" t="n">
        <v>3</v>
      </c>
      <c r="AJ189" s="9" t="n">
        <v>3</v>
      </c>
      <c r="AQ189" s="64" t="n">
        <v>193</v>
      </c>
      <c r="AR189" s="64" t="n">
        <v>39.353</v>
      </c>
      <c r="AS189" s="64" t="n">
        <v>32.532</v>
      </c>
      <c r="AT189" s="64" t="n">
        <v>67.015</v>
      </c>
      <c r="AV189" s="64" t="n">
        <v>193</v>
      </c>
      <c r="AW189" s="64">
        <f>Beginning_stock!AT217</f>
        <v/>
      </c>
      <c r="AX189" s="64">
        <f>Beginning_stock!AU217</f>
        <v/>
      </c>
      <c r="AY189" s="64">
        <f>Beginning_stock!AV217</f>
        <v/>
      </c>
      <c r="BA189" s="64" t="n">
        <v>193</v>
      </c>
      <c r="BB189" s="64">
        <f>IF(Demand!AU206=Retailers_Cap!N189,"ret=0",(AW189/(Demand!AU206-Retailers_Cap!N189)))</f>
        <v/>
      </c>
      <c r="BC189" s="64">
        <f>IF(Demand!AV206=Retailers_Cap!O189,"ret=0",(AX189/(Demand!AV206-Retailers_Cap!O189)))</f>
        <v/>
      </c>
      <c r="BD189" s="64">
        <f>IF(Demand!AW206=Retailers_Cap!P189,"ret=0",(AY189/(Demand!AW206-Retailers_Cap!P189)))</f>
        <v/>
      </c>
      <c r="BF189" s="64" t="n">
        <v>193</v>
      </c>
      <c r="BG189" s="2">
        <f>IF(Demand!AU206&lt;=Retailers_Cap!N189,"ret=0",(IF(BB189&lt;=AR189+Distributors_Cap!$P$47,1,0)))</f>
        <v/>
      </c>
      <c r="BH189" s="2">
        <f>IF(Demand!AV206&lt;=Retailers_Cap!O189,"ret=0",(IF(BC189&lt;=AS189+Distributors_Cap!$P$47,1,0)))</f>
        <v/>
      </c>
      <c r="BI189" s="2">
        <f>IF(Demand!AW206&lt;=Retailers_Cap!P189,"ret=0",(IF(BD189&lt;=AT189+Distributors_Cap!$P$47,1,0)))</f>
        <v/>
      </c>
      <c r="BK189" s="64" t="n">
        <v>193</v>
      </c>
      <c r="BL189" s="64">
        <f>Retailers!BH188</f>
        <v/>
      </c>
      <c r="BM189" s="64">
        <f>Retailers!BI188</f>
        <v/>
      </c>
      <c r="BN189" s="64">
        <f>Retailers!BJ188</f>
        <v/>
      </c>
      <c r="BP189" s="64" t="n">
        <v>193</v>
      </c>
      <c r="BQ189" s="64">
        <f>#REF!</f>
        <v/>
      </c>
      <c r="BR189" s="64">
        <f>#REF!</f>
        <v/>
      </c>
      <c r="BS189" s="64">
        <f>#REF!</f>
        <v/>
      </c>
      <c r="BU189" s="64" t="n">
        <v>193</v>
      </c>
      <c r="BV189" s="64">
        <f>Retailers!AS188</f>
        <v/>
      </c>
      <c r="BW189" s="64">
        <f>Retailers!AT188</f>
        <v/>
      </c>
      <c r="BX189" s="64">
        <f>Retailers!AU188</f>
        <v/>
      </c>
      <c r="BZ189" s="64" t="n">
        <v>193</v>
      </c>
      <c r="CA189" s="64">
        <f>Results!#REF!</f>
        <v/>
      </c>
      <c r="CB189" s="64">
        <f>Results!#REF!</f>
        <v/>
      </c>
      <c r="CC189" s="64">
        <f>Results!#REF!</f>
        <v/>
      </c>
      <c r="CE189" s="64" t="n">
        <v>193</v>
      </c>
      <c r="CF189" s="64">
        <f>Retailers!BN188</f>
        <v/>
      </c>
      <c r="CG189" s="64">
        <f>Retailers!BO188</f>
        <v/>
      </c>
      <c r="CH189" s="64">
        <f>Retailers!BP188</f>
        <v/>
      </c>
      <c r="CJ189" s="64" t="n">
        <v>193</v>
      </c>
      <c r="CK189" s="64">
        <f>IF(BB189="ret=0",0,IF(BB189&gt;0,AR189+Distributors_Cap!$P$47-BB189,0))</f>
        <v/>
      </c>
      <c r="CL189" s="64">
        <f>IF(BC189="ret=0",0,IF(BC189&gt;0,AS189+Distributors_Cap!$P$47-BC189,0))</f>
        <v/>
      </c>
      <c r="CM189" s="64">
        <f>IF(BD189="ret=0",0,IF(BD189&gt;0,AT189+Distributors_Cap!$P$47-BD189,0))</f>
        <v/>
      </c>
    </row>
    <row r="190">
      <c r="G190" s="64" t="n">
        <v>194</v>
      </c>
      <c r="H190" s="64" t="n">
        <v>62.43</v>
      </c>
      <c r="I190" s="64" t="n">
        <v>37.211</v>
      </c>
      <c r="J190" s="64" t="n">
        <v>64.06399999999999</v>
      </c>
      <c r="L190" s="64">
        <f>TRUNC((_xlfn.NORM.INV((RAND()),$K$7,$K$8)),0)</f>
        <v/>
      </c>
      <c r="M190" s="64" t="n">
        <v>194</v>
      </c>
      <c r="N190" s="5" t="n">
        <v>26</v>
      </c>
      <c r="O190" s="5" t="n">
        <v>30</v>
      </c>
      <c r="P190" s="5" t="n">
        <v>16</v>
      </c>
      <c r="R190" s="2">
        <f>IF(N190&gt;Demand!AU207,0,(IF(((2*(Retailers!AJ189+Distributors_Cap!$P$47)-Retailers_Cap!$BB$7)*(Demand!AU207-Retailers_Cap!N190))&lt;0,0,((IF(BB190&gt;2*(Retailers!AJ189+Distributors_Cap!$P$47),0,(IF(BG190=0,ROUNDUP((2*(Retailers!AJ189+Distributors_Cap!$P$47)-BB190)^0.5,0),ROUNDUP((2*(Retailers!AJ189+Distributors_Cap!$P$47)-BB190)^0.5,0)))))))))</f>
        <v/>
      </c>
      <c r="S190" s="2">
        <f>IF(O190&gt;Demand!AV207,0,(IF(((2*(Retailers!AK189+Distributors_Cap!$P$47)-Retailers_Cap!$BB$7)*(Demand!AV207-Retailers_Cap!O190))&lt;0,0,((IF(BC190&gt;2*(Retailers!AK189+Distributors_Cap!$P$47),0,(IF(BH190=0,ROUNDUP((2*(Retailers!AK189+Distributors_Cap!$P$47)-BC190)^0.5,0),ROUNDUP((2*(Retailers!AK189+Distributors_Cap!$P$47)-BC190)^0.5,0)))))))))</f>
        <v/>
      </c>
      <c r="T190" s="2">
        <f>IF(P190&gt;Demand!AW207,0,(IF(((2*(Retailers!AL189+Distributors_Cap!$P$47)-Retailers_Cap!$BB$7)*(Demand!AW207-Retailers_Cap!P190))&lt;0,0,((IF(BD190&gt;2*(Retailers!AL189+Distributors_Cap!$P$47),0,(IF(BI190=0,ROUNDUP((2*(Retailers!AL189+Distributors_Cap!$P$47)-BD190)^0.5,0),ROUNDUP((2*(Retailers!AL189+Distributors_Cap!$P$47)-BD190)^0.5,0)))))))))</f>
        <v/>
      </c>
      <c r="W190" s="64" t="n">
        <v>194</v>
      </c>
      <c r="X190" s="9" t="n">
        <v>12</v>
      </c>
      <c r="Y190" s="9" t="n">
        <v>0</v>
      </c>
      <c r="Z190" s="9" t="n">
        <v>13</v>
      </c>
      <c r="AB190" s="2">
        <f>ROUNDDOWN(LOG((X190+1),2),0)</f>
        <v/>
      </c>
      <c r="AC190" s="2">
        <f>ROUNDDOWN(LOG((Y190+1),2),0)</f>
        <v/>
      </c>
      <c r="AD190" s="2">
        <f>ROUNDDOWN(LOG((Z190+1),2),0)</f>
        <v/>
      </c>
      <c r="AG190" s="64" t="n">
        <v>194</v>
      </c>
      <c r="AH190" s="9" t="n">
        <v>3</v>
      </c>
      <c r="AI190" s="9" t="n">
        <v>0</v>
      </c>
      <c r="AJ190" s="9" t="n">
        <v>3</v>
      </c>
      <c r="AQ190" s="64" t="n">
        <v>194</v>
      </c>
      <c r="AR190" s="64" t="n">
        <v>62.43</v>
      </c>
      <c r="AS190" s="64" t="n">
        <v>37.211</v>
      </c>
      <c r="AT190" s="64" t="n">
        <v>64.06399999999999</v>
      </c>
      <c r="AV190" s="64" t="n">
        <v>194</v>
      </c>
      <c r="AW190" s="64">
        <f>Beginning_stock!AT218</f>
        <v/>
      </c>
      <c r="AX190" s="64">
        <f>Beginning_stock!AU218</f>
        <v/>
      </c>
      <c r="AY190" s="64">
        <f>Beginning_stock!AV218</f>
        <v/>
      </c>
      <c r="BA190" s="64" t="n">
        <v>194</v>
      </c>
      <c r="BB190" s="64">
        <f>IF(Demand!AU207=Retailers_Cap!N190,"ret=0",(AW190/(Demand!AU207-Retailers_Cap!N190)))</f>
        <v/>
      </c>
      <c r="BC190" s="64">
        <f>IF(Demand!AV207=Retailers_Cap!O190,"ret=0",(AX190/(Demand!AV207-Retailers_Cap!O190)))</f>
        <v/>
      </c>
      <c r="BD190" s="64">
        <f>IF(Demand!AW207=Retailers_Cap!P190,"ret=0",(AY190/(Demand!AW207-Retailers_Cap!P190)))</f>
        <v/>
      </c>
      <c r="BF190" s="64" t="n">
        <v>194</v>
      </c>
      <c r="BG190" s="2">
        <f>IF(Demand!AU207&lt;=Retailers_Cap!N190,"ret=0",(IF(BB190&lt;=AR190+Distributors_Cap!$P$47,1,0)))</f>
        <v/>
      </c>
      <c r="BH190" s="2">
        <f>IF(Demand!AV207&lt;=Retailers_Cap!O190,"ret=0",(IF(BC190&lt;=AS190+Distributors_Cap!$P$47,1,0)))</f>
        <v/>
      </c>
      <c r="BI190" s="2">
        <f>IF(Demand!AW207&lt;=Retailers_Cap!P190,"ret=0",(IF(BD190&lt;=AT190+Distributors_Cap!$P$47,1,0)))</f>
        <v/>
      </c>
      <c r="BK190" s="64" t="n">
        <v>194</v>
      </c>
      <c r="BL190" s="64">
        <f>Retailers!BH189</f>
        <v/>
      </c>
      <c r="BM190" s="64">
        <f>Retailers!BI189</f>
        <v/>
      </c>
      <c r="BN190" s="64">
        <f>Retailers!BJ189</f>
        <v/>
      </c>
      <c r="BP190" s="64" t="n">
        <v>194</v>
      </c>
      <c r="BQ190" s="64">
        <f>#REF!</f>
        <v/>
      </c>
      <c r="BR190" s="64">
        <f>#REF!</f>
        <v/>
      </c>
      <c r="BS190" s="64">
        <f>#REF!</f>
        <v/>
      </c>
      <c r="BU190" s="64" t="n">
        <v>194</v>
      </c>
      <c r="BV190" s="64">
        <f>Retailers!AS189</f>
        <v/>
      </c>
      <c r="BW190" s="64">
        <f>Retailers!AT189</f>
        <v/>
      </c>
      <c r="BX190" s="64">
        <f>Retailers!AU189</f>
        <v/>
      </c>
      <c r="BZ190" s="64" t="n">
        <v>194</v>
      </c>
      <c r="CA190" s="64">
        <f>Results!#REF!</f>
        <v/>
      </c>
      <c r="CB190" s="64">
        <f>Results!#REF!</f>
        <v/>
      </c>
      <c r="CC190" s="64">
        <f>Results!#REF!</f>
        <v/>
      </c>
      <c r="CE190" s="64" t="n">
        <v>194</v>
      </c>
      <c r="CF190" s="64">
        <f>Retailers!BN189</f>
        <v/>
      </c>
      <c r="CG190" s="64">
        <f>Retailers!BO189</f>
        <v/>
      </c>
      <c r="CH190" s="64">
        <f>Retailers!BP189</f>
        <v/>
      </c>
      <c r="CJ190" s="64" t="n">
        <v>194</v>
      </c>
      <c r="CK190" s="64">
        <f>IF(BB190="ret=0",0,IF(BB190&gt;0,AR190+Distributors_Cap!$P$47-BB190,0))</f>
        <v/>
      </c>
      <c r="CL190" s="64">
        <f>IF(BC190="ret=0",0,IF(BC190&gt;0,AS190+Distributors_Cap!$P$47-BC190,0))</f>
        <v/>
      </c>
      <c r="CM190" s="64">
        <f>IF(BD190="ret=0",0,IF(BD190&gt;0,AT190+Distributors_Cap!$P$47-BD190,0))</f>
        <v/>
      </c>
    </row>
    <row r="191">
      <c r="G191" s="64" t="n">
        <v>195</v>
      </c>
      <c r="H191" s="64" t="n">
        <v>71.324</v>
      </c>
      <c r="I191" s="64" t="n">
        <v>66.39100000000001</v>
      </c>
      <c r="J191" s="64" t="n">
        <v>59.448</v>
      </c>
      <c r="L191" s="64">
        <f>TRUNC((_xlfn.NORM.INV((RAND()),$K$7,$K$8)),0)</f>
        <v/>
      </c>
      <c r="M191" s="64" t="n">
        <v>195</v>
      </c>
      <c r="N191" s="5" t="n">
        <v>27</v>
      </c>
      <c r="O191" s="5" t="n">
        <v>24</v>
      </c>
      <c r="P191" s="5" t="n">
        <v>39</v>
      </c>
      <c r="R191" s="2">
        <f>IF(N191&gt;Demand!AU208,0,(IF(((2*(Retailers!AJ190+Distributors_Cap!$P$47)-Retailers_Cap!$BB$7)*(Demand!AU208-Retailers_Cap!N191))&lt;0,0,((IF(BB191&gt;2*(Retailers!AJ190+Distributors_Cap!$P$47),0,(IF(BG191=0,ROUNDUP((2*(Retailers!AJ190+Distributors_Cap!$P$47)-BB191)^0.5,0),ROUNDUP((2*(Retailers!AJ190+Distributors_Cap!$P$47)-BB191)^0.5,0)))))))))</f>
        <v/>
      </c>
      <c r="S191" s="2">
        <f>IF(O191&gt;Demand!AV208,0,(IF(((2*(Retailers!AK190+Distributors_Cap!$P$47)-Retailers_Cap!$BB$7)*(Demand!AV208-Retailers_Cap!O191))&lt;0,0,((IF(BC191&gt;2*(Retailers!AK190+Distributors_Cap!$P$47),0,(IF(BH191=0,ROUNDUP((2*(Retailers!AK190+Distributors_Cap!$P$47)-BC191)^0.5,0),ROUNDUP((2*(Retailers!AK190+Distributors_Cap!$P$47)-BC191)^0.5,0)))))))))</f>
        <v/>
      </c>
      <c r="T191" s="2">
        <f>IF(P191&gt;Demand!AW208,0,(IF(((2*(Retailers!AL190+Distributors_Cap!$P$47)-Retailers_Cap!$BB$7)*(Demand!AW208-Retailers_Cap!P191))&lt;0,0,((IF(BD191&gt;2*(Retailers!AL190+Distributors_Cap!$P$47),0,(IF(BI191=0,ROUNDUP((2*(Retailers!AL190+Distributors_Cap!$P$47)-BD191)^0.5,0),ROUNDUP((2*(Retailers!AL190+Distributors_Cap!$P$47)-BD191)^0.5,0)))))))))</f>
        <v/>
      </c>
      <c r="W191" s="64" t="n">
        <v>195</v>
      </c>
      <c r="X191" s="9" t="n">
        <v>13</v>
      </c>
      <c r="Y191" s="9" t="n">
        <v>0</v>
      </c>
      <c r="Z191" s="9" t="n">
        <v>0</v>
      </c>
      <c r="AB191" s="2">
        <f>ROUNDDOWN(LOG((X191+1),2),0)</f>
        <v/>
      </c>
      <c r="AC191" s="2">
        <f>ROUNDDOWN(LOG((Y191+1),2),0)</f>
        <v/>
      </c>
      <c r="AD191" s="2">
        <f>ROUNDDOWN(LOG((Z191+1),2),0)</f>
        <v/>
      </c>
      <c r="AG191" s="64" t="n">
        <v>195</v>
      </c>
      <c r="AH191" s="9" t="n">
        <v>3</v>
      </c>
      <c r="AI191" s="9" t="n">
        <v>0</v>
      </c>
      <c r="AJ191" s="9" t="n">
        <v>0</v>
      </c>
      <c r="AQ191" s="64" t="n">
        <v>195</v>
      </c>
      <c r="AR191" s="64" t="n">
        <v>71.324</v>
      </c>
      <c r="AS191" s="64" t="n">
        <v>66.39100000000001</v>
      </c>
      <c r="AT191" s="64" t="n">
        <v>59.448</v>
      </c>
      <c r="AV191" s="64" t="n">
        <v>195</v>
      </c>
      <c r="AW191" s="64">
        <f>Beginning_stock!AT219</f>
        <v/>
      </c>
      <c r="AX191" s="64">
        <f>Beginning_stock!AU219</f>
        <v/>
      </c>
      <c r="AY191" s="64">
        <f>Beginning_stock!AV219</f>
        <v/>
      </c>
      <c r="BA191" s="64" t="n">
        <v>195</v>
      </c>
      <c r="BB191" s="64">
        <f>IF(Demand!AU208=Retailers_Cap!N191,"ret=0",(AW191/(Demand!AU208-Retailers_Cap!N191)))</f>
        <v/>
      </c>
      <c r="BC191" s="64">
        <f>IF(Demand!AV208=Retailers_Cap!O191,"ret=0",(AX191/(Demand!AV208-Retailers_Cap!O191)))</f>
        <v/>
      </c>
      <c r="BD191" s="64">
        <f>IF(Demand!AW208=Retailers_Cap!P191,"ret=0",(AY191/(Demand!AW208-Retailers_Cap!P191)))</f>
        <v/>
      </c>
      <c r="BF191" s="64" t="n">
        <v>195</v>
      </c>
      <c r="BG191" s="2">
        <f>IF(Demand!AU208&lt;=Retailers_Cap!N191,"ret=0",(IF(BB191&lt;=AR191+Distributors_Cap!$P$47,1,0)))</f>
        <v/>
      </c>
      <c r="BH191" s="2">
        <f>IF(Demand!AV208&lt;=Retailers_Cap!O191,"ret=0",(IF(BC191&lt;=AS191+Distributors_Cap!$P$47,1,0)))</f>
        <v/>
      </c>
      <c r="BI191" s="2">
        <f>IF(Demand!AW208&lt;=Retailers_Cap!P191,"ret=0",(IF(BD191&lt;=AT191+Distributors_Cap!$P$47,1,0)))</f>
        <v/>
      </c>
      <c r="BK191" s="64" t="n">
        <v>195</v>
      </c>
      <c r="BL191" s="64">
        <f>Retailers!BH190</f>
        <v/>
      </c>
      <c r="BM191" s="64">
        <f>Retailers!BI190</f>
        <v/>
      </c>
      <c r="BN191" s="64">
        <f>Retailers!BJ190</f>
        <v/>
      </c>
      <c r="BP191" s="64" t="n">
        <v>195</v>
      </c>
      <c r="BQ191" s="64">
        <f>#REF!</f>
        <v/>
      </c>
      <c r="BR191" s="64">
        <f>#REF!</f>
        <v/>
      </c>
      <c r="BS191" s="64">
        <f>#REF!</f>
        <v/>
      </c>
      <c r="BU191" s="64" t="n">
        <v>195</v>
      </c>
      <c r="BV191" s="64">
        <f>Retailers!AS190</f>
        <v/>
      </c>
      <c r="BW191" s="64">
        <f>Retailers!AT190</f>
        <v/>
      </c>
      <c r="BX191" s="64">
        <f>Retailers!AU190</f>
        <v/>
      </c>
      <c r="BZ191" s="64" t="n">
        <v>195</v>
      </c>
      <c r="CA191" s="64">
        <f>Results!#REF!</f>
        <v/>
      </c>
      <c r="CB191" s="64">
        <f>Results!#REF!</f>
        <v/>
      </c>
      <c r="CC191" s="64">
        <f>Results!#REF!</f>
        <v/>
      </c>
      <c r="CE191" s="64" t="n">
        <v>195</v>
      </c>
      <c r="CF191" s="64">
        <f>Retailers!BN190</f>
        <v/>
      </c>
      <c r="CG191" s="64">
        <f>Retailers!BO190</f>
        <v/>
      </c>
      <c r="CH191" s="64">
        <f>Retailers!BP190</f>
        <v/>
      </c>
      <c r="CJ191" s="64" t="n">
        <v>195</v>
      </c>
      <c r="CK191" s="64">
        <f>IF(BB191="ret=0",0,IF(BB191&gt;0,AR191+Distributors_Cap!$P$47-BB191,0))</f>
        <v/>
      </c>
      <c r="CL191" s="64">
        <f>IF(BC191="ret=0",0,IF(BC191&gt;0,AS191+Distributors_Cap!$P$47-BC191,0))</f>
        <v/>
      </c>
      <c r="CM191" s="64">
        <f>IF(BD191="ret=0",0,IF(BD191&gt;0,AT191+Distributors_Cap!$P$47-BD191,0))</f>
        <v/>
      </c>
    </row>
    <row r="192">
      <c r="G192" s="64" t="n">
        <v>196</v>
      </c>
      <c r="H192" s="64" t="n">
        <v>66.685</v>
      </c>
      <c r="I192" s="64" t="n">
        <v>44.804</v>
      </c>
      <c r="J192" s="64" t="n">
        <v>58.699</v>
      </c>
      <c r="L192" s="64">
        <f>TRUNC((_xlfn.NORM.INV((RAND()),$K$7,$K$8)),0)</f>
        <v/>
      </c>
      <c r="M192" s="64" t="n">
        <v>196</v>
      </c>
      <c r="N192" s="5" t="n">
        <v>32</v>
      </c>
      <c r="O192" s="5" t="n">
        <v>26</v>
      </c>
      <c r="P192" s="5" t="n">
        <v>34</v>
      </c>
      <c r="R192" s="2">
        <f>IF(N192&gt;Demand!AU209,0,(IF(((2*(Retailers!AJ191+Distributors_Cap!$P$47)-Retailers_Cap!$BB$7)*(Demand!AU209-Retailers_Cap!N192))&lt;0,0,((IF(BB192&gt;2*(Retailers!AJ191+Distributors_Cap!$P$47),0,(IF(BG192=0,ROUNDUP((2*(Retailers!AJ191+Distributors_Cap!$P$47)-BB192)^0.5,0),ROUNDUP((2*(Retailers!AJ191+Distributors_Cap!$P$47)-BB192)^0.5,0)))))))))</f>
        <v/>
      </c>
      <c r="S192" s="2">
        <f>IF(O192&gt;Demand!AV209,0,(IF(((2*(Retailers!AK191+Distributors_Cap!$P$47)-Retailers_Cap!$BB$7)*(Demand!AV209-Retailers_Cap!O192))&lt;0,0,((IF(BC192&gt;2*(Retailers!AK191+Distributors_Cap!$P$47),0,(IF(BH192=0,ROUNDUP((2*(Retailers!AK191+Distributors_Cap!$P$47)-BC192)^0.5,0),ROUNDUP((2*(Retailers!AK191+Distributors_Cap!$P$47)-BC192)^0.5,0)))))))))</f>
        <v/>
      </c>
      <c r="T192" s="2">
        <f>IF(P192&gt;Demand!AW209,0,(IF(((2*(Retailers!AL191+Distributors_Cap!$P$47)-Retailers_Cap!$BB$7)*(Demand!AW209-Retailers_Cap!P192))&lt;0,0,((IF(BD192&gt;2*(Retailers!AL191+Distributors_Cap!$P$47),0,(IF(BI192=0,ROUNDUP((2*(Retailers!AL191+Distributors_Cap!$P$47)-BD192)^0.5,0),ROUNDUP((2*(Retailers!AL191+Distributors_Cap!$P$47)-BD192)^0.5,0)))))))))</f>
        <v/>
      </c>
      <c r="W192" s="64" t="n">
        <v>196</v>
      </c>
      <c r="X192" s="9" t="n">
        <v>0</v>
      </c>
      <c r="Y192" s="9" t="n">
        <v>0</v>
      </c>
      <c r="Z192" s="9" t="n">
        <v>0</v>
      </c>
      <c r="AB192" s="2">
        <f>ROUNDDOWN(LOG((X192+1),2),0)</f>
        <v/>
      </c>
      <c r="AC192" s="2">
        <f>ROUNDDOWN(LOG((Y192+1),2),0)</f>
        <v/>
      </c>
      <c r="AD192" s="2">
        <f>ROUNDDOWN(LOG((Z192+1),2),0)</f>
        <v/>
      </c>
      <c r="AG192" s="64" t="n">
        <v>196</v>
      </c>
      <c r="AH192" s="9" t="n">
        <v>0</v>
      </c>
      <c r="AI192" s="9" t="n">
        <v>0</v>
      </c>
      <c r="AJ192" s="9" t="n">
        <v>0</v>
      </c>
      <c r="AQ192" s="64" t="n">
        <v>196</v>
      </c>
      <c r="AR192" s="64" t="n">
        <v>66.685</v>
      </c>
      <c r="AS192" s="64" t="n">
        <v>44.804</v>
      </c>
      <c r="AT192" s="64" t="n">
        <v>58.699</v>
      </c>
      <c r="AV192" s="64" t="n">
        <v>196</v>
      </c>
      <c r="AW192" s="64">
        <f>Beginning_stock!AT220</f>
        <v/>
      </c>
      <c r="AX192" s="64">
        <f>Beginning_stock!AU220</f>
        <v/>
      </c>
      <c r="AY192" s="64">
        <f>Beginning_stock!AV220</f>
        <v/>
      </c>
      <c r="BA192" s="64" t="n">
        <v>196</v>
      </c>
      <c r="BB192" s="64">
        <f>IF(Demand!AU209=Retailers_Cap!N192,"ret=0",(AW192/(Demand!AU209-Retailers_Cap!N192)))</f>
        <v/>
      </c>
      <c r="BC192" s="64">
        <f>IF(Demand!AV209=Retailers_Cap!O192,"ret=0",(AX192/(Demand!AV209-Retailers_Cap!O192)))</f>
        <v/>
      </c>
      <c r="BD192" s="64">
        <f>IF(Demand!AW209=Retailers_Cap!P192,"ret=0",(AY192/(Demand!AW209-Retailers_Cap!P192)))</f>
        <v/>
      </c>
      <c r="BF192" s="64" t="n">
        <v>196</v>
      </c>
      <c r="BG192" s="2">
        <f>IF(Demand!AU209&lt;=Retailers_Cap!N192,"ret=0",(IF(BB192&lt;=AR192+Distributors_Cap!$P$47,1,0)))</f>
        <v/>
      </c>
      <c r="BH192" s="2">
        <f>IF(Demand!AV209&lt;=Retailers_Cap!O192,"ret=0",(IF(BC192&lt;=AS192+Distributors_Cap!$P$47,1,0)))</f>
        <v/>
      </c>
      <c r="BI192" s="2">
        <f>IF(Demand!AW209&lt;=Retailers_Cap!P192,"ret=0",(IF(BD192&lt;=AT192+Distributors_Cap!$P$47,1,0)))</f>
        <v/>
      </c>
      <c r="BK192" s="64" t="n">
        <v>196</v>
      </c>
      <c r="BL192" s="64">
        <f>Retailers!BH191</f>
        <v/>
      </c>
      <c r="BM192" s="64">
        <f>Retailers!BI191</f>
        <v/>
      </c>
      <c r="BN192" s="64">
        <f>Retailers!BJ191</f>
        <v/>
      </c>
      <c r="BP192" s="64" t="n">
        <v>196</v>
      </c>
      <c r="BQ192" s="64">
        <f>#REF!</f>
        <v/>
      </c>
      <c r="BR192" s="64">
        <f>#REF!</f>
        <v/>
      </c>
      <c r="BS192" s="64">
        <f>#REF!</f>
        <v/>
      </c>
      <c r="BU192" s="64" t="n">
        <v>196</v>
      </c>
      <c r="BV192" s="64">
        <f>Retailers!AS191</f>
        <v/>
      </c>
      <c r="BW192" s="64">
        <f>Retailers!AT191</f>
        <v/>
      </c>
      <c r="BX192" s="64">
        <f>Retailers!AU191</f>
        <v/>
      </c>
      <c r="BZ192" s="64" t="n">
        <v>196</v>
      </c>
      <c r="CA192" s="64">
        <f>Results!#REF!</f>
        <v/>
      </c>
      <c r="CB192" s="64">
        <f>Results!#REF!</f>
        <v/>
      </c>
      <c r="CC192" s="64">
        <f>Results!#REF!</f>
        <v/>
      </c>
      <c r="CE192" s="64" t="n">
        <v>196</v>
      </c>
      <c r="CF192" s="64">
        <f>Retailers!BN191</f>
        <v/>
      </c>
      <c r="CG192" s="64">
        <f>Retailers!BO191</f>
        <v/>
      </c>
      <c r="CH192" s="64">
        <f>Retailers!BP191</f>
        <v/>
      </c>
      <c r="CJ192" s="64" t="n">
        <v>196</v>
      </c>
      <c r="CK192" s="64">
        <f>IF(BB192="ret=0",0,IF(BB192&gt;0,AR192+Distributors_Cap!$P$47-BB192,0))</f>
        <v/>
      </c>
      <c r="CL192" s="64">
        <f>IF(BC192="ret=0",0,IF(BC192&gt;0,AS192+Distributors_Cap!$P$47-BC192,0))</f>
        <v/>
      </c>
      <c r="CM192" s="64">
        <f>IF(BD192="ret=0",0,IF(BD192&gt;0,AT192+Distributors_Cap!$P$47-BD192,0))</f>
        <v/>
      </c>
    </row>
    <row r="193">
      <c r="G193" s="64" t="n">
        <v>197</v>
      </c>
      <c r="H193" s="64" t="n">
        <v>76.777</v>
      </c>
      <c r="I193" s="64" t="n">
        <v>46.92</v>
      </c>
      <c r="J193" s="64" t="n">
        <v>37.603</v>
      </c>
      <c r="L193" s="64">
        <f>TRUNC((_xlfn.NORM.INV((RAND()),$K$7,$K$8)),0)</f>
        <v/>
      </c>
      <c r="M193" s="64" t="n">
        <v>197</v>
      </c>
      <c r="N193" s="5" t="n">
        <v>20</v>
      </c>
      <c r="O193" s="5" t="n">
        <v>23</v>
      </c>
      <c r="P193" s="5" t="n">
        <v>27</v>
      </c>
      <c r="R193" s="2">
        <f>IF(N193&gt;Demand!AU210,0,(IF(((2*(Retailers!AJ192+Distributors_Cap!$P$47)-Retailers_Cap!$BB$7)*(Demand!AU210-Retailers_Cap!N193))&lt;0,0,((IF(BB193&gt;2*(Retailers!AJ192+Distributors_Cap!$P$47),0,(IF(BG193=0,ROUNDUP((2*(Retailers!AJ192+Distributors_Cap!$P$47)-BB193)^0.5,0),ROUNDUP((2*(Retailers!AJ192+Distributors_Cap!$P$47)-BB193)^0.5,0)))))))))</f>
        <v/>
      </c>
      <c r="S193" s="2">
        <f>IF(O193&gt;Demand!AV210,0,(IF(((2*(Retailers!AK192+Distributors_Cap!$P$47)-Retailers_Cap!$BB$7)*(Demand!AV210-Retailers_Cap!O193))&lt;0,0,((IF(BC193&gt;2*(Retailers!AK192+Distributors_Cap!$P$47),0,(IF(BH193=0,ROUNDUP((2*(Retailers!AK192+Distributors_Cap!$P$47)-BC193)^0.5,0),ROUNDUP((2*(Retailers!AK192+Distributors_Cap!$P$47)-BC193)^0.5,0)))))))))</f>
        <v/>
      </c>
      <c r="T193" s="2">
        <f>IF(P193&gt;Demand!AW210,0,(IF(((2*(Retailers!AL192+Distributors_Cap!$P$47)-Retailers_Cap!$BB$7)*(Demand!AW210-Retailers_Cap!P193))&lt;0,0,((IF(BD193&gt;2*(Retailers!AL192+Distributors_Cap!$P$47),0,(IF(BI193=0,ROUNDUP((2*(Retailers!AL192+Distributors_Cap!$P$47)-BD193)^0.5,0),ROUNDUP((2*(Retailers!AL192+Distributors_Cap!$P$47)-BD193)^0.5,0)))))))))</f>
        <v/>
      </c>
      <c r="W193" s="64" t="n">
        <v>197</v>
      </c>
      <c r="X193" s="9" t="n">
        <v>13</v>
      </c>
      <c r="Y193" s="9" t="n">
        <v>9</v>
      </c>
      <c r="Z193" s="9" t="n">
        <v>0</v>
      </c>
      <c r="AB193" s="2">
        <f>ROUNDDOWN(LOG((X193+1),2),0)</f>
        <v/>
      </c>
      <c r="AC193" s="2">
        <f>ROUNDDOWN(LOG((Y193+1),2),0)</f>
        <v/>
      </c>
      <c r="AD193" s="2">
        <f>ROUNDDOWN(LOG((Z193+1),2),0)</f>
        <v/>
      </c>
      <c r="AG193" s="64" t="n">
        <v>197</v>
      </c>
      <c r="AH193" s="9" t="n">
        <v>3</v>
      </c>
      <c r="AI193" s="9" t="n">
        <v>3</v>
      </c>
      <c r="AJ193" s="9" t="n">
        <v>0</v>
      </c>
      <c r="AQ193" s="64" t="n">
        <v>197</v>
      </c>
      <c r="AR193" s="64" t="n">
        <v>76.777</v>
      </c>
      <c r="AS193" s="64" t="n">
        <v>46.92</v>
      </c>
      <c r="AT193" s="64" t="n">
        <v>37.603</v>
      </c>
      <c r="AV193" s="64" t="n">
        <v>197</v>
      </c>
      <c r="AW193" s="64">
        <f>Beginning_stock!AT221</f>
        <v/>
      </c>
      <c r="AX193" s="64">
        <f>Beginning_stock!AU221</f>
        <v/>
      </c>
      <c r="AY193" s="64">
        <f>Beginning_stock!AV221</f>
        <v/>
      </c>
      <c r="BA193" s="64" t="n">
        <v>197</v>
      </c>
      <c r="BB193" s="64">
        <f>IF(Demand!AU210=Retailers_Cap!N193,"ret=0",(AW193/(Demand!AU210-Retailers_Cap!N193)))</f>
        <v/>
      </c>
      <c r="BC193" s="64">
        <f>IF(Demand!AV210=Retailers_Cap!O193,"ret=0",(AX193/(Demand!AV210-Retailers_Cap!O193)))</f>
        <v/>
      </c>
      <c r="BD193" s="64">
        <f>IF(Demand!AW210=Retailers_Cap!P193,"ret=0",(AY193/(Demand!AW210-Retailers_Cap!P193)))</f>
        <v/>
      </c>
      <c r="BF193" s="64" t="n">
        <v>197</v>
      </c>
      <c r="BG193" s="2">
        <f>IF(Demand!AU210&lt;=Retailers_Cap!N193,"ret=0",(IF(BB193&lt;=AR193+Distributors_Cap!$P$47,1,0)))</f>
        <v/>
      </c>
      <c r="BH193" s="2">
        <f>IF(Demand!AV210&lt;=Retailers_Cap!O193,"ret=0",(IF(BC193&lt;=AS193+Distributors_Cap!$P$47,1,0)))</f>
        <v/>
      </c>
      <c r="BI193" s="2">
        <f>IF(Demand!AW210&lt;=Retailers_Cap!P193,"ret=0",(IF(BD193&lt;=AT193+Distributors_Cap!$P$47,1,0)))</f>
        <v/>
      </c>
      <c r="BK193" s="64" t="n">
        <v>197</v>
      </c>
      <c r="BL193" s="64">
        <f>Retailers!BH192</f>
        <v/>
      </c>
      <c r="BM193" s="64">
        <f>Retailers!BI192</f>
        <v/>
      </c>
      <c r="BN193" s="64">
        <f>Retailers!BJ192</f>
        <v/>
      </c>
      <c r="BP193" s="64" t="n">
        <v>197</v>
      </c>
      <c r="BQ193" s="64">
        <f>#REF!</f>
        <v/>
      </c>
      <c r="BR193" s="64">
        <f>#REF!</f>
        <v/>
      </c>
      <c r="BS193" s="64">
        <f>#REF!</f>
        <v/>
      </c>
      <c r="BU193" s="64" t="n">
        <v>197</v>
      </c>
      <c r="BV193" s="64">
        <f>Retailers!AS192</f>
        <v/>
      </c>
      <c r="BW193" s="64">
        <f>Retailers!AT192</f>
        <v/>
      </c>
      <c r="BX193" s="64">
        <f>Retailers!AU192</f>
        <v/>
      </c>
      <c r="BZ193" s="64" t="n">
        <v>197</v>
      </c>
      <c r="CA193" s="64">
        <f>Results!#REF!</f>
        <v/>
      </c>
      <c r="CB193" s="64">
        <f>Results!#REF!</f>
        <v/>
      </c>
      <c r="CC193" s="64">
        <f>Results!#REF!</f>
        <v/>
      </c>
      <c r="CE193" s="64" t="n">
        <v>197</v>
      </c>
      <c r="CF193" s="64">
        <f>Retailers!BN192</f>
        <v/>
      </c>
      <c r="CG193" s="64">
        <f>Retailers!BO192</f>
        <v/>
      </c>
      <c r="CH193" s="64">
        <f>Retailers!BP192</f>
        <v/>
      </c>
      <c r="CJ193" s="64" t="n">
        <v>197</v>
      </c>
      <c r="CK193" s="64">
        <f>IF(BB193="ret=0",0,IF(BB193&gt;0,AR193+Distributors_Cap!$P$47-BB193,0))</f>
        <v/>
      </c>
      <c r="CL193" s="64">
        <f>IF(BC193="ret=0",0,IF(BC193&gt;0,AS193+Distributors_Cap!$P$47-BC193,0))</f>
        <v/>
      </c>
      <c r="CM193" s="64">
        <f>IF(BD193="ret=0",0,IF(BD193&gt;0,AT193+Distributors_Cap!$P$47-BD193,0))</f>
        <v/>
      </c>
    </row>
    <row r="194">
      <c r="G194" s="64" t="n">
        <v>198</v>
      </c>
      <c r="H194" s="64" t="n">
        <v>67.12</v>
      </c>
      <c r="I194" s="64" t="n">
        <v>55.253</v>
      </c>
      <c r="J194" s="64" t="n">
        <v>76.435</v>
      </c>
      <c r="L194" s="64">
        <f>TRUNC((_xlfn.NORM.INV((RAND()),$K$7,$K$8)),0)</f>
        <v/>
      </c>
      <c r="M194" s="64" t="n">
        <v>198</v>
      </c>
      <c r="N194" s="5" t="n">
        <v>32</v>
      </c>
      <c r="O194" s="5" t="n">
        <v>31</v>
      </c>
      <c r="P194" s="5" t="n">
        <v>29</v>
      </c>
      <c r="R194" s="2">
        <f>IF(N194&gt;Demand!AU211,0,(IF(((2*(Retailers!AJ193+Distributors_Cap!$P$47)-Retailers_Cap!$BB$7)*(Demand!AU211-Retailers_Cap!N194))&lt;0,0,((IF(BB194&gt;2*(Retailers!AJ193+Distributors_Cap!$P$47),0,(IF(BG194=0,ROUNDUP((2*(Retailers!AJ193+Distributors_Cap!$P$47)-BB194)^0.5,0),ROUNDUP((2*(Retailers!AJ193+Distributors_Cap!$P$47)-BB194)^0.5,0)))))))))</f>
        <v/>
      </c>
      <c r="S194" s="2">
        <f>IF(O194&gt;Demand!AV211,0,(IF(((2*(Retailers!AK193+Distributors_Cap!$P$47)-Retailers_Cap!$BB$7)*(Demand!AV211-Retailers_Cap!O194))&lt;0,0,((IF(BC194&gt;2*(Retailers!AK193+Distributors_Cap!$P$47),0,(IF(BH194=0,ROUNDUP((2*(Retailers!AK193+Distributors_Cap!$P$47)-BC194)^0.5,0),ROUNDUP((2*(Retailers!AK193+Distributors_Cap!$P$47)-BC194)^0.5,0)))))))))</f>
        <v/>
      </c>
      <c r="T194" s="2">
        <f>IF(P194&gt;Demand!AW211,0,(IF(((2*(Retailers!AL193+Distributors_Cap!$P$47)-Retailers_Cap!$BB$7)*(Demand!AW211-Retailers_Cap!P194))&lt;0,0,((IF(BD194&gt;2*(Retailers!AL193+Distributors_Cap!$P$47),0,(IF(BI194=0,ROUNDUP((2*(Retailers!AL193+Distributors_Cap!$P$47)-BD194)^0.5,0),ROUNDUP((2*(Retailers!AL193+Distributors_Cap!$P$47)-BD194)^0.5,0)))))))))</f>
        <v/>
      </c>
      <c r="W194" s="64" t="n">
        <v>198</v>
      </c>
      <c r="X194" s="9" t="n">
        <v>0</v>
      </c>
      <c r="Y194" s="9" t="n">
        <v>0</v>
      </c>
      <c r="Z194" s="9" t="n">
        <v>0</v>
      </c>
      <c r="AB194" s="2">
        <f>ROUNDDOWN(LOG((X194+1),2),0)</f>
        <v/>
      </c>
      <c r="AC194" s="2">
        <f>ROUNDDOWN(LOG((Y194+1),2),0)</f>
        <v/>
      </c>
      <c r="AD194" s="2">
        <f>ROUNDDOWN(LOG((Z194+1),2),0)</f>
        <v/>
      </c>
      <c r="AG194" s="64" t="n">
        <v>198</v>
      </c>
      <c r="AH194" s="9" t="n">
        <v>0</v>
      </c>
      <c r="AI194" s="9" t="n">
        <v>0</v>
      </c>
      <c r="AJ194" s="9" t="n">
        <v>0</v>
      </c>
      <c r="AQ194" s="64" t="n">
        <v>198</v>
      </c>
      <c r="AR194" s="64" t="n">
        <v>67.12</v>
      </c>
      <c r="AS194" s="64" t="n">
        <v>55.253</v>
      </c>
      <c r="AT194" s="64" t="n">
        <v>76.435</v>
      </c>
      <c r="AV194" s="64" t="n">
        <v>198</v>
      </c>
      <c r="AW194" s="64">
        <f>Beginning_stock!AT222</f>
        <v/>
      </c>
      <c r="AX194" s="64">
        <f>Beginning_stock!AU222</f>
        <v/>
      </c>
      <c r="AY194" s="64">
        <f>Beginning_stock!AV222</f>
        <v/>
      </c>
      <c r="BA194" s="64" t="n">
        <v>198</v>
      </c>
      <c r="BB194" s="64">
        <f>IF(Demand!AU211=Retailers_Cap!N194,"ret=0",(AW194/(Demand!AU211-Retailers_Cap!N194)))</f>
        <v/>
      </c>
      <c r="BC194" s="64">
        <f>IF(Demand!AV211=Retailers_Cap!O194,"ret=0",(AX194/(Demand!AV211-Retailers_Cap!O194)))</f>
        <v/>
      </c>
      <c r="BD194" s="64">
        <f>IF(Demand!AW211=Retailers_Cap!P194,"ret=0",(AY194/(Demand!AW211-Retailers_Cap!P194)))</f>
        <v/>
      </c>
      <c r="BF194" s="64" t="n">
        <v>198</v>
      </c>
      <c r="BG194" s="2">
        <f>IF(Demand!AU211&lt;=Retailers_Cap!N194,"ret=0",(IF(BB194&lt;=AR194+Distributors_Cap!$P$47,1,0)))</f>
        <v/>
      </c>
      <c r="BH194" s="2">
        <f>IF(Demand!AV211&lt;=Retailers_Cap!O194,"ret=0",(IF(BC194&lt;=AS194+Distributors_Cap!$P$47,1,0)))</f>
        <v/>
      </c>
      <c r="BI194" s="2">
        <f>IF(Demand!AW211&lt;=Retailers_Cap!P194,"ret=0",(IF(BD194&lt;=AT194+Distributors_Cap!$P$47,1,0)))</f>
        <v/>
      </c>
      <c r="BK194" s="64" t="n">
        <v>198</v>
      </c>
      <c r="BL194" s="64">
        <f>Retailers!BH193</f>
        <v/>
      </c>
      <c r="BM194" s="64">
        <f>Retailers!BI193</f>
        <v/>
      </c>
      <c r="BN194" s="64">
        <f>Retailers!BJ193</f>
        <v/>
      </c>
      <c r="BP194" s="64" t="n">
        <v>198</v>
      </c>
      <c r="BQ194" s="64">
        <f>#REF!</f>
        <v/>
      </c>
      <c r="BR194" s="64">
        <f>#REF!</f>
        <v/>
      </c>
      <c r="BS194" s="64">
        <f>#REF!</f>
        <v/>
      </c>
      <c r="BU194" s="64" t="n">
        <v>198</v>
      </c>
      <c r="BV194" s="64">
        <f>Retailers!AS193</f>
        <v/>
      </c>
      <c r="BW194" s="64">
        <f>Retailers!AT193</f>
        <v/>
      </c>
      <c r="BX194" s="64">
        <f>Retailers!AU193</f>
        <v/>
      </c>
      <c r="BZ194" s="64" t="n">
        <v>198</v>
      </c>
      <c r="CA194" s="64">
        <f>Results!#REF!</f>
        <v/>
      </c>
      <c r="CB194" s="64">
        <f>Results!#REF!</f>
        <v/>
      </c>
      <c r="CC194" s="64">
        <f>Results!#REF!</f>
        <v/>
      </c>
      <c r="CE194" s="64" t="n">
        <v>198</v>
      </c>
      <c r="CF194" s="64">
        <f>Retailers!BN193</f>
        <v/>
      </c>
      <c r="CG194" s="64">
        <f>Retailers!BO193</f>
        <v/>
      </c>
      <c r="CH194" s="64">
        <f>Retailers!BP193</f>
        <v/>
      </c>
      <c r="CJ194" s="64" t="n">
        <v>198</v>
      </c>
      <c r="CK194" s="64">
        <f>IF(BB194="ret=0",0,IF(BB194&gt;0,AR194+Distributors_Cap!$P$47-BB194,0))</f>
        <v/>
      </c>
      <c r="CL194" s="64">
        <f>IF(BC194="ret=0",0,IF(BC194&gt;0,AS194+Distributors_Cap!$P$47-BC194,0))</f>
        <v/>
      </c>
      <c r="CM194" s="64">
        <f>IF(BD194="ret=0",0,IF(BD194&gt;0,AT194+Distributors_Cap!$P$47-BD194,0))</f>
        <v/>
      </c>
    </row>
    <row r="195">
      <c r="G195" s="64" t="n">
        <v>199</v>
      </c>
      <c r="H195" s="64" t="n">
        <v>60.404</v>
      </c>
      <c r="I195" s="64" t="n">
        <v>41.633</v>
      </c>
      <c r="J195" s="64" t="n">
        <v>44.725</v>
      </c>
      <c r="L195" s="64">
        <f>TRUNC((_xlfn.NORM.INV((RAND()),$K$7,$K$8)),0)</f>
        <v/>
      </c>
      <c r="M195" s="64" t="n">
        <v>199</v>
      </c>
      <c r="N195" s="5" t="n">
        <v>38</v>
      </c>
      <c r="O195" s="5" t="n">
        <v>22</v>
      </c>
      <c r="P195" s="5" t="n">
        <v>29</v>
      </c>
      <c r="R195" s="2">
        <f>IF(N195&gt;Demand!AU212,0,(IF(((2*(Retailers!AJ194+Distributors_Cap!$P$47)-Retailers_Cap!$BB$7)*(Demand!AU212-Retailers_Cap!N195))&lt;0,0,((IF(BB195&gt;2*(Retailers!AJ194+Distributors_Cap!$P$47),0,(IF(BG195=0,ROUNDUP((2*(Retailers!AJ194+Distributors_Cap!$P$47)-BB195)^0.5,0),ROUNDUP((2*(Retailers!AJ194+Distributors_Cap!$P$47)-BB195)^0.5,0)))))))))</f>
        <v/>
      </c>
      <c r="S195" s="2">
        <f>IF(O195&gt;Demand!AV212,0,(IF(((2*(Retailers!AK194+Distributors_Cap!$P$47)-Retailers_Cap!$BB$7)*(Demand!AV212-Retailers_Cap!O195))&lt;0,0,((IF(BC195&gt;2*(Retailers!AK194+Distributors_Cap!$P$47),0,(IF(BH195=0,ROUNDUP((2*(Retailers!AK194+Distributors_Cap!$P$47)-BC195)^0.5,0),ROUNDUP((2*(Retailers!AK194+Distributors_Cap!$P$47)-BC195)^0.5,0)))))))))</f>
        <v/>
      </c>
      <c r="T195" s="2">
        <f>IF(P195&gt;Demand!AW212,0,(IF(((2*(Retailers!AL194+Distributors_Cap!$P$47)-Retailers_Cap!$BB$7)*(Demand!AW212-Retailers_Cap!P195))&lt;0,0,((IF(BD195&gt;2*(Retailers!AL194+Distributors_Cap!$P$47),0,(IF(BI195=0,ROUNDUP((2*(Retailers!AL194+Distributors_Cap!$P$47)-BD195)^0.5,0),ROUNDUP((2*(Retailers!AL194+Distributors_Cap!$P$47)-BD195)^0.5,0)))))))))</f>
        <v/>
      </c>
      <c r="W195" s="64" t="n">
        <v>199</v>
      </c>
      <c r="X195" s="9" t="n">
        <v>0</v>
      </c>
      <c r="Y195" s="9" t="n">
        <v>10</v>
      </c>
      <c r="Z195" s="9" t="n">
        <v>11</v>
      </c>
      <c r="AB195" s="2">
        <f>ROUNDDOWN(LOG((X195+1),2),0)</f>
        <v/>
      </c>
      <c r="AC195" s="2">
        <f>ROUNDDOWN(LOG((Y195+1),2),0)</f>
        <v/>
      </c>
      <c r="AD195" s="2">
        <f>ROUNDDOWN(LOG((Z195+1),2),0)</f>
        <v/>
      </c>
      <c r="AG195" s="64" t="n">
        <v>199</v>
      </c>
      <c r="AH195" s="9" t="n">
        <v>0</v>
      </c>
      <c r="AI195" s="9" t="n">
        <v>3</v>
      </c>
      <c r="AJ195" s="9" t="n">
        <v>3</v>
      </c>
      <c r="AQ195" s="64" t="n">
        <v>199</v>
      </c>
      <c r="AR195" s="64" t="n">
        <v>60.404</v>
      </c>
      <c r="AS195" s="64" t="n">
        <v>41.633</v>
      </c>
      <c r="AT195" s="64" t="n">
        <v>44.725</v>
      </c>
      <c r="AV195" s="64" t="n">
        <v>199</v>
      </c>
      <c r="AW195" s="64">
        <f>Beginning_stock!AT223</f>
        <v/>
      </c>
      <c r="AX195" s="64">
        <f>Beginning_stock!AU223</f>
        <v/>
      </c>
      <c r="AY195" s="64">
        <f>Beginning_stock!AV223</f>
        <v/>
      </c>
      <c r="BA195" s="64" t="n">
        <v>199</v>
      </c>
      <c r="BB195" s="64">
        <f>IF(Demand!AU212=Retailers_Cap!N195,"ret=0",(AW195/(Demand!AU212-Retailers_Cap!N195)))</f>
        <v/>
      </c>
      <c r="BC195" s="64">
        <f>IF(Demand!AV212=Retailers_Cap!O195,"ret=0",(AX195/(Demand!AV212-Retailers_Cap!O195)))</f>
        <v/>
      </c>
      <c r="BD195" s="64">
        <f>IF(Demand!AW212=Retailers_Cap!P195,"ret=0",(AY195/(Demand!AW212-Retailers_Cap!P195)))</f>
        <v/>
      </c>
      <c r="BF195" s="64" t="n">
        <v>199</v>
      </c>
      <c r="BG195" s="2">
        <f>IF(Demand!AU212&lt;=Retailers_Cap!N195,"ret=0",(IF(BB195&lt;=AR195+Distributors_Cap!$P$47,1,0)))</f>
        <v/>
      </c>
      <c r="BH195" s="2">
        <f>IF(Demand!AV212&lt;=Retailers_Cap!O195,"ret=0",(IF(BC195&lt;=AS195+Distributors_Cap!$P$47,1,0)))</f>
        <v/>
      </c>
      <c r="BI195" s="2">
        <f>IF(Demand!AW212&lt;=Retailers_Cap!P195,"ret=0",(IF(BD195&lt;=AT195+Distributors_Cap!$P$47,1,0)))</f>
        <v/>
      </c>
      <c r="BK195" s="64" t="n">
        <v>199</v>
      </c>
      <c r="BL195" s="64">
        <f>Retailers!BH194</f>
        <v/>
      </c>
      <c r="BM195" s="64">
        <f>Retailers!BI194</f>
        <v/>
      </c>
      <c r="BN195" s="64">
        <f>Retailers!BJ194</f>
        <v/>
      </c>
      <c r="BP195" s="64" t="n">
        <v>199</v>
      </c>
      <c r="BQ195" s="64">
        <f>#REF!</f>
        <v/>
      </c>
      <c r="BR195" s="64">
        <f>#REF!</f>
        <v/>
      </c>
      <c r="BS195" s="64">
        <f>#REF!</f>
        <v/>
      </c>
      <c r="BU195" s="64" t="n">
        <v>199</v>
      </c>
      <c r="BV195" s="64">
        <f>Retailers!AS194</f>
        <v/>
      </c>
      <c r="BW195" s="64">
        <f>Retailers!AT194</f>
        <v/>
      </c>
      <c r="BX195" s="64">
        <f>Retailers!AU194</f>
        <v/>
      </c>
      <c r="BZ195" s="64" t="n">
        <v>199</v>
      </c>
      <c r="CA195" s="64">
        <f>Results!#REF!</f>
        <v/>
      </c>
      <c r="CB195" s="64">
        <f>Results!#REF!</f>
        <v/>
      </c>
      <c r="CC195" s="64">
        <f>Results!#REF!</f>
        <v/>
      </c>
      <c r="CE195" s="64" t="n">
        <v>199</v>
      </c>
      <c r="CF195" s="64">
        <f>Retailers!BN194</f>
        <v/>
      </c>
      <c r="CG195" s="64">
        <f>Retailers!BO194</f>
        <v/>
      </c>
      <c r="CH195" s="64">
        <f>Retailers!BP194</f>
        <v/>
      </c>
      <c r="CJ195" s="64" t="n">
        <v>199</v>
      </c>
      <c r="CK195" s="64">
        <f>IF(BB195="ret=0",0,IF(BB195&gt;0,AR195+Distributors_Cap!$P$47-BB195,0))</f>
        <v/>
      </c>
      <c r="CL195" s="64">
        <f>IF(BC195="ret=0",0,IF(BC195&gt;0,AS195+Distributors_Cap!$P$47-BC195,0))</f>
        <v/>
      </c>
      <c r="CM195" s="64">
        <f>IF(BD195="ret=0",0,IF(BD195&gt;0,AT195+Distributors_Cap!$P$47-BD195,0))</f>
        <v/>
      </c>
    </row>
    <row r="196">
      <c r="G196" s="64" t="n">
        <v>200</v>
      </c>
      <c r="H196" s="64" t="n">
        <v>58.3</v>
      </c>
      <c r="I196" s="64" t="n">
        <v>59.975</v>
      </c>
      <c r="J196" s="64" t="n">
        <v>66.089</v>
      </c>
      <c r="L196" s="64">
        <f>TRUNC((_xlfn.NORM.INV((RAND()),$K$7,$K$8)),0)</f>
        <v/>
      </c>
      <c r="M196" s="64" t="n">
        <v>200</v>
      </c>
      <c r="N196" s="5" t="n">
        <v>21</v>
      </c>
      <c r="O196" s="5" t="n">
        <v>18</v>
      </c>
      <c r="P196" s="5" t="n">
        <v>39</v>
      </c>
      <c r="R196" s="2">
        <f>IF(N196&gt;Demand!AU213,0,(IF(((2*(Retailers!AJ195+Distributors_Cap!$P$47)-Retailers_Cap!$BB$7)*(Demand!AU213-Retailers_Cap!N196))&lt;0,0,((IF(BB196&gt;2*(Retailers!AJ195+Distributors_Cap!$P$47),0,(IF(BG196=0,ROUNDUP((2*(Retailers!AJ195+Distributors_Cap!$P$47)-BB196)^0.5,0),ROUNDUP((2*(Retailers!AJ195+Distributors_Cap!$P$47)-BB196)^0.5,0)))))))))</f>
        <v/>
      </c>
      <c r="S196" s="2">
        <f>IF(O196&gt;Demand!AV213,0,(IF(((2*(Retailers!AK195+Distributors_Cap!$P$47)-Retailers_Cap!$BB$7)*(Demand!AV213-Retailers_Cap!O196))&lt;0,0,((IF(BC196&gt;2*(Retailers!AK195+Distributors_Cap!$P$47),0,(IF(BH196=0,ROUNDUP((2*(Retailers!AK195+Distributors_Cap!$P$47)-BC196)^0.5,0),ROUNDUP((2*(Retailers!AK195+Distributors_Cap!$P$47)-BC196)^0.5,0)))))))))</f>
        <v/>
      </c>
      <c r="T196" s="2">
        <f>IF(P196&gt;Demand!AW213,0,(IF(((2*(Retailers!AL195+Distributors_Cap!$P$47)-Retailers_Cap!$BB$7)*(Demand!AW213-Retailers_Cap!P196))&lt;0,0,((IF(BD196&gt;2*(Retailers!AL195+Distributors_Cap!$P$47),0,(IF(BI196=0,ROUNDUP((2*(Retailers!AL195+Distributors_Cap!$P$47)-BD196)^0.5,0),ROUNDUP((2*(Retailers!AL195+Distributors_Cap!$P$47)-BD196)^0.5,0)))))))))</f>
        <v/>
      </c>
      <c r="W196" s="64" t="n">
        <v>200</v>
      </c>
      <c r="X196" s="9" t="n">
        <v>13</v>
      </c>
      <c r="Y196" s="9" t="n">
        <v>13</v>
      </c>
      <c r="Z196" s="9" t="n">
        <v>0</v>
      </c>
      <c r="AB196" s="2">
        <f>ROUNDDOWN(LOG((X196+1),2),0)</f>
        <v/>
      </c>
      <c r="AC196" s="2">
        <f>ROUNDDOWN(LOG((Y196+1),2),0)</f>
        <v/>
      </c>
      <c r="AD196" s="2">
        <f>ROUNDDOWN(LOG((Z196+1),2),0)</f>
        <v/>
      </c>
      <c r="AG196" s="64" t="n">
        <v>200</v>
      </c>
      <c r="AH196" s="9" t="n">
        <v>3</v>
      </c>
      <c r="AI196" s="9" t="n">
        <v>3</v>
      </c>
      <c r="AJ196" s="9" t="n">
        <v>0</v>
      </c>
      <c r="AQ196" s="64" t="n">
        <v>200</v>
      </c>
      <c r="AR196" s="64" t="n">
        <v>58.3</v>
      </c>
      <c r="AS196" s="64" t="n">
        <v>59.975</v>
      </c>
      <c r="AT196" s="64" t="n">
        <v>66.089</v>
      </c>
      <c r="AV196" s="64" t="n">
        <v>200</v>
      </c>
      <c r="AW196" s="64">
        <f>Beginning_stock!AT224</f>
        <v/>
      </c>
      <c r="AX196" s="64">
        <f>Beginning_stock!AU224</f>
        <v/>
      </c>
      <c r="AY196" s="64">
        <f>Beginning_stock!AV224</f>
        <v/>
      </c>
      <c r="BA196" s="64" t="n">
        <v>200</v>
      </c>
      <c r="BB196" s="64">
        <f>IF(Demand!AU213=Retailers_Cap!N196,"ret=0",(AW196/(Demand!AU213-Retailers_Cap!N196)))</f>
        <v/>
      </c>
      <c r="BC196" s="64">
        <f>IF(Demand!AV213=Retailers_Cap!O196,"ret=0",(AX196/(Demand!AV213-Retailers_Cap!O196)))</f>
        <v/>
      </c>
      <c r="BD196" s="64">
        <f>IF(Demand!AW213=Retailers_Cap!P196,"ret=0",(AY196/(Demand!AW213-Retailers_Cap!P196)))</f>
        <v/>
      </c>
      <c r="BF196" s="64" t="n">
        <v>200</v>
      </c>
      <c r="BG196" s="2">
        <f>IF(Demand!AU213&lt;=Retailers_Cap!N196,"ret=0",(IF(BB196&lt;=AR196+Distributors_Cap!$P$47,1,0)))</f>
        <v/>
      </c>
      <c r="BH196" s="2">
        <f>IF(Demand!AV213&lt;=Retailers_Cap!O196,"ret=0",(IF(BC196&lt;=AS196+Distributors_Cap!$P$47,1,0)))</f>
        <v/>
      </c>
      <c r="BI196" s="2">
        <f>IF(Demand!AW213&lt;=Retailers_Cap!P196,"ret=0",(IF(BD196&lt;=AT196+Distributors_Cap!$P$47,1,0)))</f>
        <v/>
      </c>
      <c r="BK196" s="64" t="n">
        <v>200</v>
      </c>
      <c r="BL196" s="64">
        <f>Retailers!BH195</f>
        <v/>
      </c>
      <c r="BM196" s="64">
        <f>Retailers!BI195</f>
        <v/>
      </c>
      <c r="BN196" s="64">
        <f>Retailers!BJ195</f>
        <v/>
      </c>
      <c r="BP196" s="64" t="n">
        <v>200</v>
      </c>
      <c r="BQ196" s="64">
        <f>#REF!</f>
        <v/>
      </c>
      <c r="BR196" s="64">
        <f>#REF!</f>
        <v/>
      </c>
      <c r="BS196" s="64">
        <f>#REF!</f>
        <v/>
      </c>
      <c r="BU196" s="64" t="n">
        <v>200</v>
      </c>
      <c r="BV196" s="64">
        <f>Retailers!AS195</f>
        <v/>
      </c>
      <c r="BW196" s="64">
        <f>Retailers!AT195</f>
        <v/>
      </c>
      <c r="BX196" s="64">
        <f>Retailers!AU195</f>
        <v/>
      </c>
      <c r="BZ196" s="64" t="n">
        <v>200</v>
      </c>
      <c r="CA196" s="64">
        <f>Results!#REF!</f>
        <v/>
      </c>
      <c r="CB196" s="64">
        <f>Results!#REF!</f>
        <v/>
      </c>
      <c r="CC196" s="64">
        <f>Results!#REF!</f>
        <v/>
      </c>
      <c r="CE196" s="64" t="n">
        <v>200</v>
      </c>
      <c r="CF196" s="64">
        <f>Retailers!BN195</f>
        <v/>
      </c>
      <c r="CG196" s="64">
        <f>Retailers!BO195</f>
        <v/>
      </c>
      <c r="CH196" s="64">
        <f>Retailers!BP195</f>
        <v/>
      </c>
      <c r="CJ196" s="64" t="n">
        <v>200</v>
      </c>
      <c r="CK196" s="64">
        <f>IF(BB196="ret=0",0,IF(BB196&gt;0,AR196+Distributors_Cap!$P$47-BB196,0))</f>
        <v/>
      </c>
      <c r="CL196" s="64">
        <f>IF(BC196="ret=0",0,IF(BC196&gt;0,AS196+Distributors_Cap!$P$47-BC196,0))</f>
        <v/>
      </c>
      <c r="CM196" s="64">
        <f>IF(BD196="ret=0",0,IF(BD196&gt;0,AT196+Distributors_Cap!$P$47-BD196,0))</f>
        <v/>
      </c>
    </row>
    <row r="197">
      <c r="A197" s="64" t="inlineStr">
        <is>
          <t>*</t>
        </is>
      </c>
      <c r="B197" s="64" t="inlineStr">
        <is>
          <t>*</t>
        </is>
      </c>
      <c r="C197" s="64" t="inlineStr">
        <is>
          <t>*</t>
        </is>
      </c>
      <c r="D197" s="64" t="inlineStr">
        <is>
          <t>*</t>
        </is>
      </c>
      <c r="E197" s="64" t="inlineStr">
        <is>
          <t>*</t>
        </is>
      </c>
      <c r="F197" s="64" t="inlineStr">
        <is>
          <t>*</t>
        </is>
      </c>
      <c r="G197" s="64" t="inlineStr">
        <is>
          <t>*</t>
        </is>
      </c>
      <c r="H197" s="64" t="inlineStr">
        <is>
          <t>*</t>
        </is>
      </c>
      <c r="I197" s="64" t="inlineStr">
        <is>
          <t>*</t>
        </is>
      </c>
      <c r="J197" s="64" t="inlineStr">
        <is>
          <t>*</t>
        </is>
      </c>
      <c r="K197" s="64" t="inlineStr">
        <is>
          <t>*</t>
        </is>
      </c>
      <c r="L197" s="64" t="inlineStr">
        <is>
          <t>*</t>
        </is>
      </c>
      <c r="M197" s="64" t="inlineStr">
        <is>
          <t>*</t>
        </is>
      </c>
      <c r="N197" s="64" t="inlineStr">
        <is>
          <t>*</t>
        </is>
      </c>
      <c r="O197" s="64" t="inlineStr">
        <is>
          <t>*</t>
        </is>
      </c>
      <c r="P197" s="64" t="inlineStr">
        <is>
          <t>*</t>
        </is>
      </c>
      <c r="Q197" s="64" t="inlineStr">
        <is>
          <t>*</t>
        </is>
      </c>
      <c r="R197" s="64" t="inlineStr">
        <is>
          <t>*</t>
        </is>
      </c>
      <c r="S197" s="64" t="inlineStr">
        <is>
          <t>*</t>
        </is>
      </c>
      <c r="T197" s="64" t="inlineStr">
        <is>
          <t>*</t>
        </is>
      </c>
      <c r="U197" s="64" t="inlineStr">
        <is>
          <t>*</t>
        </is>
      </c>
      <c r="V197" s="64" t="inlineStr">
        <is>
          <t>*</t>
        </is>
      </c>
      <c r="W197" s="64" t="inlineStr">
        <is>
          <t>*</t>
        </is>
      </c>
      <c r="X197" s="64" t="inlineStr">
        <is>
          <t>*</t>
        </is>
      </c>
      <c r="Y197" s="64" t="inlineStr">
        <is>
          <t>*</t>
        </is>
      </c>
      <c r="Z197" s="64" t="inlineStr">
        <is>
          <t>*</t>
        </is>
      </c>
      <c r="AA197" s="64" t="inlineStr">
        <is>
          <t>*</t>
        </is>
      </c>
      <c r="AB197" s="64" t="inlineStr">
        <is>
          <t>*</t>
        </is>
      </c>
      <c r="AC197" s="64" t="inlineStr">
        <is>
          <t>*</t>
        </is>
      </c>
      <c r="AD197" s="64" t="inlineStr">
        <is>
          <t>*</t>
        </is>
      </c>
      <c r="AE197" s="64" t="inlineStr">
        <is>
          <t>*</t>
        </is>
      </c>
      <c r="AF197" s="64" t="inlineStr">
        <is>
          <t>*</t>
        </is>
      </c>
      <c r="AG197" s="64" t="inlineStr">
        <is>
          <t>*</t>
        </is>
      </c>
      <c r="AH197" s="64" t="inlineStr">
        <is>
          <t>*</t>
        </is>
      </c>
      <c r="AI197" s="64" t="inlineStr">
        <is>
          <t>*</t>
        </is>
      </c>
      <c r="AJ197" s="64" t="inlineStr">
        <is>
          <t>*</t>
        </is>
      </c>
      <c r="AK197" s="64" t="inlineStr">
        <is>
          <t>*</t>
        </is>
      </c>
      <c r="AL197" s="64" t="inlineStr">
        <is>
          <t>*</t>
        </is>
      </c>
      <c r="AM197" s="64" t="inlineStr">
        <is>
          <t>*</t>
        </is>
      </c>
      <c r="AN197" s="64" t="inlineStr">
        <is>
          <t>*</t>
        </is>
      </c>
      <c r="AO197" s="64" t="inlineStr">
        <is>
          <t>*</t>
        </is>
      </c>
      <c r="AP197" s="64" t="inlineStr">
        <is>
          <t>*</t>
        </is>
      </c>
      <c r="AQ197" s="64" t="inlineStr">
        <is>
          <t>*</t>
        </is>
      </c>
      <c r="AR197" s="64" t="inlineStr">
        <is>
          <t>*</t>
        </is>
      </c>
      <c r="AS197" s="64" t="inlineStr">
        <is>
          <t>*</t>
        </is>
      </c>
      <c r="AT197" s="64" t="inlineStr">
        <is>
          <t>*</t>
        </is>
      </c>
      <c r="AU197" s="64" t="inlineStr">
        <is>
          <t>*</t>
        </is>
      </c>
      <c r="AV197" s="64" t="inlineStr">
        <is>
          <t>*</t>
        </is>
      </c>
      <c r="AW197" s="64" t="inlineStr">
        <is>
          <t>*</t>
        </is>
      </c>
      <c r="AX197" s="64" t="inlineStr">
        <is>
          <t>*</t>
        </is>
      </c>
      <c r="AY197" s="64" t="inlineStr">
        <is>
          <t>*</t>
        </is>
      </c>
      <c r="AZ197" s="64" t="inlineStr">
        <is>
          <t>*</t>
        </is>
      </c>
      <c r="BA197" s="64" t="inlineStr">
        <is>
          <t>*</t>
        </is>
      </c>
      <c r="BB197" s="64" t="inlineStr">
        <is>
          <t>*</t>
        </is>
      </c>
      <c r="BC197" s="64" t="inlineStr">
        <is>
          <t>*</t>
        </is>
      </c>
      <c r="BD197" s="64" t="inlineStr">
        <is>
          <t>*</t>
        </is>
      </c>
      <c r="BE197" s="64" t="inlineStr">
        <is>
          <t>*</t>
        </is>
      </c>
      <c r="BF197" s="64" t="inlineStr">
        <is>
          <t>*</t>
        </is>
      </c>
      <c r="BG197" s="64" t="inlineStr">
        <is>
          <t>*</t>
        </is>
      </c>
      <c r="BH197" s="64" t="inlineStr">
        <is>
          <t>*</t>
        </is>
      </c>
      <c r="BI197" s="64" t="inlineStr">
        <is>
          <t>*</t>
        </is>
      </c>
      <c r="BJ197" s="64" t="inlineStr">
        <is>
          <t>*</t>
        </is>
      </c>
      <c r="BK197" s="64" t="inlineStr">
        <is>
          <t>*</t>
        </is>
      </c>
      <c r="BL197" s="64" t="inlineStr">
        <is>
          <t>*</t>
        </is>
      </c>
      <c r="BM197" s="64" t="inlineStr">
        <is>
          <t>*</t>
        </is>
      </c>
      <c r="BN197" s="64" t="inlineStr">
        <is>
          <t>*</t>
        </is>
      </c>
      <c r="BO197" s="64" t="inlineStr">
        <is>
          <t>*</t>
        </is>
      </c>
      <c r="BP197" s="64" t="inlineStr">
        <is>
          <t>*</t>
        </is>
      </c>
      <c r="BQ197" s="64" t="inlineStr">
        <is>
          <t>*</t>
        </is>
      </c>
      <c r="BR197" s="64" t="inlineStr">
        <is>
          <t>*</t>
        </is>
      </c>
      <c r="BS197" s="64" t="inlineStr">
        <is>
          <t>*</t>
        </is>
      </c>
      <c r="BT197" s="64" t="inlineStr">
        <is>
          <t>*</t>
        </is>
      </c>
      <c r="BU197" s="64" t="inlineStr">
        <is>
          <t>*</t>
        </is>
      </c>
      <c r="BV197" s="64" t="inlineStr">
        <is>
          <t>*</t>
        </is>
      </c>
      <c r="BW197" s="64" t="inlineStr">
        <is>
          <t>*</t>
        </is>
      </c>
      <c r="BX197" s="64" t="inlineStr">
        <is>
          <t>*</t>
        </is>
      </c>
      <c r="BY197" s="64" t="inlineStr">
        <is>
          <t>*</t>
        </is>
      </c>
      <c r="BZ197" s="64" t="inlineStr">
        <is>
          <t>*</t>
        </is>
      </c>
      <c r="CA197" s="64" t="inlineStr">
        <is>
          <t>*</t>
        </is>
      </c>
      <c r="CB197" s="64" t="inlineStr">
        <is>
          <t>*</t>
        </is>
      </c>
      <c r="CC197" s="64" t="inlineStr">
        <is>
          <t>*</t>
        </is>
      </c>
      <c r="CD197" s="64" t="inlineStr">
        <is>
          <t>*</t>
        </is>
      </c>
      <c r="CE197" s="64" t="inlineStr">
        <is>
          <t>*</t>
        </is>
      </c>
      <c r="CF197" s="64" t="inlineStr">
        <is>
          <t>*</t>
        </is>
      </c>
      <c r="CG197" s="64" t="inlineStr">
        <is>
          <t>*</t>
        </is>
      </c>
      <c r="CH197" s="64" t="inlineStr">
        <is>
          <t>*</t>
        </is>
      </c>
      <c r="CI197" s="64" t="inlineStr">
        <is>
          <t>*</t>
        </is>
      </c>
      <c r="CJ197" s="64" t="inlineStr">
        <is>
          <t>*</t>
        </is>
      </c>
      <c r="CK197" s="64" t="inlineStr">
        <is>
          <t>*</t>
        </is>
      </c>
      <c r="CL197" s="64" t="inlineStr">
        <is>
          <t>*</t>
        </is>
      </c>
      <c r="CM197" s="64" t="inlineStr">
        <is>
          <t>*</t>
        </is>
      </c>
      <c r="CQ197" s="64" t="inlineStr">
        <is>
          <t>*</t>
        </is>
      </c>
      <c r="CR197" s="64" t="inlineStr">
        <is>
          <t>*</t>
        </is>
      </c>
      <c r="CS197" s="64" t="inlineStr">
        <is>
          <t>*</t>
        </is>
      </c>
      <c r="CT197" s="64" t="inlineStr">
        <is>
          <t>*</t>
        </is>
      </c>
      <c r="CU197" s="64" t="inlineStr">
        <is>
          <t>*</t>
        </is>
      </c>
      <c r="CV197" s="64" t="inlineStr">
        <is>
          <t>*</t>
        </is>
      </c>
      <c r="CW197" s="64" t="inlineStr">
        <is>
          <t>*</t>
        </is>
      </c>
      <c r="CX197" s="64" t="inlineStr">
        <is>
          <t>*</t>
        </is>
      </c>
      <c r="CY197" s="64" t="inlineStr">
        <is>
          <t>*</t>
        </is>
      </c>
      <c r="CZ197" s="64" t="inlineStr">
        <is>
          <t>*</t>
        </is>
      </c>
      <c r="DA197" s="64" t="inlineStr">
        <is>
          <t>*</t>
        </is>
      </c>
      <c r="DB197" s="64" t="inlineStr">
        <is>
          <t>*</t>
        </is>
      </c>
      <c r="DC197" s="64" t="inlineStr">
        <is>
          <t>*</t>
        </is>
      </c>
      <c r="DD197" s="64" t="inlineStr">
        <is>
          <t>*</t>
        </is>
      </c>
      <c r="DE197" s="64" t="inlineStr">
        <is>
          <t>*</t>
        </is>
      </c>
      <c r="DF197" s="64" t="inlineStr">
        <is>
          <t>*</t>
        </is>
      </c>
      <c r="DG197" s="64" t="inlineStr">
        <is>
          <t>*</t>
        </is>
      </c>
      <c r="DH197" s="64" t="inlineStr">
        <is>
          <t>*</t>
        </is>
      </c>
      <c r="DI197" s="64" t="inlineStr">
        <is>
          <t>*</t>
        </is>
      </c>
      <c r="DJ197" s="64" t="inlineStr">
        <is>
          <t>*</t>
        </is>
      </c>
      <c r="DK197" s="64" t="inlineStr">
        <is>
          <t>*</t>
        </is>
      </c>
      <c r="DL197" s="64" t="inlineStr">
        <is>
          <t>*</t>
        </is>
      </c>
      <c r="DM197" s="64" t="inlineStr">
        <is>
          <t>*</t>
        </is>
      </c>
      <c r="DN197" s="64" t="inlineStr">
        <is>
          <t>*</t>
        </is>
      </c>
      <c r="DO197" s="64" t="inlineStr">
        <is>
          <t>*</t>
        </is>
      </c>
      <c r="DP197" s="64" t="inlineStr">
        <is>
          <t>*</t>
        </is>
      </c>
      <c r="DQ197" s="64" t="inlineStr">
        <is>
          <t>*</t>
        </is>
      </c>
      <c r="DR197" s="64" t="inlineStr">
        <is>
          <t>*</t>
        </is>
      </c>
      <c r="DS197" s="64" t="inlineStr">
        <is>
          <t>*</t>
        </is>
      </c>
      <c r="DT197" s="64" t="inlineStr">
        <is>
          <t>*</t>
        </is>
      </c>
      <c r="DU197" s="64" t="inlineStr">
        <is>
          <t>*</t>
        </is>
      </c>
      <c r="DV197" s="64" t="inlineStr">
        <is>
          <t>*</t>
        </is>
      </c>
      <c r="DW197" s="64" t="inlineStr">
        <is>
          <t>*</t>
        </is>
      </c>
      <c r="DX197" s="64" t="inlineStr">
        <is>
          <t>*</t>
        </is>
      </c>
      <c r="DY197" s="64" t="inlineStr">
        <is>
          <t>*</t>
        </is>
      </c>
      <c r="DZ197" s="64" t="inlineStr">
        <is>
          <t>*</t>
        </is>
      </c>
      <c r="EA197" s="64" t="inlineStr">
        <is>
          <t>*</t>
        </is>
      </c>
      <c r="EB197" s="64" t="inlineStr">
        <is>
          <t>*</t>
        </is>
      </c>
      <c r="EC197" s="64" t="inlineStr">
        <is>
          <t>*</t>
        </is>
      </c>
      <c r="ED197" s="64" t="inlineStr">
        <is>
          <t>*</t>
        </is>
      </c>
      <c r="EE197" s="64" t="inlineStr">
        <is>
          <t>*</t>
        </is>
      </c>
      <c r="EF197" s="64" t="inlineStr">
        <is>
          <t>*</t>
        </is>
      </c>
    </row>
  </sheetData>
  <mergeCells count="3">
    <mergeCell ref="K5:L5"/>
    <mergeCell ref="AB5:AD5"/>
    <mergeCell ref="Q5:T5"/>
  </mergeCells>
  <pageMargins left="0.511811024" right="0.511811024" top="0.787401575" bottom="0.787401575" header="0.31496062" footer="0.31496062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C2:F23"/>
  <sheetViews>
    <sheetView zoomScale="90" zoomScaleNormal="90" workbookViewId="0">
      <selection activeCell="A1" sqref="A1"/>
    </sheetView>
  </sheetViews>
  <sheetFormatPr baseColWidth="8" defaultRowHeight="14.4"/>
  <cols>
    <col width="9.6640625" bestFit="1" customWidth="1" min="3" max="3"/>
  </cols>
  <sheetData>
    <row r="2">
      <c r="C2" t="inlineStr">
        <is>
          <t>Stockpoint</t>
        </is>
      </c>
    </row>
    <row r="3">
      <c r="C3" t="inlineStr">
        <is>
          <t>nw</t>
        </is>
      </c>
      <c r="D3" t="n">
        <v>3</v>
      </c>
      <c r="F3" t="inlineStr">
        <is>
          <t>//Number of raw materials warehouses</t>
        </is>
      </c>
    </row>
    <row r="4">
      <c r="C4" t="inlineStr">
        <is>
          <t>nf</t>
        </is>
      </c>
      <c r="D4" t="n">
        <v>5</v>
      </c>
      <c r="F4" t="inlineStr">
        <is>
          <t>//Number of factories</t>
        </is>
      </c>
    </row>
    <row r="5">
      <c r="C5" t="inlineStr">
        <is>
          <t>nd</t>
        </is>
      </c>
      <c r="D5" t="n">
        <v>2</v>
      </c>
      <c r="F5" t="inlineStr">
        <is>
          <t>//Number of distributors</t>
        </is>
      </c>
    </row>
    <row r="6">
      <c r="C6" t="inlineStr">
        <is>
          <t>nr</t>
        </is>
      </c>
      <c r="D6" t="n">
        <v>190</v>
      </c>
      <c r="F6" t="inlineStr">
        <is>
          <t>//Number of retailers</t>
        </is>
      </c>
    </row>
    <row r="8">
      <c r="C8" t="inlineStr">
        <is>
          <t>Products</t>
        </is>
      </c>
    </row>
    <row r="9">
      <c r="C9" t="inlineStr">
        <is>
          <t>nm</t>
        </is>
      </c>
      <c r="D9" t="n">
        <v>15</v>
      </c>
      <c r="F9" t="inlineStr">
        <is>
          <t>//Number of raw materials</t>
        </is>
      </c>
    </row>
    <row r="10">
      <c r="C10" t="inlineStr">
        <is>
          <t>np</t>
        </is>
      </c>
      <c r="D10" t="n">
        <v>3</v>
      </c>
      <c r="F10" t="inlineStr">
        <is>
          <t>//Number of products</t>
        </is>
      </c>
    </row>
    <row r="12">
      <c r="C12" t="inlineStr">
        <is>
          <t>Stockpoint</t>
        </is>
      </c>
    </row>
    <row r="13">
      <c r="C13" t="n">
        <v>1</v>
      </c>
      <c r="D13">
        <f>D3</f>
        <v/>
      </c>
      <c r="F13" t="inlineStr">
        <is>
          <t>//range W = 1..nw;</t>
        </is>
      </c>
    </row>
    <row r="14">
      <c r="C14">
        <f>D3+1</f>
        <v/>
      </c>
      <c r="D14">
        <f>D3+D4</f>
        <v/>
      </c>
      <c r="F14" t="inlineStr">
        <is>
          <t>//range F = (nw+1)..(nw+nf);</t>
        </is>
      </c>
    </row>
    <row r="15">
      <c r="C15">
        <f>D3+D4+1</f>
        <v/>
      </c>
      <c r="D15">
        <f>D3+D4+D5</f>
        <v/>
      </c>
      <c r="F15" t="inlineStr">
        <is>
          <t>//range D = (nw+nf+1)..(nw+nf+nd);</t>
        </is>
      </c>
    </row>
    <row r="16">
      <c r="C16">
        <f>D3+D4+D5+1</f>
        <v/>
      </c>
      <c r="D16">
        <f>D3+D4+D5+D6</f>
        <v/>
      </c>
      <c r="F16" t="inlineStr">
        <is>
          <t>//range R = (nw+nf+nd+1)..(nw+nf+nd+nr);</t>
        </is>
      </c>
    </row>
    <row r="19">
      <c r="C19" t="inlineStr">
        <is>
          <t>Products</t>
        </is>
      </c>
    </row>
    <row r="20">
      <c r="C20" t="n">
        <v>1</v>
      </c>
      <c r="D20">
        <f>D9</f>
        <v/>
      </c>
      <c r="F20" t="inlineStr">
        <is>
          <t>//range M = 1..nm;</t>
        </is>
      </c>
    </row>
    <row r="21">
      <c r="C21">
        <f>D9+1</f>
        <v/>
      </c>
      <c r="D21">
        <f>D9+D10</f>
        <v/>
      </c>
      <c r="F21" t="inlineStr">
        <is>
          <t>//range PF = (nm+1)..(nm+np);</t>
        </is>
      </c>
    </row>
    <row r="22">
      <c r="C22">
        <f>D9+D10+1</f>
        <v/>
      </c>
      <c r="D22">
        <f>D9+D10+D10</f>
        <v/>
      </c>
      <c r="F22" t="inlineStr">
        <is>
          <t>//range PD = (nm+np+1)..(nm+np+np);</t>
        </is>
      </c>
    </row>
    <row r="23">
      <c r="C23">
        <f>D9+D10+D10+1</f>
        <v/>
      </c>
      <c r="D23">
        <f>D9+D10+D10+D10</f>
        <v/>
      </c>
      <c r="F23" t="inlineStr">
        <is>
          <t>//range PR = (nm+np+np+1)..(nm+np+np+np);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Antonio Marinho</dc:creator>
  <dcterms:created xsi:type="dcterms:W3CDTF">2024-08-02T12:13:51Z</dcterms:created>
  <dcterms:modified xsi:type="dcterms:W3CDTF">2025-10-08T21:06:32Z</dcterms:modified>
  <cp:lastModifiedBy>Antonio Marinho</cp:lastModifiedBy>
</cp:coreProperties>
</file>